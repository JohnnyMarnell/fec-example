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3040" windowHeight="9720"/>
  </bookViews>
  <sheets>
    <sheet name="Board &amp; Executives" sheetId="4" r:id="rId1"/>
    <sheet name="Mark Mason" sheetId="11" r:id="rId2"/>
    <sheet name="Michael Corbat" sheetId="10" r:id="rId3"/>
    <sheet name="Deborah Wright" sheetId="9" r:id="rId4"/>
    <sheet name="Diana Taylor" sheetId="8" r:id="rId5"/>
    <sheet name="JANE FRASER" sheetId="7" r:id="rId6"/>
    <sheet name="Barbara Desoer" sheetId="6" r:id="rId7"/>
    <sheet name="Company PAC" sheetId="2" r:id="rId8"/>
    <sheet name="Amazon Example" sheetId="5" r:id="rId9"/>
  </sheets>
  <definedNames>
    <definedName name="_xlnm._FilterDatabase" localSheetId="5" hidden="1">'JANE FRASER'!$A$1:$CA$231</definedName>
  </definedNames>
  <calcPr calcId="152511"/>
  <pivotCaches>
    <pivotCache cacheId="6" r:id="rId10"/>
    <pivotCache cacheId="7" r:id="rId11"/>
    <pivotCache cacheId="8" r:id="rId12"/>
    <pivotCache cacheId="9" r:id="rId13"/>
    <pivotCache cacheId="10" r:id="rId14"/>
    <pivotCache cacheId="11" r:id="rId15"/>
  </pivotCaches>
</workbook>
</file>

<file path=xl/calcChain.xml><?xml version="1.0" encoding="utf-8"?>
<calcChain xmlns="http://schemas.openxmlformats.org/spreadsheetml/2006/main">
  <c r="V53" i="11" l="1"/>
  <c r="V6" i="10"/>
  <c r="V13" i="9"/>
  <c r="V451" i="8"/>
  <c r="V235" i="7"/>
  <c r="D236" i="7"/>
  <c r="D248" i="7" s="1"/>
  <c r="D237" i="7"/>
  <c r="D251" i="7" s="1"/>
  <c r="M7" i="4" s="1"/>
  <c r="D238" i="7"/>
  <c r="D239" i="7"/>
  <c r="D240" i="7"/>
  <c r="D241" i="7"/>
  <c r="D242" i="7"/>
  <c r="D243" i="7"/>
  <c r="D244" i="7"/>
  <c r="D252" i="7" s="1"/>
  <c r="N7" i="4" s="1"/>
  <c r="D245" i="7"/>
  <c r="D246" i="7"/>
  <c r="D247" i="7"/>
  <c r="V6" i="6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3" i="4"/>
  <c r="N20" i="4"/>
  <c r="N19" i="4"/>
  <c r="L16" i="4"/>
  <c r="L14" i="4"/>
  <c r="N5" i="4"/>
  <c r="D250" i="7" l="1"/>
  <c r="D253" i="7" l="1"/>
  <c r="L7" i="4"/>
</calcChain>
</file>

<file path=xl/sharedStrings.xml><?xml version="1.0" encoding="utf-8"?>
<sst xmlns="http://schemas.openxmlformats.org/spreadsheetml/2006/main" count="22922" uniqueCount="1889">
  <si>
    <t>N</t>
  </si>
  <si>
    <t>R</t>
  </si>
  <si>
    <t>Republican</t>
  </si>
  <si>
    <t>Independent</t>
  </si>
  <si>
    <t>Democratic</t>
  </si>
  <si>
    <t>Age</t>
  </si>
  <si>
    <t>Political Affiliation</t>
  </si>
  <si>
    <t>From Open Secrets.com</t>
  </si>
  <si>
    <t>State</t>
  </si>
  <si>
    <t>%Republican</t>
  </si>
  <si>
    <t>%Democrat</t>
  </si>
  <si>
    <t>Company PAC Name</t>
  </si>
  <si>
    <t>Employer</t>
  </si>
  <si>
    <t>Company</t>
  </si>
  <si>
    <t>Board</t>
  </si>
  <si>
    <t>Exec</t>
  </si>
  <si>
    <t>Fname</t>
  </si>
  <si>
    <t>MI</t>
  </si>
  <si>
    <t>Lname</t>
  </si>
  <si>
    <t>Gender</t>
  </si>
  <si>
    <t>DOB</t>
  </si>
  <si>
    <t>Dem </t>
  </si>
  <si>
    <t>Rep </t>
  </si>
  <si>
    <t>Reg</t>
  </si>
  <si>
    <t>Address</t>
  </si>
  <si>
    <t>Amazon</t>
  </si>
  <si>
    <t>Y</t>
  </si>
  <si>
    <t>Jeffrey</t>
  </si>
  <si>
    <t>P</t>
  </si>
  <si>
    <t>Bezos</t>
  </si>
  <si>
    <t>M</t>
  </si>
  <si>
    <t>WA</t>
  </si>
  <si>
    <t>Seattle</t>
  </si>
  <si>
    <t>Keith</t>
  </si>
  <si>
    <t>B</t>
  </si>
  <si>
    <t>Alexander</t>
  </si>
  <si>
    <t>Seattle 98109</t>
  </si>
  <si>
    <t>Wilmer Cutler Pickering</t>
  </si>
  <si>
    <t>Jamie</t>
  </si>
  <si>
    <t>S</t>
  </si>
  <si>
    <t>Gorelick</t>
  </si>
  <si>
    <t>F</t>
  </si>
  <si>
    <t>DC</t>
  </si>
  <si>
    <t>Cambridge 02138</t>
  </si>
  <si>
    <t>MIT</t>
  </si>
  <si>
    <t>Daniel</t>
  </si>
  <si>
    <t>Huttenlocher</t>
  </si>
  <si>
    <t>MA</t>
  </si>
  <si>
    <t>MTV</t>
  </si>
  <si>
    <t>Judith</t>
  </si>
  <si>
    <t>A</t>
  </si>
  <si>
    <t>McGrath</t>
  </si>
  <si>
    <t>NY</t>
  </si>
  <si>
    <t>Pepsico</t>
  </si>
  <si>
    <t>Indra</t>
  </si>
  <si>
    <t>K</t>
  </si>
  <si>
    <t>Nooyi</t>
  </si>
  <si>
    <t>CT</t>
  </si>
  <si>
    <t>.</t>
  </si>
  <si>
    <t>Jonathan</t>
  </si>
  <si>
    <t>J</t>
  </si>
  <si>
    <t>Rubinstein</t>
  </si>
  <si>
    <t>Thomas</t>
  </si>
  <si>
    <t>O</t>
  </si>
  <si>
    <t>Ryder</t>
  </si>
  <si>
    <t>Patricia</t>
  </si>
  <si>
    <t>Q</t>
  </si>
  <si>
    <t>Stonesifer</t>
  </si>
  <si>
    <t>Wendell</t>
  </si>
  <si>
    <t>Weeks</t>
  </si>
  <si>
    <t>Brian</t>
  </si>
  <si>
    <t>T</t>
  </si>
  <si>
    <t>Olsavsky</t>
  </si>
  <si>
    <t>Mercer Island, WA</t>
  </si>
  <si>
    <t>David</t>
  </si>
  <si>
    <t>H</t>
  </si>
  <si>
    <t>Clark</t>
  </si>
  <si>
    <t>Andrew</t>
  </si>
  <si>
    <t>Jassy</t>
  </si>
  <si>
    <t>Zapolsky</t>
  </si>
  <si>
    <t>Neu</t>
  </si>
  <si>
    <t xml:space="preserve">Ellen </t>
  </si>
  <si>
    <t xml:space="preserve">M. </t>
  </si>
  <si>
    <t>Costello</t>
  </si>
  <si>
    <t>Citigroup</t>
  </si>
  <si>
    <t>Former President and Chief Executive Officer, BMO Financial Corporation, and Former U.S. Country Head, BMO Financial Group, Director Diebold Nixdorf, Inc</t>
  </si>
  <si>
    <t xml:space="preserve">Grace </t>
  </si>
  <si>
    <t xml:space="preserve">E. </t>
  </si>
  <si>
    <t>Dailey</t>
  </si>
  <si>
    <t>Former Senior Deputy Comptroller for Bank Supervision Policy and Chief National Bank Examiner, Office of the Comptroller of the Currency</t>
  </si>
  <si>
    <t xml:space="preserve">Barbara </t>
  </si>
  <si>
    <t xml:space="preserve">J. </t>
  </si>
  <si>
    <t>Desoer</t>
  </si>
  <si>
    <t>Chair</t>
  </si>
  <si>
    <t>John</t>
  </si>
  <si>
    <t xml:space="preserve"> C. </t>
  </si>
  <si>
    <t>Dugan</t>
  </si>
  <si>
    <t xml:space="preserve">Jane </t>
  </si>
  <si>
    <t xml:space="preserve">N. </t>
  </si>
  <si>
    <t>Fraser</t>
  </si>
  <si>
    <t>Chief Executive Officer</t>
  </si>
  <si>
    <t xml:space="preserve">Duncan </t>
  </si>
  <si>
    <t xml:space="preserve">P. </t>
  </si>
  <si>
    <t>Hennes</t>
  </si>
  <si>
    <t>Co-Founder and Partner Atrevida Partners, LLC</t>
  </si>
  <si>
    <t>Peter</t>
  </si>
  <si>
    <t xml:space="preserve"> B.</t>
  </si>
  <si>
    <t xml:space="preserve"> Henry</t>
  </si>
  <si>
    <t>Dean Emeritus and W. R. Berkley Professor of Economics and Finance, New York University, Leonard N. Stern School of Business</t>
  </si>
  <si>
    <t xml:space="preserve">S. </t>
  </si>
  <si>
    <t>Leslie</t>
  </si>
  <si>
    <t xml:space="preserve"> Ireland</t>
  </si>
  <si>
    <t>Former Assistant Secretary for Intelligence and Analysis, U.S. Department of the Treasury, and National Intelligence Manager for Threat Finance, Office of the Director of National Intelligence</t>
  </si>
  <si>
    <t xml:space="preserve">Lew </t>
  </si>
  <si>
    <t xml:space="preserve">W. (Jay) </t>
  </si>
  <si>
    <t>Jacobs, IV</t>
  </si>
  <si>
    <t>Former President and Managing Director, Pacific Investment Management Company LLC (PIMCO)</t>
  </si>
  <si>
    <t xml:space="preserve">Renée </t>
  </si>
  <si>
    <t>J.</t>
  </si>
  <si>
    <t xml:space="preserve"> James</t>
  </si>
  <si>
    <t>Founder, Chairman and CEO, Ampere Computing</t>
  </si>
  <si>
    <t xml:space="preserve">Gary </t>
  </si>
  <si>
    <t>Reiner</t>
  </si>
  <si>
    <t>Operating Partner General Atlantic LLC</t>
  </si>
  <si>
    <t xml:space="preserve">Diana </t>
  </si>
  <si>
    <t xml:space="preserve">L. </t>
  </si>
  <si>
    <t>Taylor</t>
  </si>
  <si>
    <t>Former Superintendent of Banks, State of New York</t>
  </si>
  <si>
    <t xml:space="preserve">James </t>
  </si>
  <si>
    <t>Turley</t>
  </si>
  <si>
    <t>Former Chairman and CEO Ernst &amp; Young</t>
  </si>
  <si>
    <t xml:space="preserve">Deborah </t>
  </si>
  <si>
    <t xml:space="preserve">C. </t>
  </si>
  <si>
    <t>Wright</t>
  </si>
  <si>
    <t>Former Chairman Carver Bancorp, Inc.</t>
  </si>
  <si>
    <t xml:space="preserve">Alexander </t>
  </si>
  <si>
    <t xml:space="preserve">R. </t>
  </si>
  <si>
    <t>Wynaendts</t>
  </si>
  <si>
    <t>Former Chief Executive Officer and Chairman of the Executive Board Aegon NV</t>
  </si>
  <si>
    <t xml:space="preserve">Ernesto Zedillo </t>
  </si>
  <si>
    <t>Ponce de Leon</t>
  </si>
  <si>
    <t>Director, Center for the Study of Globalization and Professor in the Field of International Economics and Politics, Yale University</t>
  </si>
  <si>
    <t>Former chief executive officer of Citigroup</t>
  </si>
  <si>
    <t xml:space="preserve">Michael </t>
  </si>
  <si>
    <t>Corbat</t>
  </si>
  <si>
    <t>Chief Financial Officer</t>
  </si>
  <si>
    <t>Chief Executive Officer Institutional Clients Group</t>
  </si>
  <si>
    <t>Head of Enterprise Operations &amp; Technology</t>
  </si>
  <si>
    <t xml:space="preserve">Mark </t>
  </si>
  <si>
    <t>Mason</t>
  </si>
  <si>
    <t xml:space="preserve">Paco </t>
  </si>
  <si>
    <t>Ybarra</t>
  </si>
  <si>
    <t>Whitaker</t>
  </si>
  <si>
    <t>No FEC Data</t>
  </si>
  <si>
    <t>Grand Total</t>
  </si>
  <si>
    <t>Neutral</t>
  </si>
  <si>
    <t>DAVITA INC. POLITICAL ACTION COMMITTEE (DAPAC)</t>
  </si>
  <si>
    <t>CITIGROUP INC. POLITICAL ACTION COMMITTEE - FEDERAL (CITIGROUP PAC-FEDERAL)</t>
  </si>
  <si>
    <t>D</t>
  </si>
  <si>
    <t>Sum of contribution_receipt_amount</t>
  </si>
  <si>
    <t>Row Labels</t>
  </si>
  <si>
    <t>Contributions From Individuals/Persons Other Than Political Committees</t>
  </si>
  <si>
    <t>http://docquery.fec.gov/cgi-bin/fecimg/?202004209219763660</t>
  </si>
  <si>
    <t>SA</t>
  </si>
  <si>
    <t>t</t>
  </si>
  <si>
    <t>F3X</t>
  </si>
  <si>
    <t>ITEMIZED RECEIPTS</t>
  </si>
  <si>
    <t>ADD</t>
  </si>
  <si>
    <t>PRIMARY</t>
  </si>
  <si>
    <t>CONTRIBUTION</t>
  </si>
  <si>
    <t>BOARD OF DIRECTORS</t>
  </si>
  <si>
    <t>DAVITA, INC.</t>
  </si>
  <si>
    <t>CA</t>
  </si>
  <si>
    <t>THOUSAND OAKS</t>
  </si>
  <si>
    <t>838 W. STAFFORD RD</t>
  </si>
  <si>
    <t>DESOER</t>
  </si>
  <si>
    <t>BARBARA</t>
  </si>
  <si>
    <t>C</t>
  </si>
  <si>
    <t>DESOER, BARBARA</t>
  </si>
  <si>
    <t>INDIVIDUAL</t>
  </si>
  <si>
    <t>IND</t>
  </si>
  <si>
    <t>86DCBC9D42AE7A729F4</t>
  </si>
  <si>
    <t>11AI</t>
  </si>
  <si>
    <t>M4</t>
  </si>
  <si>
    <t>C00340943</t>
  </si>
  <si>
    <t>http://docquery.fec.gov/cgi-bin/fecimg/?201911219166031758</t>
  </si>
  <si>
    <t>NO CHANGE</t>
  </si>
  <si>
    <t>MANAGING DIRECTOR</t>
  </si>
  <si>
    <t>CITIGROUP INC.</t>
  </si>
  <si>
    <t>NEW YORK</t>
  </si>
  <si>
    <t>388 GREENWICH ST</t>
  </si>
  <si>
    <t>A2019-581453</t>
  </si>
  <si>
    <t>C00008474</t>
  </si>
  <si>
    <t>http://docquery.fec.gov/cgi-bin/fecimg/?201903199145740541</t>
  </si>
  <si>
    <t>APT 5K</t>
  </si>
  <si>
    <t>300 E 56TH ST</t>
  </si>
  <si>
    <t>F05D04D9ACE44B351B9</t>
  </si>
  <si>
    <t>M3</t>
  </si>
  <si>
    <t>line_number_label</t>
  </si>
  <si>
    <t>pdf_url</t>
  </si>
  <si>
    <t>sub_id</t>
  </si>
  <si>
    <t>increased_limit</t>
  </si>
  <si>
    <t>schedule_type</t>
  </si>
  <si>
    <t>two_year_transaction_period</t>
  </si>
  <si>
    <t>memo_text</t>
  </si>
  <si>
    <t>is_individual</t>
  </si>
  <si>
    <t>link_id</t>
  </si>
  <si>
    <t>filing_form</t>
  </si>
  <si>
    <t>back_reference_schedule_name</t>
  </si>
  <si>
    <t>back_reference_transaction_id</t>
  </si>
  <si>
    <t>original_sub_id</t>
  </si>
  <si>
    <t>load_date</t>
  </si>
  <si>
    <t>schedule_type_full</t>
  </si>
  <si>
    <t>amendment_indicator_desc</t>
  </si>
  <si>
    <t>amendment_indicator</t>
  </si>
  <si>
    <t>fec_election_year</t>
  </si>
  <si>
    <t>fec_election_type_desc</t>
  </si>
  <si>
    <t>election_type_full</t>
  </si>
  <si>
    <t>election_type</t>
  </si>
  <si>
    <t>national_committee_nonfederal_account</t>
  </si>
  <si>
    <t>donor_committee_name</t>
  </si>
  <si>
    <t>conduit_committee_zip</t>
  </si>
  <si>
    <t>conduit_committee_state</t>
  </si>
  <si>
    <t>conduit_committee_city</t>
  </si>
  <si>
    <t>conduit_committee_street2</t>
  </si>
  <si>
    <t>conduit_committee_street1</t>
  </si>
  <si>
    <t>conduit_committee_name</t>
  </si>
  <si>
    <t>conduit_committee_id</t>
  </si>
  <si>
    <t>candidate_office_district</t>
  </si>
  <si>
    <t>candidate_office_state_full</t>
  </si>
  <si>
    <t>candidate_office_state</t>
  </si>
  <si>
    <t>candidate_office_full</t>
  </si>
  <si>
    <t>candidate_office</t>
  </si>
  <si>
    <t>candidate_suffix</t>
  </si>
  <si>
    <t>candidate_prefix</t>
  </si>
  <si>
    <t>candidate_middle_name</t>
  </si>
  <si>
    <t>candidate_last_name</t>
  </si>
  <si>
    <t>candidate_first_name</t>
  </si>
  <si>
    <t>candidate_name</t>
  </si>
  <si>
    <t>candidate_id</t>
  </si>
  <si>
    <t>contributor_aggregate_ytd</t>
  </si>
  <si>
    <t>contribution_receipt_amount</t>
  </si>
  <si>
    <t>contribution_receipt_date</t>
  </si>
  <si>
    <t>memo_code_full</t>
  </si>
  <si>
    <t>memo_code</t>
  </si>
  <si>
    <t>receipt_type_full</t>
  </si>
  <si>
    <t>receipt_type_desc</t>
  </si>
  <si>
    <t>receipt_type</t>
  </si>
  <si>
    <t>contributor_id</t>
  </si>
  <si>
    <t>contributor_occupation</t>
  </si>
  <si>
    <t>contributor_employer</t>
  </si>
  <si>
    <t>contributor_zip</t>
  </si>
  <si>
    <t>contributor_state</t>
  </si>
  <si>
    <t>contributor_city</t>
  </si>
  <si>
    <t>contributor_street_2</t>
  </si>
  <si>
    <t>contributor_street_1</t>
  </si>
  <si>
    <t>contributor_suffix</t>
  </si>
  <si>
    <t>contributor_last_name</t>
  </si>
  <si>
    <t>contributor_middle_name</t>
  </si>
  <si>
    <t>contributor_first_name</t>
  </si>
  <si>
    <t>recipient_committee_designation</t>
  </si>
  <si>
    <t>recipient_committee_org_type</t>
  </si>
  <si>
    <t>recipient_committee_type</t>
  </si>
  <si>
    <t>contributor_name</t>
  </si>
  <si>
    <t>contributor_prefix</t>
  </si>
  <si>
    <t>unused_contbr_id</t>
  </si>
  <si>
    <t>entity_type_desc</t>
  </si>
  <si>
    <t>entity_type</t>
  </si>
  <si>
    <t>committee_name</t>
  </si>
  <si>
    <t>file_number</t>
  </si>
  <si>
    <t>transaction_id</t>
  </si>
  <si>
    <t>line_number</t>
  </si>
  <si>
    <t>image_number</t>
  </si>
  <si>
    <t>report_type</t>
  </si>
  <si>
    <t>report_year</t>
  </si>
  <si>
    <t>committee_id</t>
  </si>
  <si>
    <t>300 E 56TH ST NEW YORK NY 100224146</t>
  </si>
  <si>
    <t>WINRED</t>
  </si>
  <si>
    <t>TRUMP MAKE AMERICA GREAT AGAIN COMMITTEE</t>
  </si>
  <si>
    <t>ROMANOFF FOR COLORADO</t>
  </si>
  <si>
    <t>REPUBLICAN NATIONAL COMMITTEE</t>
  </si>
  <si>
    <t>DONALD J. TRUMP FOR PRESIDENT, INC.</t>
  </si>
  <si>
    <t>CITIGROUP INC. PAC - STATE (CITI PAC-STATE)</t>
  </si>
  <si>
    <t>BOWMAN FOR CONGRESS</t>
  </si>
  <si>
    <t>BERNIE 2020</t>
  </si>
  <si>
    <t>ALEX MORSE FOR CONGRESS</t>
  </si>
  <si>
    <t>ADRIENNE BELL FOR CONGRESS</t>
  </si>
  <si>
    <t>ACTBLUE</t>
  </si>
  <si>
    <t>https://docquery.fec.gov/cgi-bin/fecimg/?202103039433089896</t>
  </si>
  <si>
    <t>EARMARKED FOR TEAM GRAHAM, INC. (C00458828)</t>
  </si>
  <si>
    <t>RETIRED</t>
  </si>
  <si>
    <t>AZ</t>
  </si>
  <si>
    <t>CHANDLER</t>
  </si>
  <si>
    <t>1180 W IVANHOE ST</t>
  </si>
  <si>
    <t>FRASER</t>
  </si>
  <si>
    <t>JANE</t>
  </si>
  <si>
    <t>U</t>
  </si>
  <si>
    <t>V</t>
  </si>
  <si>
    <t>FRASER, JANE</t>
  </si>
  <si>
    <t>AED36834B80384CEEBE7</t>
  </si>
  <si>
    <t>30G</t>
  </si>
  <si>
    <t>C00694323</t>
  </si>
  <si>
    <t>https://docquery.fec.gov/cgi-bin/fecimg/?202103039432138147</t>
  </si>
  <si>
    <t>EARMARKED FOR DONALD J. TRUMP FOR PRESIDENT, INC. (C00580100)</t>
  </si>
  <si>
    <t>CHINO VALLEY</t>
  </si>
  <si>
    <t>175 N PAPAGO TRL</t>
  </si>
  <si>
    <t>FRASERPITMAN</t>
  </si>
  <si>
    <t>JANET</t>
  </si>
  <si>
    <t>FRASERPITMAN, JANET</t>
  </si>
  <si>
    <t>AD11133FBE3F54A32896</t>
  </si>
  <si>
    <t>https://docquery.fec.gov/cgi-bin/fecimg/?202103039432535114</t>
  </si>
  <si>
    <t>ADBCC2ADC88F44DBB925</t>
  </si>
  <si>
    <t>https://docquery.fec.gov/cgi-bin/fecimg/?202103039434499138</t>
  </si>
  <si>
    <t>EARMARKED FOR TRUMP MAKE AMERICA GREAT AGAIN COMMITTEE (C00618371)</t>
  </si>
  <si>
    <t>EMPLOYEE</t>
  </si>
  <si>
    <t>SF</t>
  </si>
  <si>
    <t>GA</t>
  </si>
  <si>
    <t>SEA ISLAND</t>
  </si>
  <si>
    <t>PO BOX 31189</t>
  </si>
  <si>
    <t>A1547BC1C40D6490FA5D</t>
  </si>
  <si>
    <t>https://docquery.fec.gov/cgi-bin/fecimg/?202103039432547826</t>
  </si>
  <si>
    <t>EARMARKED FOR MCSALLY FOR SENATE INC (C00666040)</t>
  </si>
  <si>
    <t>AB8B2E1421FD14511AED</t>
  </si>
  <si>
    <t>https://docquery.fec.gov/cgi-bin/fecimg/?202103039434300412</t>
  </si>
  <si>
    <t>A55236D854EA34E23896</t>
  </si>
  <si>
    <t>https://docquery.fec.gov/cgi-bin/fecimg/?202103039433090878</t>
  </si>
  <si>
    <t>A8097B7EED05648CD898</t>
  </si>
  <si>
    <t>https://docquery.fec.gov/cgi-bin/fecimg/?202103039434594843</t>
  </si>
  <si>
    <t>AF1497019B11D4FC98B8</t>
  </si>
  <si>
    <t>https://docquery.fec.gov/cgi-bin/fecimg/?202103039434298682</t>
  </si>
  <si>
    <t>ACE429E24AFAB43AC907</t>
  </si>
  <si>
    <t>https://docquery.fec.gov/cgi-bin/fecimg/?202103039434748836</t>
  </si>
  <si>
    <t>EARMARKED FOR JOHN JAMES FOR SENATE, INC. (C00651208)</t>
  </si>
  <si>
    <t>A67124E228B30413BAEA</t>
  </si>
  <si>
    <t>https://docquery.fec.gov/cgi-bin/fecimg/?202103039431982547</t>
  </si>
  <si>
    <t>A3ED63B39BE8A420E9F4</t>
  </si>
  <si>
    <t>https://docquery.fec.gov/cgi-bin/fecimg/?202101259405551285</t>
  </si>
  <si>
    <t>NEWPORT BEACH</t>
  </si>
  <si>
    <t>82 VILLA POINT DR</t>
  </si>
  <si>
    <t>FRASER, JANET</t>
  </si>
  <si>
    <t>A77AE50AD4A764414AA5</t>
  </si>
  <si>
    <t>Q3</t>
  </si>
  <si>
    <t>https://docquery.fec.gov/cgi-bin/fecimg/?202101259407007381</t>
  </si>
  <si>
    <t>P80001571</t>
  </si>
  <si>
    <t>EARMARKED CONTRIBUTION</t>
  </si>
  <si>
    <t>15E</t>
  </si>
  <si>
    <t>C00580100</t>
  </si>
  <si>
    <t>INDUSTRIAL HYGIENIST</t>
  </si>
  <si>
    <t>USDOL</t>
  </si>
  <si>
    <t>FL</t>
  </si>
  <si>
    <t>MIDDLEBURG</t>
  </si>
  <si>
    <t>772 LINDA LN</t>
  </si>
  <si>
    <t>A17E9EA88349F40538FB</t>
  </si>
  <si>
    <t>https://docquery.fec.gov/cgi-bin/fecimg/?202101259408794497</t>
  </si>
  <si>
    <t>A1C2FFF75DD174690B6C</t>
  </si>
  <si>
    <t>https://docquery.fec.gov/cgi-bin/fecimg/?202101259407373994</t>
  </si>
  <si>
    <t>EARMARKED FOR REPUBLICAN NATIONAL COMMITTEE (C00003418)</t>
  </si>
  <si>
    <t>C00003418</t>
  </si>
  <si>
    <t>CLOVIS</t>
  </si>
  <si>
    <t>33 W EVERGLADE AVE</t>
  </si>
  <si>
    <t>AF3A2B20FED4745F7960</t>
  </si>
  <si>
    <t>https://docquery.fec.gov/cgi-bin/fecimg/?202012119367778839</t>
  </si>
  <si>
    <t>CONTRIBUTION TO ACTBLUE</t>
  </si>
  <si>
    <t>_x000D_</t>
  </si>
  <si>
    <t>CONTRIBUTION TO ACT BLUE</t>
  </si>
  <si>
    <t>PROFESSOR</t>
  </si>
  <si>
    <t>COLORADO STATE UNIVERSITY - PUEBLO</t>
  </si>
  <si>
    <t>CO</t>
  </si>
  <si>
    <t>PUEBLO</t>
  </si>
  <si>
    <t>7583 SALT CREEK ROAD</t>
  </si>
  <si>
    <t>JANE M</t>
  </si>
  <si>
    <t>FRASER, JANE M</t>
  </si>
  <si>
    <t>SA11AI_286630306</t>
  </si>
  <si>
    <t>M9</t>
  </si>
  <si>
    <t>C00401224</t>
  </si>
  <si>
    <t>https://docquery.fec.gov/cgi-bin/fecimg/?202012119367778840</t>
  </si>
  <si>
    <t>EARMARKED FOR JESS SCARANE FOR DELAWARE (C00727263)</t>
  </si>
  <si>
    <t>EARMARK</t>
  </si>
  <si>
    <t>SA11AI_286630247</t>
  </si>
  <si>
    <t>SA11AI_286565153</t>
  </si>
  <si>
    <t>EARMARKED FOR ALEX MORSE FOR CONGRESS (C00713289)</t>
  </si>
  <si>
    <t>H0MA01081</t>
  </si>
  <si>
    <t>EARMARKED INTERMEDIARY TREASURY OUT</t>
  </si>
  <si>
    <t>24T</t>
  </si>
  <si>
    <t>C00713289</t>
  </si>
  <si>
    <t>SA11AI_286565138</t>
  </si>
  <si>
    <t>EARMARKED FOR BOWMAN FOR CONGRESS (C00709196)</t>
  </si>
  <si>
    <t>COLORADO STATE U-PUEBLO</t>
  </si>
  <si>
    <t>7583 SALT CREEK RD</t>
  </si>
  <si>
    <t>SA11AI_286195265</t>
  </si>
  <si>
    <t>SA11AI_286195393</t>
  </si>
  <si>
    <t>https://docquery.fec.gov/cgi-bin/fecimg/?202012119367779036</t>
  </si>
  <si>
    <t>EARMARKED FOR DEMOCRATIC ACTION (C00562983)</t>
  </si>
  <si>
    <t>NOT EMPLOYED</t>
  </si>
  <si>
    <t>KINGSTON WA</t>
  </si>
  <si>
    <t>26291 PENNSYLVANIA AVE NE APT 20</t>
  </si>
  <si>
    <t>MARY JANE</t>
  </si>
  <si>
    <t>FRASER, MARY JANE</t>
  </si>
  <si>
    <t>SA11AI_281047922</t>
  </si>
  <si>
    <t>https://docquery.fec.gov/cgi-bin/fecimg/?202012119367778838</t>
  </si>
  <si>
    <t>EARMARKED FOR BIDEN FOR PRESIDENT (C00703975)</t>
  </si>
  <si>
    <t>IL</t>
  </si>
  <si>
    <t>ANTIOCH</t>
  </si>
  <si>
    <t>39833 N FAIRWAY DRIVE</t>
  </si>
  <si>
    <t>SA11AI_281359768</t>
  </si>
  <si>
    <t>https://docquery.fec.gov/cgi-bin/fecimg/?202101149400853084</t>
  </si>
  <si>
    <t>AA1A8750389854483B54</t>
  </si>
  <si>
    <t>Q2</t>
  </si>
  <si>
    <t>https://docquery.fec.gov/cgi-bin/fecimg/?202101149400572356</t>
  </si>
  <si>
    <t>C00618371</t>
  </si>
  <si>
    <t>SUPERVISOR</t>
  </si>
  <si>
    <t>PGE</t>
  </si>
  <si>
    <t>AC4F69C650DAC4FC6BE5</t>
  </si>
  <si>
    <t>https://docquery.fec.gov/cgi-bin/fecimg/?202101149401537723</t>
  </si>
  <si>
    <t>A5F941D2C753241B5B40</t>
  </si>
  <si>
    <t>https://docquery.fec.gov/cgi-bin/fecimg/?202101149401680299</t>
  </si>
  <si>
    <t>ABF43D24144934D21B48</t>
  </si>
  <si>
    <t>https://docquery.fec.gov/cgi-bin/fecimg/?202106259450610070</t>
  </si>
  <si>
    <t>EARMARKED FROM WINRED</t>
  </si>
  <si>
    <t>SA11AI</t>
  </si>
  <si>
    <t>SA11C.10528376215193</t>
  </si>
  <si>
    <t>SA11A.105291007</t>
  </si>
  <si>
    <t>YE</t>
  </si>
  <si>
    <t>https://docquery.fec.gov/cgi-bin/fecimg/?202106249449974527</t>
  </si>
  <si>
    <t>SA11C.10145941574657</t>
  </si>
  <si>
    <t>SA11A.101537391</t>
  </si>
  <si>
    <t>https://docquery.fec.gov/cgi-bin/fecimg/?202101319419493951</t>
  </si>
  <si>
    <t>SA11AI_363041698</t>
  </si>
  <si>
    <t>https://docquery.fec.gov/cgi-bin/fecimg/?202101259407262163</t>
  </si>
  <si>
    <t>EARMARKED FOR KIM KLACIK FOR CONGRESS (C00726117)</t>
  </si>
  <si>
    <t>A8364F7E0628144B3B4D</t>
  </si>
  <si>
    <t>https://docquery.fec.gov/cgi-bin/fecimg/?202012049354301147</t>
  </si>
  <si>
    <t>EARMARKED FOR ADRIENNE BELL FOR CONGRESS (C00700534)</t>
  </si>
  <si>
    <t>H8TX14120</t>
  </si>
  <si>
    <t>C00700534</t>
  </si>
  <si>
    <t>SA11AI_340135214</t>
  </si>
  <si>
    <t>https://docquery.fec.gov/cgi-bin/fecimg/?202101149400213274</t>
  </si>
  <si>
    <t>A0AB251E713434EEA8BB</t>
  </si>
  <si>
    <t>https://docquery.fec.gov/cgi-bin/fecimg/?202101149400181729</t>
  </si>
  <si>
    <t>AB1B916A5BAC44D82882</t>
  </si>
  <si>
    <t>https://docquery.fec.gov/cgi-bin/fecimg/?202103039435218339</t>
  </si>
  <si>
    <t>EARMARKED FOR GEORGIANS FOR KELLY LOEFFLER (C00729608)</t>
  </si>
  <si>
    <t>C00729608</t>
  </si>
  <si>
    <t>A356A562E2B47498AB91</t>
  </si>
  <si>
    <t>https://docquery.fec.gov/cgi-bin/fecimg/?202104209444652489</t>
  </si>
  <si>
    <t>F3P</t>
  </si>
  <si>
    <t>P2020</t>
  </si>
  <si>
    <t>L</t>
  </si>
  <si>
    <t>FRASER, JANET L</t>
  </si>
  <si>
    <t>SA17A.790468</t>
  </si>
  <si>
    <t>17A</t>
  </si>
  <si>
    <t>M8</t>
  </si>
  <si>
    <t>https://docquery.fec.gov/cgi-bin/fecimg/?202103039435067626</t>
  </si>
  <si>
    <t>A1A55FC3129E342C4990</t>
  </si>
  <si>
    <t>https://docquery.fec.gov/cgi-bin/fecimg/?202103039432434215</t>
  </si>
  <si>
    <t>C00458828</t>
  </si>
  <si>
    <t>A00CCDAFC76C74328B66</t>
  </si>
  <si>
    <t>https://docquery.fec.gov/cgi-bin/fecimg/?202103039434510849</t>
  </si>
  <si>
    <t>AF08CE6DCACA74FE7873</t>
  </si>
  <si>
    <t>https://docquery.fec.gov/cgi-bin/fecimg/?202103039433788857</t>
  </si>
  <si>
    <t>ADAB847FCC1FF4C5D907</t>
  </si>
  <si>
    <t>https://docquery.fec.gov/cgi-bin/fecimg/?202103039431715692</t>
  </si>
  <si>
    <t>EARMARKED FOR TEAM SCALISE (C00750521)</t>
  </si>
  <si>
    <t>C00750521</t>
  </si>
  <si>
    <t>ADA980FD8DBA840D6B67</t>
  </si>
  <si>
    <t>https://docquery.fec.gov/cgi-bin/fecimg/?202103039435069829</t>
  </si>
  <si>
    <t>A5D4DD9125A554445B72</t>
  </si>
  <si>
    <t>https://docquery.fec.gov/cgi-bin/fecimg/?202103039431343292</t>
  </si>
  <si>
    <t>AD5EC3ECF1DA3481589C</t>
  </si>
  <si>
    <t>https://docquery.fec.gov/cgi-bin/fecimg/?202103039431602605</t>
  </si>
  <si>
    <t>A5AFFA2674D474F1D884</t>
  </si>
  <si>
    <t>https://docquery.fec.gov/cgi-bin/fecimg/?202103039435210708</t>
  </si>
  <si>
    <t>A8970B9085DCC4900BEA</t>
  </si>
  <si>
    <t>https://docquery.fec.gov/cgi-bin/fecimg/?202103039431595177</t>
  </si>
  <si>
    <t>A2FA04E2D3A9744C79CE</t>
  </si>
  <si>
    <t>https://docquery.fec.gov/cgi-bin/fecimg/?202103039435206548</t>
  </si>
  <si>
    <t>EARMARKED FOR PERDUE FOR SENATE (C00547570)</t>
  </si>
  <si>
    <t>C00547570</t>
  </si>
  <si>
    <t>A3926826CBF4F46A791B</t>
  </si>
  <si>
    <t>https://docquery.fec.gov/cgi-bin/fecimg/?202103039432537339</t>
  </si>
  <si>
    <t>AF21FEFBAE62346C6B0D</t>
  </si>
  <si>
    <t>https://docquery.fec.gov/cgi-bin/fecimg/?202103039434595756</t>
  </si>
  <si>
    <t>A235469378C264EB0952</t>
  </si>
  <si>
    <t>https://docquery.fec.gov/cgi-bin/fecimg/?202103039432626923</t>
  </si>
  <si>
    <t>A0750C9C26FC042A7AD2</t>
  </si>
  <si>
    <t>https://docquery.fec.gov/cgi-bin/fecimg/?202103019429924860</t>
  </si>
  <si>
    <t>AE9C35A6BD47343DE9BD</t>
  </si>
  <si>
    <t>12G</t>
  </si>
  <si>
    <t>https://docquery.fec.gov/cgi-bin/fecimg/?202103019430060880</t>
  </si>
  <si>
    <t>EARMARKED FOR DEVIN NUNES CAMPAIGN COMMITTEE (C00370056)</t>
  </si>
  <si>
    <t>AF87EAA09EE434E8FA2E</t>
  </si>
  <si>
    <t>https://docquery.fec.gov/cgi-bin/fecimg/?202012149376409334</t>
  </si>
  <si>
    <t>EARMARKED FOR MONDAIRE FOR CONGRESS (C00711150)</t>
  </si>
  <si>
    <t>SA11AI_291685597</t>
  </si>
  <si>
    <t>M10</t>
  </si>
  <si>
    <t>SA11AI_291685763</t>
  </si>
  <si>
    <t>https://docquery.fec.gov/cgi-bin/fecimg/?202101259407263245</t>
  </si>
  <si>
    <t>EARMARKED FOR LACY JOHNSON FOR CONGRESS (C00711689)</t>
  </si>
  <si>
    <t>A6ACF41E7663A4B1B833</t>
  </si>
  <si>
    <t>https://docquery.fec.gov/cgi-bin/fecimg/?202102169428064724</t>
  </si>
  <si>
    <t>GENERAL</t>
  </si>
  <si>
    <t>G2020</t>
  </si>
  <si>
    <t>SA17A.645174</t>
  </si>
  <si>
    <t>https://docquery.fec.gov/cgi-bin/fecimg/?202101149401251104</t>
  </si>
  <si>
    <t>A230C40EAFEBD4DB29D8</t>
  </si>
  <si>
    <t>https://docquery.fec.gov/cgi-bin/fecimg/?202101259406567836</t>
  </si>
  <si>
    <t>EARMARKED FOR CAWTHORN FOR NC (C00732958)</t>
  </si>
  <si>
    <t>A3A57C122A73B4AC5B56</t>
  </si>
  <si>
    <t>https://docquery.fec.gov/cgi-bin/fecimg/?202012049354301504</t>
  </si>
  <si>
    <t>SA11AI_353573318</t>
  </si>
  <si>
    <t>SA11AI_330094890</t>
  </si>
  <si>
    <t>http://docquery.fec.gov/cgi-bin/fecimg/?202010159295071063</t>
  </si>
  <si>
    <t>* EARMARKED CONTRIBUTION: SEE BELOW</t>
  </si>
  <si>
    <t>F3</t>
  </si>
  <si>
    <t>VPF62PWM453E</t>
  </si>
  <si>
    <t>M.</t>
  </si>
  <si>
    <t>FRASER, JANE M.</t>
  </si>
  <si>
    <t>VPF62PWM453</t>
  </si>
  <si>
    <t>http://docquery.fec.gov/cgi-bin/fecimg/?202010229333123206</t>
  </si>
  <si>
    <t>SA11C.9876620487127</t>
  </si>
  <si>
    <t>SA11A.98794637</t>
  </si>
  <si>
    <t>SA11AI_340135389</t>
  </si>
  <si>
    <t>https://docquery.fec.gov/cgi-bin/fecimg/?202101149401691871</t>
  </si>
  <si>
    <t>A1FC227DD54F5471793F</t>
  </si>
  <si>
    <t>https://docquery.fec.gov/cgi-bin/fecimg/?202101149400329282</t>
  </si>
  <si>
    <t>ORLANDO</t>
  </si>
  <si>
    <t>1915 LAKEMONT AVE</t>
  </si>
  <si>
    <t>A68381365B9FA48CAB7E</t>
  </si>
  <si>
    <t>https://docquery.fec.gov/cgi-bin/fecimg/?202106259450653065</t>
  </si>
  <si>
    <t>SA11C.10663812695975</t>
  </si>
  <si>
    <t>SA11A.106643074</t>
  </si>
  <si>
    <t>Transfers From Other Authorized Committees</t>
  </si>
  <si>
    <t>https://docquery.fec.gov/cgi-bin/fecimg/?202104209444733909</t>
  </si>
  <si>
    <t>X</t>
  </si>
  <si>
    <t>JFC TRANSFER: TRUMP MAKE AMERICA GREAT AGAIN COMMITTEE [SA18.9137]</t>
  </si>
  <si>
    <t>SA18.331504</t>
  </si>
  <si>
    <t>https://docquery.fec.gov/cgi-bin/fecimg/?202101149400023838</t>
  </si>
  <si>
    <t>A224D7E96192C4764A94</t>
  </si>
  <si>
    <t>http://docquery.fec.gov/cgi-bin/fecimg/?202010229333029472</t>
  </si>
  <si>
    <t>CITIBANK N.A.</t>
  </si>
  <si>
    <t>MIAMI</t>
  </si>
  <si>
    <t>MIAMI CENTER</t>
  </si>
  <si>
    <t>201 S. BISCAYNE BLVD.</t>
  </si>
  <si>
    <t>FRASER, JANE N</t>
  </si>
  <si>
    <t>A2020-2153967</t>
  </si>
  <si>
    <t>https://docquery.fec.gov/cgi-bin/fecimg/?202012029337420116</t>
  </si>
  <si>
    <t>A2020-2494340</t>
  </si>
  <si>
    <t>https://docquery.fec.gov/cgi-bin/fecimg/?202012029337420115</t>
  </si>
  <si>
    <t>A2020-2492757</t>
  </si>
  <si>
    <t>A2020-2317422</t>
  </si>
  <si>
    <t>https://docquery.fec.gov/cgi-bin/fecimg/?202104209444436773</t>
  </si>
  <si>
    <t>EARMARKED THROUGH WINRED [SA17A.4863]</t>
  </si>
  <si>
    <t>SA17A.480284</t>
  </si>
  <si>
    <t>M7</t>
  </si>
  <si>
    <t>https://docquery.fec.gov/cgi-bin/fecimg/?202101299415464810</t>
  </si>
  <si>
    <t>A8F78127298E64CFBADD</t>
  </si>
  <si>
    <t>https://docquery.fec.gov/cgi-bin/fecimg/?202104209444541709</t>
  </si>
  <si>
    <t>JFC TRANSFER: TRUMP MAKE AMERICA GREAT AGAIN COMMITTEE [SA18.6042]</t>
  </si>
  <si>
    <t>SA18.480283</t>
  </si>
  <si>
    <t>https://docquery.fec.gov/cgi-bin/fecimg/?202105209447092992</t>
  </si>
  <si>
    <t>SEE REDESIGNATION</t>
  </si>
  <si>
    <t>SA17A.590039</t>
  </si>
  <si>
    <t>https://docquery.fec.gov/cgi-bin/fecimg/?202105209447092991</t>
  </si>
  <si>
    <t>REDESIGNATION TO RECOUNT - SEE LINE SA21</t>
  </si>
  <si>
    <t>SA17A.590038</t>
  </si>
  <si>
    <t>https://docquery.fec.gov/cgi-bin/fecimg/?202104209444883816</t>
  </si>
  <si>
    <t>JANET L</t>
  </si>
  <si>
    <t>SA17A.294841</t>
  </si>
  <si>
    <t>EARMARKED THROUGH WINRED [SA17A.4933]</t>
  </si>
  <si>
    <t>SA17A.294839</t>
  </si>
  <si>
    <t>https://docquery.fec.gov/cgi-bin/fecimg/?202012179388286340</t>
  </si>
  <si>
    <t>SA11AI_320746443</t>
  </si>
  <si>
    <t>SA11AI_320746187</t>
  </si>
  <si>
    <t>https://docquery.fec.gov/cgi-bin/fecimg/?202101299418056981</t>
  </si>
  <si>
    <t>A2020-2737651</t>
  </si>
  <si>
    <t>A2020-2681541</t>
  </si>
  <si>
    <t>https://docquery.fec.gov/cgi-bin/fecimg/?202101299418056980</t>
  </si>
  <si>
    <t>A2020-2622546</t>
  </si>
  <si>
    <t>http://docquery.fec.gov/cgi-bin/fecimg/?202010149285882377</t>
  </si>
  <si>
    <t>5023876E</t>
  </si>
  <si>
    <t>C00709196</t>
  </si>
  <si>
    <t>http://docquery.fec.gov/cgi-bin/fecimg/?202010149285882376</t>
  </si>
  <si>
    <t>4878932E</t>
  </si>
  <si>
    <t>4751508E</t>
  </si>
  <si>
    <t>http://docquery.fec.gov/cgi-bin/fecimg/?202010209297385287</t>
  </si>
  <si>
    <t>A2020-2107657</t>
  </si>
  <si>
    <t>A2020-2027512</t>
  </si>
  <si>
    <t>https://docquery.fec.gov/cgi-bin/fecimg/?202101079396354091</t>
  </si>
  <si>
    <t>A7A1B8EC6F9964F46839</t>
  </si>
  <si>
    <t>Q1</t>
  </si>
  <si>
    <t>https://docquery.fec.gov/cgi-bin/fecimg/?202101299414173171</t>
  </si>
  <si>
    <t>ABF7DA15D8C4D4731B67</t>
  </si>
  <si>
    <t>https://docquery.fec.gov/cgi-bin/fecimg/?202102189428415479</t>
  </si>
  <si>
    <t>EARMARKED THROUGH WINRED [SA11A1.4616]</t>
  </si>
  <si>
    <t>SA11AI.420418</t>
  </si>
  <si>
    <t>Other Receipts</t>
  </si>
  <si>
    <t>https://docquery.fec.gov/cgi-bin/fecimg/?202104219445337323</t>
  </si>
  <si>
    <t>RECOUNT</t>
  </si>
  <si>
    <t>E2020</t>
  </si>
  <si>
    <t>REDESIGNATION FROM GENERAL</t>
  </si>
  <si>
    <t>SA21.403629</t>
  </si>
  <si>
    <t>http://docquery.fec.gov/cgi-bin/fecimg/?202012039341022554</t>
  </si>
  <si>
    <t>VTQX8V0QSD0E</t>
  </si>
  <si>
    <t>VTQX8V0QSD0</t>
  </si>
  <si>
    <t>https://docquery.fec.gov/cgi-bin/fecimg/?202104219445177730</t>
  </si>
  <si>
    <t>SA17A.403628</t>
  </si>
  <si>
    <t>https://docquery.fec.gov/cgi-bin/fecimg/?202104219445177729</t>
  </si>
  <si>
    <t>EARMARKED THROUGH WINRED [SA17A.5072]: SEE REDESIGNATION; DEBT RETIREMENT</t>
  </si>
  <si>
    <t>SA17A.403627</t>
  </si>
  <si>
    <t>http://docquery.fec.gov/cgi-bin/fecimg/?202009189267433208</t>
  </si>
  <si>
    <t>A2020-1862112</t>
  </si>
  <si>
    <t>A2020-1677434</t>
  </si>
  <si>
    <t>https://docquery.fec.gov/cgi-bin/fecimg/?202101079394972774</t>
  </si>
  <si>
    <t>A1F724803663E4D7F8ED</t>
  </si>
  <si>
    <t>https://docquery.fec.gov/cgi-bin/fecimg/?202101079394930879</t>
  </si>
  <si>
    <t>AFC83FF54539D42AE869</t>
  </si>
  <si>
    <t>https://docquery.fec.gov/cgi-bin/fecimg/?202101259407354868</t>
  </si>
  <si>
    <t>A0A3C8F53E4014696B4B</t>
  </si>
  <si>
    <t>http://docquery.fec.gov/cgi-bin/fecimg/?202007159245084192</t>
  </si>
  <si>
    <t>VPF62PQBWE3E</t>
  </si>
  <si>
    <t>COLORADO STATE UNIVERSITY PUEBLO</t>
  </si>
  <si>
    <t>VPF62PQBWE3</t>
  </si>
  <si>
    <t>http://docquery.fec.gov/cgi-bin/fecimg/?202007209255986533</t>
  </si>
  <si>
    <t>SA11AI_257989259</t>
  </si>
  <si>
    <t>http://docquery.fec.gov/cgi-bin/fecimg/?202007209255986397</t>
  </si>
  <si>
    <t>H0NY16143</t>
  </si>
  <si>
    <t>SA11AI_258360896</t>
  </si>
  <si>
    <t>http://docquery.fec.gov/cgi-bin/fecimg/?202007209255986396</t>
  </si>
  <si>
    <t>SA11AI_255827364</t>
  </si>
  <si>
    <t>SA11AI_258360895</t>
  </si>
  <si>
    <t>http://docquery.fec.gov/cgi-bin/fecimg/?202007209255986398</t>
  </si>
  <si>
    <t>PHYSICAN</t>
  </si>
  <si>
    <t>ASCENCION</t>
  </si>
  <si>
    <t>JOHNSTOWN</t>
  </si>
  <si>
    <t>226 SACANDAGA ROAD</t>
  </si>
  <si>
    <t>SA11AI_255939856</t>
  </si>
  <si>
    <t>http://docquery.fec.gov/cgi-bin/fecimg/?202007209255986395</t>
  </si>
  <si>
    <t>SA11AI_255827365</t>
  </si>
  <si>
    <t>SA11AI_257046475</t>
  </si>
  <si>
    <t>SA11AI_252143743</t>
  </si>
  <si>
    <t>SA11AI_252143742</t>
  </si>
  <si>
    <t>SA11AI_259227492</t>
  </si>
  <si>
    <t>http://docquery.fec.gov/cgi-bin/fecimg/?202007279260831630</t>
  </si>
  <si>
    <t>SA17A.383368</t>
  </si>
  <si>
    <t>M5</t>
  </si>
  <si>
    <t>http://docquery.fec.gov/cgi-bin/fecimg/?202008209262401622</t>
  </si>
  <si>
    <t>SA11AI_267642792</t>
  </si>
  <si>
    <t>http://docquery.fec.gov/cgi-bin/fecimg/?202008209262401521</t>
  </si>
  <si>
    <t>SA11AI_265458226</t>
  </si>
  <si>
    <t>https://docquery.fec.gov/cgi-bin/fecimg/?202012149376409333</t>
  </si>
  <si>
    <t>EARMARKED FOR MARK KELLY FOR SENATE (C00696526)</t>
  </si>
  <si>
    <t>EXHIBIT DESIGNER</t>
  </si>
  <si>
    <t>SMITHSONIAN INSTITUTION</t>
  </si>
  <si>
    <t>WASHINGTON</t>
  </si>
  <si>
    <t>320 FLORIDA AVE NE 922</t>
  </si>
  <si>
    <t>SA11AI_304211655</t>
  </si>
  <si>
    <t>https://docquery.fec.gov/cgi-bin/fecimg/?202012149376409648</t>
  </si>
  <si>
    <t>SA11AI_302033191</t>
  </si>
  <si>
    <t>EARMARKED FOR HICKENLOOPER FOR COLORADO (C00716720)</t>
  </si>
  <si>
    <t>SA11AI_297628415</t>
  </si>
  <si>
    <t>EARMARKED FOR DOUG JONES FOR US SENATE (C00640623)</t>
  </si>
  <si>
    <t>SA11AI_297628413</t>
  </si>
  <si>
    <t>https://docquery.fec.gov/cgi-bin/fecimg/?202012149376409330</t>
  </si>
  <si>
    <t>EARMARKED FOR WARNOCK FOR GEORGIA (C00736876)</t>
  </si>
  <si>
    <t>SA11AI_297628411</t>
  </si>
  <si>
    <t>EARMARKED FOR THERESA GREENFIELD FOR IOWA (C00708164)</t>
  </si>
  <si>
    <t>SA11AI_297628410</t>
  </si>
  <si>
    <t>https://docquery.fec.gov/cgi-bin/fecimg/?202012149376409329</t>
  </si>
  <si>
    <t>EARMARKED FOR MJ FOR TEXAS (C00649350)</t>
  </si>
  <si>
    <t>SA11AI_297628408</t>
  </si>
  <si>
    <t>EARMARKED FOR PETERS FOR MICHIGAN (C00437889)</t>
  </si>
  <si>
    <t>SA11AI_297628407</t>
  </si>
  <si>
    <t>https://docquery.fec.gov/cgi-bin/fecimg/?202012149376409331</t>
  </si>
  <si>
    <t>EARMARKED FOR MONTANANS FOR BULLOCK (C00741611)</t>
  </si>
  <si>
    <t>SA11AI_297628406</t>
  </si>
  <si>
    <t>https://docquery.fec.gov/cgi-bin/fecimg/?202012149376409332</t>
  </si>
  <si>
    <t>EARMARKED FOR SARA GIDEON FOR MAINE (C00709899)</t>
  </si>
  <si>
    <t>SA11AI_297628404</t>
  </si>
  <si>
    <t>EARMARKED FOR DR. ALAN GROSS FOR U.S. SENATE (C00710822)</t>
  </si>
  <si>
    <t>SA11AI_297628403</t>
  </si>
  <si>
    <t>EARMARKED FOR CAL FOR NC (C00709410)</t>
  </si>
  <si>
    <t>SA11AI_297628402</t>
  </si>
  <si>
    <t>EARMARKED FOR JON OSSOFF FOR SENATE (C00718866)</t>
  </si>
  <si>
    <t>SA11AI_297628400</t>
  </si>
  <si>
    <t>EARMARKED FOR JAIME HARRISON FOR US SENATE (C00696153)</t>
  </si>
  <si>
    <t>SA11AI_297628399</t>
  </si>
  <si>
    <t>EARMARKED FOR BOLLIER FOR KANSAS (C00723122)</t>
  </si>
  <si>
    <t>SA11AI_297628397</t>
  </si>
  <si>
    <t>http://docquery.fec.gov/cgi-bin/fecimg/?202007179250381401</t>
  </si>
  <si>
    <t>A2020-1332831</t>
  </si>
  <si>
    <t>https://docquery.fec.gov/cgi-bin/fecimg/?202101259406803318</t>
  </si>
  <si>
    <t>AGRICULTURE</t>
  </si>
  <si>
    <t>SELF-EMPLOYED</t>
  </si>
  <si>
    <t>OH</t>
  </si>
  <si>
    <t>CINCINNATI</t>
  </si>
  <si>
    <t>10500 WEIL RD</t>
  </si>
  <si>
    <t>A091E7AF6562548B789A</t>
  </si>
  <si>
    <t>A2020-1370101</t>
  </si>
  <si>
    <t>http://docquery.fec.gov/cgi-bin/fecimg/?202008299267057765</t>
  </si>
  <si>
    <t>VTQX8QQ8PW3E</t>
  </si>
  <si>
    <t>VTQX8QQ8PW3</t>
  </si>
  <si>
    <t>http://docquery.fec.gov/cgi-bin/fecimg/?202006209240760156</t>
  </si>
  <si>
    <t>EARMARKED FOR ROMANOFF FOR COLORADO (C00696724)</t>
  </si>
  <si>
    <t>S0CO00286</t>
  </si>
  <si>
    <t>C00696724</t>
  </si>
  <si>
    <t>SA11AI_233335138</t>
  </si>
  <si>
    <t>M6</t>
  </si>
  <si>
    <t>http://docquery.fec.gov/cgi-bin/fecimg/?202006209240760158</t>
  </si>
  <si>
    <t>SA11AI_239420883</t>
  </si>
  <si>
    <t>http://docquery.fec.gov/cgi-bin/fecimg/?202006209240760157</t>
  </si>
  <si>
    <t>SA11AI_237902070</t>
  </si>
  <si>
    <t>SA11AI_239420516</t>
  </si>
  <si>
    <t>SA11AI_235374131</t>
  </si>
  <si>
    <t>SA11AI_233335204</t>
  </si>
  <si>
    <t>http://docquery.fec.gov/cgi-bin/fecimg/?202006209240760241</t>
  </si>
  <si>
    <t>SA11AI_235757119</t>
  </si>
  <si>
    <t>SA11AI_237902054</t>
  </si>
  <si>
    <t>http://docquery.fec.gov/cgi-bin/fecimg/?202008199261409159</t>
  </si>
  <si>
    <t>A2020-1621779</t>
  </si>
  <si>
    <t>A2020-1443529</t>
  </si>
  <si>
    <t>http://docquery.fec.gov/cgi-bin/fecimg/?202008249266942518</t>
  </si>
  <si>
    <t>JFC TRANSFER: TRUMP MAKE AMERICA GREAT AGAIN COMMITTEE [SA18.4848]</t>
  </si>
  <si>
    <t>SA18.267580</t>
  </si>
  <si>
    <t>http://docquery.fec.gov/cgi-bin/fecimg/?202006199240005715</t>
  </si>
  <si>
    <t>A2020-1121955</t>
  </si>
  <si>
    <t>A2020-1071002</t>
  </si>
  <si>
    <t>http://docquery.fec.gov/cgi-bin/fecimg/?202006199240005714</t>
  </si>
  <si>
    <t>A2020-873911</t>
  </si>
  <si>
    <t>http://docquery.fec.gov/cgi-bin/fecimg/?202006189239948256</t>
  </si>
  <si>
    <t>6625336E</t>
  </si>
  <si>
    <t>12P</t>
  </si>
  <si>
    <t>http://docquery.fec.gov/cgi-bin/fecimg/?202006179239825452</t>
  </si>
  <si>
    <t>SA17A.373723</t>
  </si>
  <si>
    <t>http://docquery.fec.gov/cgi-bin/fecimg/?202008249266886680</t>
  </si>
  <si>
    <t>SA17A.267582</t>
  </si>
  <si>
    <t>http://docquery.fec.gov/cgi-bin/fecimg/?202006109239666728</t>
  </si>
  <si>
    <t>EARMARKED ACTBLUE CONTRIBUTION</t>
  </si>
  <si>
    <t>SA11AI.60032</t>
  </si>
  <si>
    <t>SA11AI.60031</t>
  </si>
  <si>
    <t>SA11AI.60030</t>
  </si>
  <si>
    <t>http://docquery.fec.gov/cgi-bin/fecimg/?202006109239665397</t>
  </si>
  <si>
    <t>5997436E</t>
  </si>
  <si>
    <t>http://docquery.fec.gov/cgi-bin/fecimg/?202005209236474238</t>
  </si>
  <si>
    <t>SA11AI_228405051</t>
  </si>
  <si>
    <t>http://docquery.fec.gov/cgi-bin/fecimg/?202005119232649352</t>
  </si>
  <si>
    <t>SA17A.85277</t>
  </si>
  <si>
    <t>http://docquery.fec.gov/cgi-bin/fecimg/?202005189232774792</t>
  </si>
  <si>
    <t>A2020-816899</t>
  </si>
  <si>
    <t>A2020-599018</t>
  </si>
  <si>
    <t>SA11AI_228404162</t>
  </si>
  <si>
    <t>https://docquery.fec.gov/cgi-bin/fecimg/?202101259408936655</t>
  </si>
  <si>
    <t>AEC707EA33ED945EDA08</t>
  </si>
  <si>
    <t>https://docquery.fec.gov/cgi-bin/fecimg/?202101259405886468</t>
  </si>
  <si>
    <t>A5B960830E47B4961819</t>
  </si>
  <si>
    <t>https://docquery.fec.gov/cgi-bin/fecimg/?202101259406199962</t>
  </si>
  <si>
    <t>AEB15D6CFAE5F41FFBB4</t>
  </si>
  <si>
    <t>https://docquery.fec.gov/cgi-bin/fecimg/?202101259408338463</t>
  </si>
  <si>
    <t>A961FEC60B5174292B1B</t>
  </si>
  <si>
    <t>https://docquery.fec.gov/cgi-bin/fecimg/?202101259407262021</t>
  </si>
  <si>
    <t>EARMARKED FOR ELISE FOR CONGRESS (C00547893)</t>
  </si>
  <si>
    <t>A959098E2EB944CF08EF</t>
  </si>
  <si>
    <t>https://docquery.fec.gov/cgi-bin/fecimg/?202101259406802476</t>
  </si>
  <si>
    <t>A4F15EE9DA2934547A73</t>
  </si>
  <si>
    <t>http://docquery.fec.gov/cgi-bin/fecimg/?202004219228948023</t>
  </si>
  <si>
    <t>SA11AI_222038013</t>
  </si>
  <si>
    <t>http://docquery.fec.gov/cgi-bin/fecimg/?202004219228948024</t>
  </si>
  <si>
    <t>MD</t>
  </si>
  <si>
    <t>LAUREL</t>
  </si>
  <si>
    <t>8410 UPPER SKY WAY 433</t>
  </si>
  <si>
    <t>JANELLE</t>
  </si>
  <si>
    <t>FRASER, JANELLE</t>
  </si>
  <si>
    <t>SA11AI_215278602</t>
  </si>
  <si>
    <t>http://docquery.fec.gov/cgi-bin/fecimg/?202004219228948025</t>
  </si>
  <si>
    <t>EARMARKED FOR BERNIE 2020 (C00696948)</t>
  </si>
  <si>
    <t>SA11AI_215278797</t>
  </si>
  <si>
    <t>SA11AI_222037943</t>
  </si>
  <si>
    <t>SA11AI_215278554</t>
  </si>
  <si>
    <t>SA11AI_223827413</t>
  </si>
  <si>
    <t>https://docquery.fec.gov/cgi-bin/fecimg/?202103039440086687</t>
  </si>
  <si>
    <t>SA17A.427180</t>
  </si>
  <si>
    <t>http://docquery.fec.gov/cgi-bin/fecimg/?202004209219745754</t>
  </si>
  <si>
    <t>A2020-561208</t>
  </si>
  <si>
    <t>A2020-360421</t>
  </si>
  <si>
    <t>http://docquery.fec.gov/cgi-bin/fecimg/?202003209211085012</t>
  </si>
  <si>
    <t>EARMARKED FOR AMY FOR AMERICA (C00696419)</t>
  </si>
  <si>
    <t>SA11AI_208750708</t>
  </si>
  <si>
    <t>SA11AI_205607307</t>
  </si>
  <si>
    <t>SA11AI_208094283</t>
  </si>
  <si>
    <t>http://docquery.fec.gov/cgi-bin/fecimg/?202003209204628311</t>
  </si>
  <si>
    <t>A2020-131115</t>
  </si>
  <si>
    <t>A2020-373091</t>
  </si>
  <si>
    <t>http://docquery.fec.gov/cgi-bin/fecimg/?202002219200544520</t>
  </si>
  <si>
    <t>SA11AI_200256939</t>
  </si>
  <si>
    <t>M2</t>
  </si>
  <si>
    <t>http://docquery.fec.gov/cgi-bin/fecimg/?202010219326743497</t>
  </si>
  <si>
    <t>VTQX8TTSXS7E</t>
  </si>
  <si>
    <t>VTQX8TTSXS7</t>
  </si>
  <si>
    <t>http://docquery.fec.gov/cgi-bin/fecimg/?202002219200544521</t>
  </si>
  <si>
    <t>SA11AI_200795901</t>
  </si>
  <si>
    <t>SA11AI_200256970</t>
  </si>
  <si>
    <t>http://docquery.fec.gov/cgi-bin/fecimg/?202001299169852337</t>
  </si>
  <si>
    <t>320 FLORIDA AVE NE UNIT 922</t>
  </si>
  <si>
    <t>SA11AI_194610800</t>
  </si>
  <si>
    <t>http://docquery.fec.gov/cgi-bin/fecimg/?202001299169852338</t>
  </si>
  <si>
    <t>SA11AI_194610801</t>
  </si>
  <si>
    <t>http://docquery.fec.gov/cgi-bin/fecimg/?202001299169852336</t>
  </si>
  <si>
    <t>EARMARKED FOR PETE FOR AMERICA, INC (C00697441)</t>
  </si>
  <si>
    <t>NATIONAL MUSEUM OF AFRICAN AMERICAN HI</t>
  </si>
  <si>
    <t>BALTIMORE</t>
  </si>
  <si>
    <t>1201 W MOUNT ROYAL AVE 646</t>
  </si>
  <si>
    <t>SA11AI_177160546</t>
  </si>
  <si>
    <t>SA11AI_167243719</t>
  </si>
  <si>
    <t>SA11AI_188579912</t>
  </si>
  <si>
    <t>SA11AI_186185595</t>
  </si>
  <si>
    <t>http://docquery.fec.gov/cgi-bin/fecimg/?202002199186521400</t>
  </si>
  <si>
    <t>A2020-54921</t>
  </si>
  <si>
    <t>http://docquery.fec.gov/cgi-bin/fecimg/?202001309182438086</t>
  </si>
  <si>
    <t>A2019-3118638</t>
  </si>
  <si>
    <t>A2019-2953435</t>
  </si>
  <si>
    <t>http://docquery.fec.gov/cgi-bin/fecimg/?202009209275692071</t>
  </si>
  <si>
    <t>SA11C.95730975627516</t>
  </si>
  <si>
    <t>COO694323</t>
  </si>
  <si>
    <t>33 WEST EVERGLADE AVENUE</t>
  </si>
  <si>
    <t>SA11A.95798569</t>
  </si>
  <si>
    <t>Transfers from Authorized Committees</t>
  </si>
  <si>
    <t>http://docquery.fec.gov/cgi-bin/fecimg/?202009209275724987</t>
  </si>
  <si>
    <t>TRANSFER FROM TRUMP MAKE AMERICA GREAT AGAIN COMMITTEE</t>
  </si>
  <si>
    <t>SA12</t>
  </si>
  <si>
    <t>SA12.94284179</t>
  </si>
  <si>
    <t>MEMO (FILER'S % OF CONTRIBUTION GIVEN TO JOIN</t>
  </si>
  <si>
    <t>15J</t>
  </si>
  <si>
    <t>SA.92033097.1.TM30</t>
  </si>
  <si>
    <t>http://docquery.fec.gov/cgi-bin/fecimg/?201912169166293817</t>
  </si>
  <si>
    <t>A2019-2737348</t>
  </si>
  <si>
    <t>M12</t>
  </si>
  <si>
    <t>A2019-2693255</t>
  </si>
  <si>
    <t>http://docquery.fec.gov/cgi-bin/fecimg/?201910189165080447</t>
  </si>
  <si>
    <t>A2019-2203388</t>
  </si>
  <si>
    <t>C00039305</t>
  </si>
  <si>
    <t>http://docquery.fec.gov/cgi-bin/fecimg/?201910189165080446</t>
  </si>
  <si>
    <t>A2019-1996146</t>
  </si>
  <si>
    <t>http://docquery.fec.gov/cgi-bin/fecimg/?201909209163463349</t>
  </si>
  <si>
    <t>A2019-1958602</t>
  </si>
  <si>
    <t>http://docquery.fec.gov/cgi-bin/fecimg/?201909209163463348</t>
  </si>
  <si>
    <t>A2019-1773074</t>
  </si>
  <si>
    <t>http://docquery.fec.gov/cgi-bin/fecimg/?202012039338180898</t>
  </si>
  <si>
    <t>5461157E</t>
  </si>
  <si>
    <t>http://docquery.fec.gov/cgi-bin/fecimg/?201907299154046182</t>
  </si>
  <si>
    <t>DESIGNER</t>
  </si>
  <si>
    <t>SMITHSONIAN</t>
  </si>
  <si>
    <t>W</t>
  </si>
  <si>
    <t>SA11AI_155730363</t>
  </si>
  <si>
    <t>MY</t>
  </si>
  <si>
    <t>http://docquery.fec.gov/cgi-bin/fecimg/?201907299154046183</t>
  </si>
  <si>
    <t>EARMARKED FOR DEMOCRACY FOR AMERICA (C00370007)</t>
  </si>
  <si>
    <t>COLO STATE U - PUEBLO</t>
  </si>
  <si>
    <t>SA11AI_158972666</t>
  </si>
  <si>
    <t>http://docquery.fec.gov/cgi-bin/fecimg/?201907299154046181</t>
  </si>
  <si>
    <t>SA11AI_151943648</t>
  </si>
  <si>
    <t>http://docquery.fec.gov/cgi-bin/fecimg/?201907299154046180</t>
  </si>
  <si>
    <t>SA11AI_147667279</t>
  </si>
  <si>
    <t>SA11AI_156689510</t>
  </si>
  <si>
    <t>SA11AI_152551790</t>
  </si>
  <si>
    <t>SA11AI_158972677</t>
  </si>
  <si>
    <t>SA11AI_151476481</t>
  </si>
  <si>
    <t>http://docquery.fec.gov/cgi-bin/fecimg/?201908209163011011</t>
  </si>
  <si>
    <t>A2019-1676951</t>
  </si>
  <si>
    <t>http://docquery.fec.gov/cgi-bin/fecimg/?201908209163011010</t>
  </si>
  <si>
    <t>A2019-1507795</t>
  </si>
  <si>
    <t>http://docquery.fec.gov/cgi-bin/fecimg/?201911199165586398</t>
  </si>
  <si>
    <t>A2019-2460998</t>
  </si>
  <si>
    <t>M11</t>
  </si>
  <si>
    <t>A2019-2288700</t>
  </si>
  <si>
    <t>http://docquery.fec.gov/cgi-bin/fecimg/?201907199151532410</t>
  </si>
  <si>
    <t>A2019-1394502</t>
  </si>
  <si>
    <t>A2019-1263727</t>
  </si>
  <si>
    <t>http://docquery.fec.gov/cgi-bin/fecimg/?201904159146227596</t>
  </si>
  <si>
    <t>SA17A</t>
  </si>
  <si>
    <t>10791107E</t>
  </si>
  <si>
    <t>C00696948</t>
  </si>
  <si>
    <t>http://docquery.fec.gov/cgi-bin/fecimg/?201904159146227595</t>
  </si>
  <si>
    <t>10682967E</t>
  </si>
  <si>
    <t>http://docquery.fec.gov/cgi-bin/fecimg/?201904159146227594</t>
  </si>
  <si>
    <t>10426135E</t>
  </si>
  <si>
    <t>10026956E</t>
  </si>
  <si>
    <t>http://docquery.fec.gov/cgi-bin/fecimg/?201907229151618550</t>
  </si>
  <si>
    <t>A2019-1118276</t>
  </si>
  <si>
    <t>A2019-1077384</t>
  </si>
  <si>
    <t>A2019-851957</t>
  </si>
  <si>
    <t>http://docquery.fec.gov/cgi-bin/fecimg/?201907229151618501</t>
  </si>
  <si>
    <t>A2019-800998</t>
  </si>
  <si>
    <t>A2019-591253</t>
  </si>
  <si>
    <t>http://docquery.fec.gov/cgi-bin/fecimg/?201907229151618469</t>
  </si>
  <si>
    <t>201 S BISCAYNE BLVD</t>
  </si>
  <si>
    <t>A2019-523649</t>
  </si>
  <si>
    <t>A2019-378158</t>
  </si>
  <si>
    <t>http://docquery.fec.gov/cgi-bin/fecimg/?201907229151618448</t>
  </si>
  <si>
    <t>A2019-271437</t>
  </si>
  <si>
    <t>http://docquery.fec.gov/cgi-bin/fecimg/?201907229151618447</t>
  </si>
  <si>
    <t>A2019-92450</t>
  </si>
  <si>
    <t>http://docquery.fec.gov/cgi-bin/fecimg/?201907229151618417</t>
  </si>
  <si>
    <t>A2019-25850</t>
  </si>
  <si>
    <t>201 S. BISCAYNE BLVD. MIAMI FL 33131</t>
  </si>
  <si>
    <t>C00693234</t>
  </si>
  <si>
    <t>WARREN FOR PRESIDENT, INC.</t>
  </si>
  <si>
    <t>TAYLOR, DIANA</t>
  </si>
  <si>
    <t>DIANA</t>
  </si>
  <si>
    <t>TAYLOR</t>
  </si>
  <si>
    <t>75 CAMBRIDGE PKWY</t>
  </si>
  <si>
    <t>CAMBRIDGE</t>
  </si>
  <si>
    <t>NONE</t>
  </si>
  <si>
    <t>3888874E</t>
  </si>
  <si>
    <t>http://docquery.fec.gov/cgi-bin/fecimg/?201912129166268735</t>
  </si>
  <si>
    <t>3636565E</t>
  </si>
  <si>
    <t>http://docquery.fec.gov/cgi-bin/fecimg/?201912129166268733</t>
  </si>
  <si>
    <t>3695363E</t>
  </si>
  <si>
    <t>3720103E</t>
  </si>
  <si>
    <t>http://docquery.fec.gov/cgi-bin/fecimg/?201912129166268734</t>
  </si>
  <si>
    <t>3738867E</t>
  </si>
  <si>
    <t>4384456E</t>
  </si>
  <si>
    <t>http://docquery.fec.gov/cgi-bin/fecimg/?201912129166268739</t>
  </si>
  <si>
    <t>3888875E</t>
  </si>
  <si>
    <t>http://docquery.fec.gov/cgi-bin/fecimg/?201912129166268736</t>
  </si>
  <si>
    <t>3911771E</t>
  </si>
  <si>
    <t>http://docquery.fec.gov/cgi-bin/fecimg/?201912129166268737</t>
  </si>
  <si>
    <t>3991456E</t>
  </si>
  <si>
    <t>4064227E</t>
  </si>
  <si>
    <t>http://docquery.fec.gov/cgi-bin/fecimg/?201912129166268738</t>
  </si>
  <si>
    <t>4222813E</t>
  </si>
  <si>
    <t>C00492645</t>
  </si>
  <si>
    <t>FRIENDS OF CHRIS MURPHY</t>
  </si>
  <si>
    <t>VTRAAS2NCM4</t>
  </si>
  <si>
    <t>C2024</t>
  </si>
  <si>
    <t>CONVENTION</t>
  </si>
  <si>
    <t>VTRAAS2NCM4E</t>
  </si>
  <si>
    <t>http://docquery.fec.gov/cgi-bin/fecimg/?202010159295321107</t>
  </si>
  <si>
    <t>VTRAAVM03N3</t>
  </si>
  <si>
    <t>VTRAAVM03N3E</t>
  </si>
  <si>
    <t>http://docquery.fec.gov/cgi-bin/fecimg/?202010159295320940</t>
  </si>
  <si>
    <t>C00630012</t>
  </si>
  <si>
    <t>IT STARTS TODAY</t>
  </si>
  <si>
    <t>L22056391</t>
  </si>
  <si>
    <t>75 CAMBRIDGE PARKWAY, UNIT E708</t>
  </si>
  <si>
    <t>EARMARKED FOR S-ME-02-D NOMINEE FUND 2020</t>
  </si>
  <si>
    <t>O2019</t>
  </si>
  <si>
    <t>NON-CAND COMMITTEE</t>
  </si>
  <si>
    <t>http://docquery.fec.gov/cgi-bin/fecimg/?201908099162759369</t>
  </si>
  <si>
    <t>L22056392</t>
  </si>
  <si>
    <t>SA11AI_145687594</t>
  </si>
  <si>
    <t>75 CAMBRIDGE PARKWAY</t>
  </si>
  <si>
    <t>http://docquery.fec.gov/cgi-bin/fecimg/?201907299156850314</t>
  </si>
  <si>
    <t>SA11AI_145687587</t>
  </si>
  <si>
    <t>EARMARKED FOR KAMALA HARRIS FOR THE PEOPLE (C00694455)</t>
  </si>
  <si>
    <t>http://docquery.fec.gov/cgi-bin/fecimg/?201907299156850315</t>
  </si>
  <si>
    <t>SA11AI_146790800</t>
  </si>
  <si>
    <t>http://docquery.fec.gov/cgi-bin/fecimg/?201907299156850318</t>
  </si>
  <si>
    <t>SA11AI_146790798</t>
  </si>
  <si>
    <t>EARMARKED FOR ALEXANDRIA OCASIO-CORTEZ FOR CONGRESS (C00639591)</t>
  </si>
  <si>
    <t>SA11AI_147329080</t>
  </si>
  <si>
    <t>http://docquery.fec.gov/cgi-bin/fecimg/?201907299156850320</t>
  </si>
  <si>
    <t>SA11AI_146790799</t>
  </si>
  <si>
    <t>EARMARKED FOR BE A HERO PAC (C00678995)</t>
  </si>
  <si>
    <t>http://docquery.fec.gov/cgi-bin/fecimg/?201907299156850319</t>
  </si>
  <si>
    <t>SA11AI_151798284</t>
  </si>
  <si>
    <t>http://docquery.fec.gov/cgi-bin/fecimg/?201907299156850324</t>
  </si>
  <si>
    <t>SA11AI_153175442</t>
  </si>
  <si>
    <t>http://docquery.fec.gov/cgi-bin/fecimg/?201907299156850326</t>
  </si>
  <si>
    <t>SA11AI_155733981</t>
  </si>
  <si>
    <t>http://docquery.fec.gov/cgi-bin/fecimg/?201907299156850332</t>
  </si>
  <si>
    <t>SA11AI_155733975</t>
  </si>
  <si>
    <t>SA11AI_155688451</t>
  </si>
  <si>
    <t>http://docquery.fec.gov/cgi-bin/fecimg/?201907299156850333</t>
  </si>
  <si>
    <t>SA11AI_157993114</t>
  </si>
  <si>
    <t>P00009621</t>
  </si>
  <si>
    <t>EARMARKED FOR WARREN FOR PRESIDENT, INC. (C00693234)</t>
  </si>
  <si>
    <t>http://docquery.fec.gov/cgi-bin/fecimg/?201907299156850340</t>
  </si>
  <si>
    <t>SA11AI_159006610</t>
  </si>
  <si>
    <t>http://docquery.fec.gov/cgi-bin/fecimg/?201907299156850342</t>
  </si>
  <si>
    <t>SA11AI_157993123</t>
  </si>
  <si>
    <t>http://docquery.fec.gov/cgi-bin/fecimg/?201907299156850339</t>
  </si>
  <si>
    <t>SA11AI_159006609</t>
  </si>
  <si>
    <t>http://docquery.fec.gov/cgi-bin/fecimg/?201907299156850341</t>
  </si>
  <si>
    <t>SA11AI_161492067</t>
  </si>
  <si>
    <t>http://docquery.fec.gov/cgi-bin/fecimg/?201907299156850347</t>
  </si>
  <si>
    <t>SA11AI_162641216</t>
  </si>
  <si>
    <t>http://docquery.fec.gov/cgi-bin/fecimg/?201907299156850350</t>
  </si>
  <si>
    <t>SA11AI_161492068</t>
  </si>
  <si>
    <t>http://docquery.fec.gov/cgi-bin/fecimg/?201907299156850348</t>
  </si>
  <si>
    <t>SA11AI_164439737</t>
  </si>
  <si>
    <t>http://docquery.fec.gov/cgi-bin/fecimg/?201907299156850351</t>
  </si>
  <si>
    <t>SA11AI_162641194</t>
  </si>
  <si>
    <t>SA11AI_164439835</t>
  </si>
  <si>
    <t>http://docquery.fec.gov/cgi-bin/fecimg/?201907299156850352</t>
  </si>
  <si>
    <t>SA11AI_164441612</t>
  </si>
  <si>
    <t>http://docquery.fec.gov/cgi-bin/fecimg/?201907299156850353</t>
  </si>
  <si>
    <t>SA11AI_164441581</t>
  </si>
  <si>
    <t>SA11AI_160667996</t>
  </si>
  <si>
    <t>http://docquery.fec.gov/cgi-bin/fecimg/?201907299156850345</t>
  </si>
  <si>
    <t>SA11AI_153175436</t>
  </si>
  <si>
    <t>http://docquery.fec.gov/cgi-bin/fecimg/?201907299156850327</t>
  </si>
  <si>
    <t>SA11AI_151798275</t>
  </si>
  <si>
    <t>SA11AI_157593231</t>
  </si>
  <si>
    <t>http://docquery.fec.gov/cgi-bin/fecimg/?201907299156850338</t>
  </si>
  <si>
    <t>SA11AI_164440556</t>
  </si>
  <si>
    <t>SA11AI_145696847</t>
  </si>
  <si>
    <t>SA11AI_147329076</t>
  </si>
  <si>
    <t>SA11AI_162964087</t>
  </si>
  <si>
    <t>SA11AI_164440535</t>
  </si>
  <si>
    <t>SA11AI_155688453</t>
  </si>
  <si>
    <t>SA11AI_162964088</t>
  </si>
  <si>
    <t>SA11AI_160667992</t>
  </si>
  <si>
    <t>http://docquery.fec.gov/cgi-bin/fecimg/?201907299156850346</t>
  </si>
  <si>
    <t>SA11AI_157593224</t>
  </si>
  <si>
    <t>3080420E</t>
  </si>
  <si>
    <t>http://docquery.fec.gov/cgi-bin/fecimg/?201909069163195372</t>
  </si>
  <si>
    <t>3526780E</t>
  </si>
  <si>
    <t>http://docquery.fec.gov/cgi-bin/fecimg/?201909069163195375</t>
  </si>
  <si>
    <t>3103432E</t>
  </si>
  <si>
    <t>http://docquery.fec.gov/cgi-bin/fecimg/?201909069163195373</t>
  </si>
  <si>
    <t>3239822E</t>
  </si>
  <si>
    <t>3308067E</t>
  </si>
  <si>
    <t>http://docquery.fec.gov/cgi-bin/fecimg/?201909069163195374</t>
  </si>
  <si>
    <t>3385626E</t>
  </si>
  <si>
    <t>5828532E</t>
  </si>
  <si>
    <t>http://docquery.fec.gov/cgi-bin/fecimg/?202003209210196741</t>
  </si>
  <si>
    <t>C00213512</t>
  </si>
  <si>
    <t>NANCY PELOSI FOR CONGRESS</t>
  </si>
  <si>
    <t>VSHCDJM34Q4</t>
  </si>
  <si>
    <t>N/A</t>
  </si>
  <si>
    <t>VSHCDJM34Q4E</t>
  </si>
  <si>
    <t>http://docquery.fec.gov/cgi-bin/fecimg/?202001319184152175</t>
  </si>
  <si>
    <t>6508310E</t>
  </si>
  <si>
    <t>http://docquery.fec.gov/cgi-bin/fecimg/?202003209210196743</t>
  </si>
  <si>
    <t>VSHCDJSX1E2</t>
  </si>
  <si>
    <t>VSHCDJSX1E2E</t>
  </si>
  <si>
    <t>http://docquery.fec.gov/cgi-bin/fecimg/?202001319184150622</t>
  </si>
  <si>
    <t>VSHCDJJPTX4</t>
  </si>
  <si>
    <t>VSHCDJJPTX4E</t>
  </si>
  <si>
    <t>http://docquery.fec.gov/cgi-bin/fecimg/?202001319184152318</t>
  </si>
  <si>
    <t>VSHCDJMHP85</t>
  </si>
  <si>
    <t>VSHCDJMHP85E</t>
  </si>
  <si>
    <t>http://docquery.fec.gov/cgi-bin/fecimg/?202001319184152551</t>
  </si>
  <si>
    <t>VSHCDJM30D6</t>
  </si>
  <si>
    <t>VSHCDJM30D6E</t>
  </si>
  <si>
    <t>http://docquery.fec.gov/cgi-bin/fecimg/?202001319184153354</t>
  </si>
  <si>
    <t>VSHCDJJPTW6</t>
  </si>
  <si>
    <t>VSHCDJJPTW6E</t>
  </si>
  <si>
    <t>http://docquery.fec.gov/cgi-bin/fecimg/?202001319184153683</t>
  </si>
  <si>
    <t>VSHCDJM34P6</t>
  </si>
  <si>
    <t>VSHCDJM34P6E</t>
  </si>
  <si>
    <t>http://docquery.fec.gov/cgi-bin/fecimg/?202001319184153546</t>
  </si>
  <si>
    <t>5842306E</t>
  </si>
  <si>
    <t>http://docquery.fec.gov/cgi-bin/fecimg/?202003209210196742</t>
  </si>
  <si>
    <t>VSHCDJPMK79</t>
  </si>
  <si>
    <t>VSHCDJPMK79E</t>
  </si>
  <si>
    <t>http://docquery.fec.gov/cgi-bin/fecimg/?202001319184155231</t>
  </si>
  <si>
    <t>6291069E</t>
  </si>
  <si>
    <t>C00341396</t>
  </si>
  <si>
    <t>MOVEON.ORG POLITICAL ACTION</t>
  </si>
  <si>
    <t>UNIT E708</t>
  </si>
  <si>
    <t>http://docquery.fec.gov/cgi-bin/fecimg/?202001319185800868</t>
  </si>
  <si>
    <t>C00639591</t>
  </si>
  <si>
    <t>ALEXANDRIA OCASIO-CORTEZ FOR CONGRESS</t>
  </si>
  <si>
    <t>VTQX5JGF9F8</t>
  </si>
  <si>
    <t>VTQX5JGF9F8E</t>
  </si>
  <si>
    <t>http://docquery.fec.gov/cgi-bin/fecimg/?202001319184120228</t>
  </si>
  <si>
    <t>4611850E</t>
  </si>
  <si>
    <t>http://docquery.fec.gov/cgi-bin/fecimg/?202001319184988334</t>
  </si>
  <si>
    <t>4921395E</t>
  </si>
  <si>
    <t>VTQX5J5X6Z4</t>
  </si>
  <si>
    <t>VTQX5J5X6Z4E</t>
  </si>
  <si>
    <t>http://docquery.fec.gov/cgi-bin/fecimg/?202001319184120225</t>
  </si>
  <si>
    <t>VTQX5J67906</t>
  </si>
  <si>
    <t>VTQX5J67906E</t>
  </si>
  <si>
    <t>http://docquery.fec.gov/cgi-bin/fecimg/?202001319184120226</t>
  </si>
  <si>
    <t>VTQX5J827C2</t>
  </si>
  <si>
    <t>VTQX5J827C2E</t>
  </si>
  <si>
    <t>VTQX5J93161</t>
  </si>
  <si>
    <t>VTQX5J93161E</t>
  </si>
  <si>
    <t>http://docquery.fec.gov/cgi-bin/fecimg/?202001319184120227</t>
  </si>
  <si>
    <t>VTQX5JNPXW0</t>
  </si>
  <si>
    <t>VTQX5JNPXW0E</t>
  </si>
  <si>
    <t>VSHCDJX25Y4</t>
  </si>
  <si>
    <t>VSHCDJX25Y4E</t>
  </si>
  <si>
    <t>http://docquery.fec.gov/cgi-bin/fecimg/?202002209186608221</t>
  </si>
  <si>
    <t>VSHCDK044X7</t>
  </si>
  <si>
    <t>VSHCDK044X7E</t>
  </si>
  <si>
    <t>http://docquery.fec.gov/cgi-bin/fecimg/?202002209186608222</t>
  </si>
  <si>
    <t>VSHCDK4MH23</t>
  </si>
  <si>
    <t>VSHCDK4MH23E</t>
  </si>
  <si>
    <t>SA11AI_173986552</t>
  </si>
  <si>
    <t>http://docquery.fec.gov/cgi-bin/fecimg/?202001299174723197</t>
  </si>
  <si>
    <t>SA11AI_175767591</t>
  </si>
  <si>
    <t>http://docquery.fec.gov/cgi-bin/fecimg/?202001299174723202</t>
  </si>
  <si>
    <t>SA11AI_179133072</t>
  </si>
  <si>
    <t>H8NY15148</t>
  </si>
  <si>
    <t>http://docquery.fec.gov/cgi-bin/fecimg/?202001299174723210</t>
  </si>
  <si>
    <t>SA11AI_184364401</t>
  </si>
  <si>
    <t>H8CA05035</t>
  </si>
  <si>
    <t>EARMARKED FOR NANCY PELOSI FOR CONGRESS (C00213512)</t>
  </si>
  <si>
    <t>http://docquery.fec.gov/cgi-bin/fecimg/?202001299174723228</t>
  </si>
  <si>
    <t>SA11AI_168517676</t>
  </si>
  <si>
    <t>http://docquery.fec.gov/cgi-bin/fecimg/?202001299174723181</t>
  </si>
  <si>
    <t>SA11AI_192355668</t>
  </si>
  <si>
    <t>C00688739</t>
  </si>
  <si>
    <t>EARMARKED FOR DITCH FUND (C00688739)</t>
  </si>
  <si>
    <t>http://docquery.fec.gov/cgi-bin/fecimg/?202001299174723254</t>
  </si>
  <si>
    <t>SA11AI_195763801</t>
  </si>
  <si>
    <t>http://docquery.fec.gov/cgi-bin/fecimg/?202001299174723262</t>
  </si>
  <si>
    <t>SA11AI_168438553</t>
  </si>
  <si>
    <t>SA11AI_193108344</t>
  </si>
  <si>
    <t>http://docquery.fec.gov/cgi-bin/fecimg/?202001299174723257</t>
  </si>
  <si>
    <t>SA11AI_168807407</t>
  </si>
  <si>
    <t>http://docquery.fec.gov/cgi-bin/fecimg/?202001299174723182</t>
  </si>
  <si>
    <t>SA11AI_184006186</t>
  </si>
  <si>
    <t>EARMARKED FOR THE COMMITTEE TO ELECT AYANNA PRESSLEY (C00667741)</t>
  </si>
  <si>
    <t>http://docquery.fec.gov/cgi-bin/fecimg/?202001299174723225</t>
  </si>
  <si>
    <t>SA11AI_195763795</t>
  </si>
  <si>
    <t>C00000935</t>
  </si>
  <si>
    <t>EARMARKED FOR DCCC (C00000935)</t>
  </si>
  <si>
    <t>http://docquery.fec.gov/cgi-bin/fecimg/?202001299174723261</t>
  </si>
  <si>
    <t>SA11AI_172570797</t>
  </si>
  <si>
    <t>http://docquery.fec.gov/cgi-bin/fecimg/?202001299174723194</t>
  </si>
  <si>
    <t>SA11AI_179874544</t>
  </si>
  <si>
    <t>http://docquery.fec.gov/cgi-bin/fecimg/?202001299174723214</t>
  </si>
  <si>
    <t>SA11AI_166648554</t>
  </si>
  <si>
    <t>http://docquery.fec.gov/cgi-bin/fecimg/?202001299174723170</t>
  </si>
  <si>
    <t>SA11AI_174550331</t>
  </si>
  <si>
    <t>http://docquery.fec.gov/cgi-bin/fecimg/?202001299174723200</t>
  </si>
  <si>
    <t>SA11AI_182601037</t>
  </si>
  <si>
    <t>http://docquery.fec.gov/cgi-bin/fecimg/?202001299174723222</t>
  </si>
  <si>
    <t>SA11AI_167482436</t>
  </si>
  <si>
    <t>http://docquery.fec.gov/cgi-bin/fecimg/?202001299174723175</t>
  </si>
  <si>
    <t>SA11AI_186022953</t>
  </si>
  <si>
    <t>http://docquery.fec.gov/cgi-bin/fecimg/?202001299174723234</t>
  </si>
  <si>
    <t>SA11AI_168403181</t>
  </si>
  <si>
    <t>http://docquery.fec.gov/cgi-bin/fecimg/?202001299174723180</t>
  </si>
  <si>
    <t>SA11AI_173799083</t>
  </si>
  <si>
    <t>http://docquery.fec.gov/cgi-bin/fecimg/?202001299174723195</t>
  </si>
  <si>
    <t>SA11AI_194434218</t>
  </si>
  <si>
    <t>http://docquery.fec.gov/cgi-bin/fecimg/?202001299174723259</t>
  </si>
  <si>
    <t>SA11AI_168190110</t>
  </si>
  <si>
    <t>SA11AI_185237076</t>
  </si>
  <si>
    <t>http://docquery.fec.gov/cgi-bin/fecimg/?202001299174723231</t>
  </si>
  <si>
    <t>SA11AI_191794828</t>
  </si>
  <si>
    <t>http://docquery.fec.gov/cgi-bin/fecimg/?202001299174723252</t>
  </si>
  <si>
    <t>SA11AI_166416034</t>
  </si>
  <si>
    <t>http://docquery.fec.gov/cgi-bin/fecimg/?202001299174723169</t>
  </si>
  <si>
    <t>SA11AI_166648556</t>
  </si>
  <si>
    <t>EARMARKED FOR RASHIDA TLAIB FOR CONGRESS (C00668608)</t>
  </si>
  <si>
    <t>http://docquery.fec.gov/cgi-bin/fecimg/?202001299174723172</t>
  </si>
  <si>
    <t>SA11AI_186023110</t>
  </si>
  <si>
    <t>SA11AI_167482445</t>
  </si>
  <si>
    <t>http://docquery.fec.gov/cgi-bin/fecimg/?202001299174723174</t>
  </si>
  <si>
    <t>SA11AI_172320525</t>
  </si>
  <si>
    <t>EARMARKED FOR NATIONAL DEMOCRATIC TRAINING COMMITTEE PAC (C00603084)</t>
  </si>
  <si>
    <t>http://docquery.fec.gov/cgi-bin/fecimg/?202001299174723192</t>
  </si>
  <si>
    <t>SA11AI_172371731</t>
  </si>
  <si>
    <t>http://docquery.fec.gov/cgi-bin/fecimg/?202001299174723193</t>
  </si>
  <si>
    <t>SA11AI_188082416</t>
  </si>
  <si>
    <t>http://docquery.fec.gov/cgi-bin/fecimg/?202001299174723241</t>
  </si>
  <si>
    <t>SA11AI_193420067</t>
  </si>
  <si>
    <t>SA11AI_166416038</t>
  </si>
  <si>
    <t>SA11AI_177405055</t>
  </si>
  <si>
    <t>http://docquery.fec.gov/cgi-bin/fecimg/?202001299174723206</t>
  </si>
  <si>
    <t>SA11AI_168114296</t>
  </si>
  <si>
    <t>EARMARKED FOR DEMOCRATIC PARTY OF WISCONSIN - FEDERAL ACCOUNT (C00019331)</t>
  </si>
  <si>
    <t>http://docquery.fec.gov/cgi-bin/fecimg/?202001299174723179</t>
  </si>
  <si>
    <t>SA11AI_187792532</t>
  </si>
  <si>
    <t>http://docquery.fec.gov/cgi-bin/fecimg/?202001299174723239</t>
  </si>
  <si>
    <t>SA11AI_188925885</t>
  </si>
  <si>
    <t>http://docquery.fec.gov/cgi-bin/fecimg/?202001299174723245</t>
  </si>
  <si>
    <t>SA11AI_179173588</t>
  </si>
  <si>
    <t>SA11AI_169148040</t>
  </si>
  <si>
    <t>EARMARKED FOR CATHERINE CORTEZ MASTO FOR SENATE (C00575548)</t>
  </si>
  <si>
    <t>http://docquery.fec.gov/cgi-bin/fecimg/?202001299174723185</t>
  </si>
  <si>
    <t>SA11AI_177099322</t>
  </si>
  <si>
    <t>http://docquery.fec.gov/cgi-bin/fecimg/?202001299174723205</t>
  </si>
  <si>
    <t>SA11AI_179746960</t>
  </si>
  <si>
    <t>http://docquery.fec.gov/cgi-bin/fecimg/?202001299174723213</t>
  </si>
  <si>
    <t>SA11AI_168114009</t>
  </si>
  <si>
    <t>SA11AI_168114461</t>
  </si>
  <si>
    <t>http://docquery.fec.gov/cgi-bin/fecimg/?202001299174723178</t>
  </si>
  <si>
    <t>SA11AI_166653629</t>
  </si>
  <si>
    <t>EARMARKED FOR JEANNE SHAHEEN FOR SENATE (C00457325)</t>
  </si>
  <si>
    <t>SA11AI_172861059</t>
  </si>
  <si>
    <t>SA11AI_173986563</t>
  </si>
  <si>
    <t>http://docquery.fec.gov/cgi-bin/fecimg/?202001299174723198</t>
  </si>
  <si>
    <t>SA11AI_193108348</t>
  </si>
  <si>
    <t>SA11AI_184838503</t>
  </si>
  <si>
    <t>http://docquery.fec.gov/cgi-bin/fecimg/?202001299174723230</t>
  </si>
  <si>
    <t>SA11AI_167714736</t>
  </si>
  <si>
    <t>EARMARKED FOR DEMOCRATIC NOMINEE FOR KY-. HELD PURSUANT TO AOS 1977-16 AND 1982-23</t>
  </si>
  <si>
    <t>http://docquery.fec.gov/cgi-bin/fecimg/?202001299174723176</t>
  </si>
  <si>
    <t>SA11AI_172255369</t>
  </si>
  <si>
    <t>http://docquery.fec.gov/cgi-bin/fecimg/?202001299174723191</t>
  </si>
  <si>
    <t>SA11AI_172260032</t>
  </si>
  <si>
    <t>SA11AI_166945865</t>
  </si>
  <si>
    <t>SA11AI_182562579</t>
  </si>
  <si>
    <t>http://docquery.fec.gov/cgi-bin/fecimg/?202001299174723223</t>
  </si>
  <si>
    <t>SA11AI_168713776</t>
  </si>
  <si>
    <t>http://docquery.fec.gov/cgi-bin/fecimg/?202001299174723183</t>
  </si>
  <si>
    <t>SA11AI_184838450</t>
  </si>
  <si>
    <t>http://docquery.fec.gov/cgi-bin/fecimg/?202001299174723229</t>
  </si>
  <si>
    <t>SA11AI_166725326</t>
  </si>
  <si>
    <t>EARMARKED FOR DEMOCRATIC PARTY OF WISCONSIN - OPERATING ACCOUNT (C00019331)</t>
  </si>
  <si>
    <t>http://docquery.fec.gov/cgi-bin/fecimg/?202001299174723173</t>
  </si>
  <si>
    <t>SA11AI_170725232</t>
  </si>
  <si>
    <t>http://docquery.fec.gov/cgi-bin/fecimg/?202001299174723186</t>
  </si>
  <si>
    <t>SA11AI_172079462</t>
  </si>
  <si>
    <t>http://docquery.fec.gov/cgi-bin/fecimg/?202001299174723189</t>
  </si>
  <si>
    <t>SA11AI_184364629</t>
  </si>
  <si>
    <t>http://docquery.fec.gov/cgi-bin/fecimg/?202001299174723227</t>
  </si>
  <si>
    <t>SA11AI_190910036</t>
  </si>
  <si>
    <t>http://docquery.fec.gov/cgi-bin/fecimg/?202001299174723249</t>
  </si>
  <si>
    <t>SA11AI_193420068</t>
  </si>
  <si>
    <t>http://docquery.fec.gov/cgi-bin/fecimg/?202001299174723258</t>
  </si>
  <si>
    <t>SA11AI_189166632</t>
  </si>
  <si>
    <t>http://docquery.fec.gov/cgi-bin/fecimg/?202001299174723246</t>
  </si>
  <si>
    <t>SA11AI_184364566</t>
  </si>
  <si>
    <t>SA11AI_188326594</t>
  </si>
  <si>
    <t>http://docquery.fec.gov/cgi-bin/fecimg/?202001299174723242</t>
  </si>
  <si>
    <t>SA11AI_168713777</t>
  </si>
  <si>
    <t>SA11AI_174550328</t>
  </si>
  <si>
    <t>http://docquery.fec.gov/cgi-bin/fecimg/?202001299174723199</t>
  </si>
  <si>
    <t>SA11AI_188082415</t>
  </si>
  <si>
    <t>SA11AI_187469315</t>
  </si>
  <si>
    <t>SA11AI_172570794</t>
  </si>
  <si>
    <t>SA11AI_177405057</t>
  </si>
  <si>
    <t>SA11AI_184364553</t>
  </si>
  <si>
    <t>EARMARKED FOR MOVEON.ORG POLITICAL ACTION (C00341396)</t>
  </si>
  <si>
    <t>SA11AI_188925891</t>
  </si>
  <si>
    <t>SA11AI_184838491</t>
  </si>
  <si>
    <t>SA11AI_168817550</t>
  </si>
  <si>
    <t>http://docquery.fec.gov/cgi-bin/fecimg/?202001299174723184</t>
  </si>
  <si>
    <t>SA11AI_166653637</t>
  </si>
  <si>
    <t>SA11AI_173831146</t>
  </si>
  <si>
    <t>http://docquery.fec.gov/cgi-bin/fecimg/?202001299174723196</t>
  </si>
  <si>
    <t>SA11AI_166725328</t>
  </si>
  <si>
    <t>SA11AI_179746974</t>
  </si>
  <si>
    <t>SA11AI_173935282</t>
  </si>
  <si>
    <t>SA11AI_192355671</t>
  </si>
  <si>
    <t>http://docquery.fec.gov/cgi-bin/fecimg/?202001299174723253</t>
  </si>
  <si>
    <t>SA11AI_167714735</t>
  </si>
  <si>
    <t>EARMARKED FOR DEMOCRATIC NOMINEE FOR ME-. HELD PURSUANT TO AOS 1977-16 AND 1982-23</t>
  </si>
  <si>
    <t>SA11AI_166648564</t>
  </si>
  <si>
    <t>http://docquery.fec.gov/cgi-bin/fecimg/?202001299174723171</t>
  </si>
  <si>
    <t>SA11AI_179173594</t>
  </si>
  <si>
    <t>http://docquery.fec.gov/cgi-bin/fecimg/?202001299174723209</t>
  </si>
  <si>
    <t>SA11AI_182562573</t>
  </si>
  <si>
    <t>SA11AI_187469309</t>
  </si>
  <si>
    <t>SA11AI_172320539</t>
  </si>
  <si>
    <t>SA11AI_188326585</t>
  </si>
  <si>
    <t>EARMARKED FOR SCHIFF FOR CONGRESS (C00343871)</t>
  </si>
  <si>
    <t>SA11AI_173935281</t>
  </si>
  <si>
    <t>SA11AI_166700870</t>
  </si>
  <si>
    <t>SA11AI_166945868</t>
  </si>
  <si>
    <t>SA11AI_179874531</t>
  </si>
  <si>
    <t>SA11AI_170725238</t>
  </si>
  <si>
    <t>SA11AI_172371728</t>
  </si>
  <si>
    <t>SA11AI_172079472</t>
  </si>
  <si>
    <t>SA11AI_186022959</t>
  </si>
  <si>
    <t>http://docquery.fec.gov/cgi-bin/fecimg/?202001299174723235</t>
  </si>
  <si>
    <t>SA11AI_184006190</t>
  </si>
  <si>
    <t>http://docquery.fec.gov/cgi-bin/fecimg/?202001299174723226</t>
  </si>
  <si>
    <t>SA11AI_173799084</t>
  </si>
  <si>
    <t>SA11AI_166700869</t>
  </si>
  <si>
    <t>SA11AI_172079542</t>
  </si>
  <si>
    <t>http://docquery.fec.gov/cgi-bin/fecimg/?202001299174723190</t>
  </si>
  <si>
    <t>SA11AI_168114297</t>
  </si>
  <si>
    <t>http://docquery.fec.gov/cgi-bin/fecimg/?202001299174723177</t>
  </si>
  <si>
    <t>SA11AI_167714737</t>
  </si>
  <si>
    <t>SA11AI_168807396</t>
  </si>
  <si>
    <t>SA11AI_191794816</t>
  </si>
  <si>
    <t>SA11AI_177099328</t>
  </si>
  <si>
    <t>SA11AI_175767592</t>
  </si>
  <si>
    <t>http://docquery.fec.gov/cgi-bin/fecimg/?202001299174723203</t>
  </si>
  <si>
    <t>SA11AI_194434236</t>
  </si>
  <si>
    <t>SA11AI_186023105</t>
  </si>
  <si>
    <t>SA11AI_166648557</t>
  </si>
  <si>
    <t>EARMARKED FOR ILHAN FOR CONGRESS (C00680934)</t>
  </si>
  <si>
    <t>SA11AI_194905624</t>
  </si>
  <si>
    <t>EARMARKED FOR MCGRATH FOR US SENATE (C00711549)</t>
  </si>
  <si>
    <t>http://docquery.fec.gov/cgi-bin/fecimg/?202001299174723260</t>
  </si>
  <si>
    <t>SA11AI_168113990</t>
  </si>
  <si>
    <t>SA11AI_185237082</t>
  </si>
  <si>
    <t>SA11AI_184364619</t>
  </si>
  <si>
    <t>SA11AI_179467425</t>
  </si>
  <si>
    <t>http://docquery.fec.gov/cgi-bin/fecimg/?202001299174723211</t>
  </si>
  <si>
    <t>SA11AI_184838455</t>
  </si>
  <si>
    <t>SA11AI_187792526</t>
  </si>
  <si>
    <t>EARMARKED FOR FRIENDS OF CHRIS MURPHY (C00492645)</t>
  </si>
  <si>
    <t>http://docquery.fec.gov/cgi-bin/fecimg/?202001299174723240</t>
  </si>
  <si>
    <t>SA11AI_184364407</t>
  </si>
  <si>
    <t>SA11AI_172861061</t>
  </si>
  <si>
    <t>SA11AI_172260031</t>
  </si>
  <si>
    <t>SA11AI_179874708</t>
  </si>
  <si>
    <t>SA11AI_168114462</t>
  </si>
  <si>
    <t>SA11AI_184364554</t>
  </si>
  <si>
    <t>EARMARKED FOR FAIR FIGHT, INC. PAC - FEDERAL (C00693515)</t>
  </si>
  <si>
    <t>SA11AI_166648555</t>
  </si>
  <si>
    <t>SA11AI_180138625</t>
  </si>
  <si>
    <t>http://docquery.fec.gov/cgi-bin/fecimg/?202001299174723216</t>
  </si>
  <si>
    <t>SA11AI_179133071</t>
  </si>
  <si>
    <t>SA11AI_172104311</t>
  </si>
  <si>
    <t>SA11AI_189166604</t>
  </si>
  <si>
    <t>SA11AI_168190112</t>
  </si>
  <si>
    <t>SA11AI_168438556</t>
  </si>
  <si>
    <t>SA11AI_180138606</t>
  </si>
  <si>
    <t>http://docquery.fec.gov/cgi-bin/fecimg/?202001299174723215</t>
  </si>
  <si>
    <t>SA11AI_169148041</t>
  </si>
  <si>
    <t>SA11AI_179874692</t>
  </si>
  <si>
    <t>http://docquery.fec.gov/cgi-bin/fecimg/?202001299174723212</t>
  </si>
  <si>
    <t>SA11AI_172255380</t>
  </si>
  <si>
    <t>SA11AI_194905628</t>
  </si>
  <si>
    <t>SA11AI_173831133</t>
  </si>
  <si>
    <t>SA11AI_179467419</t>
  </si>
  <si>
    <t>SA11AI_190910029</t>
  </si>
  <si>
    <t>http://docquery.fec.gov/cgi-bin/fecimg/?202001299174723250</t>
  </si>
  <si>
    <t>SA11AI_182601036</t>
  </si>
  <si>
    <t>http://docquery.fec.gov/cgi-bin/fecimg/?202001299174723221</t>
  </si>
  <si>
    <t>SA11AI_172320524</t>
  </si>
  <si>
    <t>5572783E</t>
  </si>
  <si>
    <t>http://docquery.fec.gov/cgi-bin/fecimg/?202002209187157632</t>
  </si>
  <si>
    <t>SA11AI_198162648</t>
  </si>
  <si>
    <t>http://docquery.fec.gov/cgi-bin/fecimg/?202002219201647247</t>
  </si>
  <si>
    <t>SA11AI_198270319</t>
  </si>
  <si>
    <t>http://docquery.fec.gov/cgi-bin/fecimg/?202002219201647248</t>
  </si>
  <si>
    <t>SA11AI_201988464</t>
  </si>
  <si>
    <t>http://docquery.fec.gov/cgi-bin/fecimg/?202002219201647257</t>
  </si>
  <si>
    <t>SA11AI_201778398</t>
  </si>
  <si>
    <t>SA11AI_199618206</t>
  </si>
  <si>
    <t>http://docquery.fec.gov/cgi-bin/fecimg/?202002219201647251</t>
  </si>
  <si>
    <t>SA11AI_204487322</t>
  </si>
  <si>
    <t>http://docquery.fec.gov/cgi-bin/fecimg/?202002219201647263</t>
  </si>
  <si>
    <t>SA11AI_201778403</t>
  </si>
  <si>
    <t>http://docquery.fec.gov/cgi-bin/fecimg/?202002219201647256</t>
  </si>
  <si>
    <t>SA11AI_199618207</t>
  </si>
  <si>
    <t>http://docquery.fec.gov/cgi-bin/fecimg/?202002219201647252</t>
  </si>
  <si>
    <t>SA11AI_201988456</t>
  </si>
  <si>
    <t>http://docquery.fec.gov/cgi-bin/fecimg/?202002219201647258</t>
  </si>
  <si>
    <t>SA11AI_202196301</t>
  </si>
  <si>
    <t>http://docquery.fec.gov/cgi-bin/fecimg/?202002219201647259</t>
  </si>
  <si>
    <t>SA11AI_198270318</t>
  </si>
  <si>
    <t>SA11AI_200397385</t>
  </si>
  <si>
    <t>http://docquery.fec.gov/cgi-bin/fecimg/?202002219201647253</t>
  </si>
  <si>
    <t>SA11AI_200193257</t>
  </si>
  <si>
    <t>SA11AI_202196422</t>
  </si>
  <si>
    <t>SA11AI_200193255</t>
  </si>
  <si>
    <t>http://docquery.fec.gov/cgi-bin/fecimg/?202002219201647254</t>
  </si>
  <si>
    <t>SA11AI_202482280</t>
  </si>
  <si>
    <t>http://docquery.fec.gov/cgi-bin/fecimg/?202002219201647260</t>
  </si>
  <si>
    <t>SA11AI_202482264</t>
  </si>
  <si>
    <t>SA11AI_204487291</t>
  </si>
  <si>
    <t>http://docquery.fec.gov/cgi-bin/fecimg/?202002219201647264</t>
  </si>
  <si>
    <t>SA11AI_200397374</t>
  </si>
  <si>
    <t>SA11AI_198162649</t>
  </si>
  <si>
    <t>SA11AI_201988457</t>
  </si>
  <si>
    <t>EARMARKED FOR DEBBIE FOR CONGRESS (C00652065)</t>
  </si>
  <si>
    <t>SA11AI_208709247</t>
  </si>
  <si>
    <t>http://docquery.fec.gov/cgi-bin/fecimg/?202003209212840863</t>
  </si>
  <si>
    <t>SA11AI_210140548</t>
  </si>
  <si>
    <t>http://docquery.fec.gov/cgi-bin/fecimg/?202003209212840868</t>
  </si>
  <si>
    <t>SA11AI_213147658</t>
  </si>
  <si>
    <t>EARMARKED FOR SAVE AMERICA FUND (C00732172)</t>
  </si>
  <si>
    <t>http://docquery.fec.gov/cgi-bin/fecimg/?202003209212840877</t>
  </si>
  <si>
    <t>SA11AI_206157661</t>
  </si>
  <si>
    <t>http://docquery.fec.gov/cgi-bin/fecimg/?202003209212840854</t>
  </si>
  <si>
    <t>SA11AI_213146443</t>
  </si>
  <si>
    <t>http://docquery.fec.gov/cgi-bin/fecimg/?202003209212840878</t>
  </si>
  <si>
    <t>SA11AI_211039177</t>
  </si>
  <si>
    <t>EARMARKED FOR END CITIZENS UNITED PAC (C00573261)</t>
  </si>
  <si>
    <t>http://docquery.fec.gov/cgi-bin/fecimg/?202003209212840870</t>
  </si>
  <si>
    <t>SA11AI_213146423</t>
  </si>
  <si>
    <t>SA11AI_205331618</t>
  </si>
  <si>
    <t>http://docquery.fec.gov/cgi-bin/fecimg/?202003209212840850</t>
  </si>
  <si>
    <t>SA11AI_208709246</t>
  </si>
  <si>
    <t>SA11AI_210140557</t>
  </si>
  <si>
    <t>SA11AI_206335166</t>
  </si>
  <si>
    <t>http://docquery.fec.gov/cgi-bin/fecimg/?202003209212840856</t>
  </si>
  <si>
    <t>SA11AI_211128408</t>
  </si>
  <si>
    <t>http://docquery.fec.gov/cgi-bin/fecimg/?202003209212840871</t>
  </si>
  <si>
    <t>SA11AI_211039176</t>
  </si>
  <si>
    <t>EARMARKED FOR OFF THE SIDELINES PAC (C00525600)</t>
  </si>
  <si>
    <t>SA11AI_211040429</t>
  </si>
  <si>
    <t>http://docquery.fec.gov/cgi-bin/fecimg/?202003209212840872</t>
  </si>
  <si>
    <t>SA11AI_212423014</t>
  </si>
  <si>
    <t>http://docquery.fec.gov/cgi-bin/fecimg/?202003209212840875</t>
  </si>
  <si>
    <t>SA11AI_211813318</t>
  </si>
  <si>
    <t>http://docquery.fec.gov/cgi-bin/fecimg/?202003209212840873</t>
  </si>
  <si>
    <t>SA11AI_205503010</t>
  </si>
  <si>
    <t>http://docquery.fec.gov/cgi-bin/fecimg/?202003209212840852</t>
  </si>
  <si>
    <t>SA11AI_206157668</t>
  </si>
  <si>
    <t>http://docquery.fec.gov/cgi-bin/fecimg/?202003209212840855</t>
  </si>
  <si>
    <t>SA11AI_205505726</t>
  </si>
  <si>
    <t>http://docquery.fec.gov/cgi-bin/fecimg/?202003209212840853</t>
  </si>
  <si>
    <t>SA11AI_212423021</t>
  </si>
  <si>
    <t>SA11AI_209299536</t>
  </si>
  <si>
    <t>http://docquery.fec.gov/cgi-bin/fecimg/?202003209212840866</t>
  </si>
  <si>
    <t>SA11AI_213659642</t>
  </si>
  <si>
    <t>http://docquery.fec.gov/cgi-bin/fecimg/?202003209212840879</t>
  </si>
  <si>
    <t>SA11AI_205331640</t>
  </si>
  <si>
    <t>SA11AI_205503018</t>
  </si>
  <si>
    <t>http://docquery.fec.gov/cgi-bin/fecimg/?202003209212840851</t>
  </si>
  <si>
    <t>SA11AI_213515053</t>
  </si>
  <si>
    <t>SA11AI_213659641</t>
  </si>
  <si>
    <t>http://docquery.fec.gov/cgi-bin/fecimg/?202003209212840881</t>
  </si>
  <si>
    <t>SA11AI_211813312</t>
  </si>
  <si>
    <t>SA11AI_211128416</t>
  </si>
  <si>
    <t>SA11AI_213515035</t>
  </si>
  <si>
    <t>http://docquery.fec.gov/cgi-bin/fecimg/?202003209212840880</t>
  </si>
  <si>
    <t>SA11AI_205715385</t>
  </si>
  <si>
    <t>SA11AI_206335150</t>
  </si>
  <si>
    <t>SA11AI_211039191</t>
  </si>
  <si>
    <t>SA11AI_206335149</t>
  </si>
  <si>
    <t>SA11AI_209299535</t>
  </si>
  <si>
    <t>SA11AI_211040438</t>
  </si>
  <si>
    <t>SA11AI_213659649</t>
  </si>
  <si>
    <t>SA11AI_205505720</t>
  </si>
  <si>
    <t>SA11AI_205715387</t>
  </si>
  <si>
    <t>SA11AI_213147670</t>
  </si>
  <si>
    <t>VSHCDK6GD11</t>
  </si>
  <si>
    <t>VSHCDK6GD11E</t>
  </si>
  <si>
    <t>http://docquery.fec.gov/cgi-bin/fecimg/?202004159216797422</t>
  </si>
  <si>
    <t>VSHCDKDDBR6</t>
  </si>
  <si>
    <t>VSHCDKDDBR6E</t>
  </si>
  <si>
    <t>http://docquery.fec.gov/cgi-bin/fecimg/?202004159216799680</t>
  </si>
  <si>
    <t>VSHCDK7FWG5</t>
  </si>
  <si>
    <t>VSHCDK7FWG5E</t>
  </si>
  <si>
    <t>http://docquery.fec.gov/cgi-bin/fecimg/?202004159216799202</t>
  </si>
  <si>
    <t>VSHCDK91Y07</t>
  </si>
  <si>
    <t>VSHCDK91Y07E</t>
  </si>
  <si>
    <t>http://docquery.fec.gov/cgi-bin/fecimg/?202004159216799774</t>
  </si>
  <si>
    <t>C00703975</t>
  </si>
  <si>
    <t>BIDEN FOR PRESIDENT</t>
  </si>
  <si>
    <t>7823940E</t>
  </si>
  <si>
    <t>http://docquery.fec.gov/cgi-bin/fecimg/?202008209266614356</t>
  </si>
  <si>
    <t>SA11AI_216852632</t>
  </si>
  <si>
    <t>http://docquery.fec.gov/cgi-bin/fecimg/?202004219230209641</t>
  </si>
  <si>
    <t>SA11AI_217277676</t>
  </si>
  <si>
    <t>http://docquery.fec.gov/cgi-bin/fecimg/?202004219230209642</t>
  </si>
  <si>
    <t>SA11AI_217277674</t>
  </si>
  <si>
    <t>http://docquery.fec.gov/cgi-bin/fecimg/?202004219230209643</t>
  </si>
  <si>
    <t>SA11AI_219689474</t>
  </si>
  <si>
    <t>http://docquery.fec.gov/cgi-bin/fecimg/?202004219230209648</t>
  </si>
  <si>
    <t>SA11AI_217123679</t>
  </si>
  <si>
    <t>http://docquery.fec.gov/cgi-bin/fecimg/?202004219230209640</t>
  </si>
  <si>
    <t>SA11AI_216852631</t>
  </si>
  <si>
    <t>SA11AI_217020182</t>
  </si>
  <si>
    <t>SA11AI_217123661</t>
  </si>
  <si>
    <t>EARMARKED FOR 314 ACTION FUND (C00633248)</t>
  </si>
  <si>
    <t>SA11AI_219689460</t>
  </si>
  <si>
    <t>SA11AI_217020173</t>
  </si>
  <si>
    <t>SA11AI_224972769</t>
  </si>
  <si>
    <t>http://docquery.fec.gov/cgi-bin/fecimg/?202005209237502126</t>
  </si>
  <si>
    <t>SA11AI_227380296</t>
  </si>
  <si>
    <t>http://docquery.fec.gov/cgi-bin/fecimg/?202005209237502133</t>
  </si>
  <si>
    <t>SA11AI_228723397</t>
  </si>
  <si>
    <t>EARMARKED FOR WARREN DEMOCRATS, INC. (C00500843)</t>
  </si>
  <si>
    <t>http://docquery.fec.gov/cgi-bin/fecimg/?202005209237502135</t>
  </si>
  <si>
    <t>SA11AI_224972768</t>
  </si>
  <si>
    <t>http://docquery.fec.gov/cgi-bin/fecimg/?202005209237502125</t>
  </si>
  <si>
    <t>SA11AI_228449328</t>
  </si>
  <si>
    <t>http://docquery.fec.gov/cgi-bin/fecimg/?202005209237502134</t>
  </si>
  <si>
    <t>SA11AI_227380299</t>
  </si>
  <si>
    <t>SA11AI_228449340</t>
  </si>
  <si>
    <t>SA11AI_227135365</t>
  </si>
  <si>
    <t>http://docquery.fec.gov/cgi-bin/fecimg/?202005209237502132</t>
  </si>
  <si>
    <t>SA11AI_228723408</t>
  </si>
  <si>
    <t>4932551E</t>
  </si>
  <si>
    <t>http://docquery.fec.gov/cgi-bin/fecimg/?202006209243821931</t>
  </si>
  <si>
    <t>5025695E</t>
  </si>
  <si>
    <t>http://docquery.fec.gov/cgi-bin/fecimg/?202006209243821934</t>
  </si>
  <si>
    <t>SA11AI_234837770</t>
  </si>
  <si>
    <t>P80000722</t>
  </si>
  <si>
    <t>http://docquery.fec.gov/cgi-bin/fecimg/?202006209241881319</t>
  </si>
  <si>
    <t>SA11AI_234594601</t>
  </si>
  <si>
    <t>SA11AI_232136023</t>
  </si>
  <si>
    <t>http://docquery.fec.gov/cgi-bin/fecimg/?202006209241881311</t>
  </si>
  <si>
    <t>SA11AI_236031543</t>
  </si>
  <si>
    <t>http://docquery.fec.gov/cgi-bin/fecimg/?202006209241881326</t>
  </si>
  <si>
    <t>SA11AI_236031540</t>
  </si>
  <si>
    <t>SA11AI_235432050</t>
  </si>
  <si>
    <t>http://docquery.fec.gov/cgi-bin/fecimg/?202006209241881322</t>
  </si>
  <si>
    <t>SA11AI_235575368</t>
  </si>
  <si>
    <t>http://docquery.fec.gov/cgi-bin/fecimg/?202006209241881324</t>
  </si>
  <si>
    <t>SA11AI_232136024</t>
  </si>
  <si>
    <t>SA11AI_235432067</t>
  </si>
  <si>
    <t>SA11AI_234837769</t>
  </si>
  <si>
    <t>http://docquery.fec.gov/cgi-bin/fecimg/?202006209241881320</t>
  </si>
  <si>
    <t>SA11AI_235575373</t>
  </si>
  <si>
    <t>C00632398</t>
  </si>
  <si>
    <t>LET AMERICA VOTE PAC</t>
  </si>
  <si>
    <t>12632999E</t>
  </si>
  <si>
    <t>http://docquery.fec.gov/cgi-bin/fecimg/?202008199261407750</t>
  </si>
  <si>
    <t>12855241E</t>
  </si>
  <si>
    <t>http://docquery.fec.gov/cgi-bin/fecimg/?202008199261407751</t>
  </si>
  <si>
    <t>12961252E</t>
  </si>
  <si>
    <t>http://docquery.fec.gov/cgi-bin/fecimg/?202008199261407752</t>
  </si>
  <si>
    <t>DITCH FUND</t>
  </si>
  <si>
    <t>VVC59QDCEN4</t>
  </si>
  <si>
    <t>VVC59QDCEN4E</t>
  </si>
  <si>
    <t>http://docquery.fec.gov/cgi-bin/fecimg/?202003189203890339</t>
  </si>
  <si>
    <t>VVC59QJKZZ5</t>
  </si>
  <si>
    <t>VVC59QJKZZ5E</t>
  </si>
  <si>
    <t>VVC59QCMJ14</t>
  </si>
  <si>
    <t>VVC59QCMJ14E</t>
  </si>
  <si>
    <t>http://docquery.fec.gov/cgi-bin/fecimg/?202003189203890340</t>
  </si>
  <si>
    <t>VTQX5JWQ7E6</t>
  </si>
  <si>
    <t>VTQX5JWQ7E6E</t>
  </si>
  <si>
    <t>http://docquery.fec.gov/cgi-bin/fecimg/?202004099216629350</t>
  </si>
  <si>
    <t>6253562E</t>
  </si>
  <si>
    <t>http://docquery.fec.gov/cgi-bin/fecimg/?202007209260644024</t>
  </si>
  <si>
    <t>SA11AI_288685594</t>
  </si>
  <si>
    <t>EARMARKED FOR PROGRESSIVE TAKEOVER (C00659599)</t>
  </si>
  <si>
    <t>https://docquery.fec.gov/cgi-bin/fecimg/?202012149380575281</t>
  </si>
  <si>
    <t>SA11AI_288772405</t>
  </si>
  <si>
    <t>EARMARKED FOR BRADY PAC (C00674093)</t>
  </si>
  <si>
    <t>https://docquery.fec.gov/cgi-bin/fecimg/?202012149380575280</t>
  </si>
  <si>
    <t>https://docquery.fec.gov/cgi-bin/fecimg/?202104079443080481</t>
  </si>
  <si>
    <t>https://docquery.fec.gov/cgi-bin/fecimg/?202104079443095258</t>
  </si>
  <si>
    <t>https://docquery.fec.gov/cgi-bin/fecimg/?202104079443095260</t>
  </si>
  <si>
    <t>https://docquery.fec.gov/cgi-bin/fecimg/?202104079443095259</t>
  </si>
  <si>
    <t>C00343871</t>
  </si>
  <si>
    <t>SCHIFF FOR CONGRESS</t>
  </si>
  <si>
    <t>NOT-EMPLOYED</t>
  </si>
  <si>
    <t>4948668E</t>
  </si>
  <si>
    <t>http://docquery.fec.gov/cgi-bin/fecimg/?202007159250043007</t>
  </si>
  <si>
    <t>https://docquery.fec.gov/cgi-bin/fecimg/?202104079443118828</t>
  </si>
  <si>
    <t>https://docquery.fec.gov/cgi-bin/fecimg/?202104079443118829</t>
  </si>
  <si>
    <t>5024111E</t>
  </si>
  <si>
    <t>http://docquery.fec.gov/cgi-bin/fecimg/?202007159250043008</t>
  </si>
  <si>
    <t>SA11AI_256132538</t>
  </si>
  <si>
    <t>http://docquery.fec.gov/cgi-bin/fecimg/?202007209257499962</t>
  </si>
  <si>
    <t>SA11AI_256512413</t>
  </si>
  <si>
    <t>http://docquery.fec.gov/cgi-bin/fecimg/?202007209257499963</t>
  </si>
  <si>
    <t>SA11AI_256512414</t>
  </si>
  <si>
    <t>http://docquery.fec.gov/cgi-bin/fecimg/?202007209257499964</t>
  </si>
  <si>
    <t>SA11AI_258389912</t>
  </si>
  <si>
    <t>http://docquery.fec.gov/cgi-bin/fecimg/?202007209257499969</t>
  </si>
  <si>
    <t>SA11AI_256676493</t>
  </si>
  <si>
    <t>SA11AI_258328316</t>
  </si>
  <si>
    <t>http://docquery.fec.gov/cgi-bin/fecimg/?202007209257499970</t>
  </si>
  <si>
    <t>SA11AI_249935856</t>
  </si>
  <si>
    <t>http://docquery.fec.gov/cgi-bin/fecimg/?202007209257499948</t>
  </si>
  <si>
    <t>SA11AI_255855487</t>
  </si>
  <si>
    <t>http://docquery.fec.gov/cgi-bin/fecimg/?202007209257499961</t>
  </si>
  <si>
    <t>SA11AI_256676490</t>
  </si>
  <si>
    <t>H0CA27085</t>
  </si>
  <si>
    <t>SA11AI_256676492</t>
  </si>
  <si>
    <t>SA11AI_258389903</t>
  </si>
  <si>
    <t>SA11AI_255855482</t>
  </si>
  <si>
    <t>EARMARKED FOR STOP REPUBLICANS (C00633404)</t>
  </si>
  <si>
    <t>SA11AI_256676494</t>
  </si>
  <si>
    <t>SA11AI_256676530</t>
  </si>
  <si>
    <t>http://docquery.fec.gov/cgi-bin/fecimg/?202007209257499965</t>
  </si>
  <si>
    <t>SA11AI_258389904</t>
  </si>
  <si>
    <t>http://docquery.fec.gov/cgi-bin/fecimg/?202007209257499968</t>
  </si>
  <si>
    <t>SA11AI_258389829</t>
  </si>
  <si>
    <t>SA11AI_256676491</t>
  </si>
  <si>
    <t>SA11AI_258389824</t>
  </si>
  <si>
    <t>EARMARKED FOR DEMOCRATIC STRATEGY INSTITUTE (C00745786)</t>
  </si>
  <si>
    <t>SA11AI_255745598</t>
  </si>
  <si>
    <t>http://docquery.fec.gov/cgi-bin/fecimg/?202007209257499960</t>
  </si>
  <si>
    <t>SA11AI_255745672</t>
  </si>
  <si>
    <t>SA11AI_258328317</t>
  </si>
  <si>
    <t>SA11AI_249935855</t>
  </si>
  <si>
    <t>http://docquery.fec.gov/cgi-bin/fecimg/?202007209257499947</t>
  </si>
  <si>
    <t>SA11AI_255745696</t>
  </si>
  <si>
    <t>http://docquery.fec.gov/cgi-bin/fecimg/?202007209257499959</t>
  </si>
  <si>
    <t>VSHCDMCRA67</t>
  </si>
  <si>
    <t>VSHCDMCRA67E</t>
  </si>
  <si>
    <t>http://docquery.fec.gov/cgi-bin/fecimg/?202007159244927222</t>
  </si>
  <si>
    <t>SA11AI_270696321</t>
  </si>
  <si>
    <t>http://docquery.fec.gov/cgi-bin/fecimg/?202008209263787183</t>
  </si>
  <si>
    <t>SA11AI_264093159</t>
  </si>
  <si>
    <t>http://docquery.fec.gov/cgi-bin/fecimg/?202008209263787164</t>
  </si>
  <si>
    <t>SA11AI_264093146</t>
  </si>
  <si>
    <t>http://docquery.fec.gov/cgi-bin/fecimg/?202008209263787165</t>
  </si>
  <si>
    <t>SA11AI_263464556</t>
  </si>
  <si>
    <t>http://docquery.fec.gov/cgi-bin/fecimg/?202008209263787162</t>
  </si>
  <si>
    <t>SA11AI_263464557</t>
  </si>
  <si>
    <t>SA11AI_266196236</t>
  </si>
  <si>
    <t>http://docquery.fec.gov/cgi-bin/fecimg/?202008209263787172</t>
  </si>
  <si>
    <t>SA11AI_268823557</t>
  </si>
  <si>
    <t>http://docquery.fec.gov/cgi-bin/fecimg/?202008209263787175</t>
  </si>
  <si>
    <t>SA11AI_266527340</t>
  </si>
  <si>
    <t>SA11AI_268823535</t>
  </si>
  <si>
    <t>EARMARKED FOR LET AMERICA VOTE PAC (C00632398)</t>
  </si>
  <si>
    <t>http://docquery.fec.gov/cgi-bin/fecimg/?202008209263787176</t>
  </si>
  <si>
    <t>SA11AI_266527341</t>
  </si>
  <si>
    <t>SA11AI_270043194</t>
  </si>
  <si>
    <t>http://docquery.fec.gov/cgi-bin/fecimg/?202008209263787179</t>
  </si>
  <si>
    <t>SA11AI_270043219</t>
  </si>
  <si>
    <t>SA11AI_268650529</t>
  </si>
  <si>
    <t>http://docquery.fec.gov/cgi-bin/fecimg/?202008209263787174</t>
  </si>
  <si>
    <t>SA11AI_270878331</t>
  </si>
  <si>
    <t>http://docquery.fec.gov/cgi-bin/fecimg/?202008209263787181</t>
  </si>
  <si>
    <t>SA11AI_268650514</t>
  </si>
  <si>
    <t>SA11AI_270744028</t>
  </si>
  <si>
    <t>http://docquery.fec.gov/cgi-bin/fecimg/?202008209263787182</t>
  </si>
  <si>
    <t>SA11AI_270696304</t>
  </si>
  <si>
    <t>SA11AI_270744014</t>
  </si>
  <si>
    <t>C00500843</t>
  </si>
  <si>
    <t>S2MA00170</t>
  </si>
  <si>
    <t>SA11AI_270878352</t>
  </si>
  <si>
    <t>http://docquery.fec.gov/cgi-bin/fecimg/?202008209263787184</t>
  </si>
  <si>
    <t>13472099E</t>
  </si>
  <si>
    <t>http://docquery.fec.gov/cgi-bin/fecimg/?202009169267203001</t>
  </si>
  <si>
    <t>C00489799</t>
  </si>
  <si>
    <t>PLANNED PARENTHOOD VOTES</t>
  </si>
  <si>
    <t>VV1NH9J0YN3</t>
  </si>
  <si>
    <t>NON-FEDERAL RECEIPT FROM PERSONS</t>
  </si>
  <si>
    <t>https://docquery.fec.gov/cgi-bin/fecimg/?202104169443788420</t>
  </si>
  <si>
    <t>C00582890</t>
  </si>
  <si>
    <t>TOM O'HALLERAN FOR CONGRESS</t>
  </si>
  <si>
    <t>11AI-000049675</t>
  </si>
  <si>
    <t>HOLD THE HOUSE FRONTLINE FUND</t>
  </si>
  <si>
    <t>http://docquery.fec.gov/cgi-bin/fecimg/?202010149293864181</t>
  </si>
  <si>
    <t>VSHCDN9B6C6</t>
  </si>
  <si>
    <t>VSHCDN9B6C6E</t>
  </si>
  <si>
    <t>http://docquery.fec.gov/cgi-bin/fecimg/?202010159293927567</t>
  </si>
  <si>
    <t>VSHCDP07J86</t>
  </si>
  <si>
    <t>VSHCDP07J86E</t>
  </si>
  <si>
    <t>http://docquery.fec.gov/cgi-bin/fecimg/?202010159293927083</t>
  </si>
  <si>
    <t>VSHCDMN4JE9</t>
  </si>
  <si>
    <t>VSHCDMN4JE9E</t>
  </si>
  <si>
    <t>http://docquery.fec.gov/cgi-bin/fecimg/?202010159293938683</t>
  </si>
  <si>
    <t>VSHCDMTXN10</t>
  </si>
  <si>
    <t>VSHCDMTXN10E</t>
  </si>
  <si>
    <t>http://docquery.fec.gov/cgi-bin/fecimg/?202010159293904772</t>
  </si>
  <si>
    <t>VSHCDNVWSK4</t>
  </si>
  <si>
    <t>VSHCDNVWSK4E</t>
  </si>
  <si>
    <t>http://docquery.fec.gov/cgi-bin/fecimg/?202010159293921243</t>
  </si>
  <si>
    <t>VSHCDN2DDB4</t>
  </si>
  <si>
    <t>VSHCDN2DDB4E</t>
  </si>
  <si>
    <t>http://docquery.fec.gov/cgi-bin/fecimg/?202010159293920322</t>
  </si>
  <si>
    <t>VSHCDP20Q52</t>
  </si>
  <si>
    <t>VSHCDP20Q52E</t>
  </si>
  <si>
    <t>http://docquery.fec.gov/cgi-bin/fecimg/?202010229332963547</t>
  </si>
  <si>
    <t>C00696153</t>
  </si>
  <si>
    <t>JAIME HARRISON FOR US SENATE</t>
  </si>
  <si>
    <t>VVC3HV1P8F7</t>
  </si>
  <si>
    <t>VVC3HV1P8F7E</t>
  </si>
  <si>
    <t>https://docquery.fec.gov/cgi-bin/fecimg/?202105039446229385</t>
  </si>
  <si>
    <t>VVC3HT631F4</t>
  </si>
  <si>
    <t>VVC3HT631F4E</t>
  </si>
  <si>
    <t>https://docquery.fec.gov/cgi-bin/fecimg/?202104269445418462</t>
  </si>
  <si>
    <t>VVC3HT5KNW6</t>
  </si>
  <si>
    <t>VVC3HT5KNW6E</t>
  </si>
  <si>
    <t>https://docquery.fec.gov/cgi-bin/fecimg/?202104269445418460</t>
  </si>
  <si>
    <t>VVC3HT5KPA6</t>
  </si>
  <si>
    <t>VVC3HT5KPA6E</t>
  </si>
  <si>
    <t>VVC3HT9VPJ0</t>
  </si>
  <si>
    <t>VVC3HT9VPJ0E</t>
  </si>
  <si>
    <t>VVC3HT5KPB4</t>
  </si>
  <si>
    <t>VVC3HT5KPB4E</t>
  </si>
  <si>
    <t>https://docquery.fec.gov/cgi-bin/fecimg/?202104269445418461</t>
  </si>
  <si>
    <t>VVC3HTDQHH9</t>
  </si>
  <si>
    <t>VVC3HTDQHH9E</t>
  </si>
  <si>
    <t>https://docquery.fec.gov/cgi-bin/fecimg/?202104269445418466</t>
  </si>
  <si>
    <t>VVC3HTDQB51</t>
  </si>
  <si>
    <t>VVC3HTDQB51E</t>
  </si>
  <si>
    <t>https://docquery.fec.gov/cgi-bin/fecimg/?202104269445418464</t>
  </si>
  <si>
    <t>VVC3HTDQB85</t>
  </si>
  <si>
    <t>VVC3HTDQB85E</t>
  </si>
  <si>
    <t>VVC3HTDQHG1</t>
  </si>
  <si>
    <t>VVC3HTDQHG1E</t>
  </si>
  <si>
    <t>https://docquery.fec.gov/cgi-bin/fecimg/?202104269445418465</t>
  </si>
  <si>
    <t>WARREN DEMOCRATS, INC.</t>
  </si>
  <si>
    <t>P2024</t>
  </si>
  <si>
    <t>7018560E</t>
  </si>
  <si>
    <t>http://docquery.fec.gov/cgi-bin/fecimg/?202010159294601847</t>
  </si>
  <si>
    <t>SA11AI_288308225</t>
  </si>
  <si>
    <t>https://docquery.fec.gov/cgi-bin/fecimg/?202012149380575279</t>
  </si>
  <si>
    <t>SA11AI_288308255</t>
  </si>
  <si>
    <t>DCCC</t>
  </si>
  <si>
    <t>* EARMARKED CONTRIBUTION THROUGH ACTBLUE PAC ON 04/15/2020</t>
  </si>
  <si>
    <t>https://docquery.fec.gov/cgi-bin/fecimg/?202103249442066301</t>
  </si>
  <si>
    <t>SA11AI_278351174</t>
  </si>
  <si>
    <t>https://docquery.fec.gov/cgi-bin/fecimg/?202012119370294836</t>
  </si>
  <si>
    <t>SA11AI_278832870</t>
  </si>
  <si>
    <t>https://docquery.fec.gov/cgi-bin/fecimg/?202012119370294837</t>
  </si>
  <si>
    <t>SA11AI_278832867</t>
  </si>
  <si>
    <t>https://docquery.fec.gov/cgi-bin/fecimg/?202012119370294838</t>
  </si>
  <si>
    <t>SA11AI_286921218</t>
  </si>
  <si>
    <t>https://docquery.fec.gov/cgi-bin/fecimg/?202012119370294858</t>
  </si>
  <si>
    <t>SA11AI_286626080</t>
  </si>
  <si>
    <t>https://docquery.fec.gov/cgi-bin/fecimg/?202012119370294857</t>
  </si>
  <si>
    <t>SA11AI_286626591</t>
  </si>
  <si>
    <t>https://docquery.fec.gov/cgi-bin/fecimg/?202012119370294860</t>
  </si>
  <si>
    <t>SA11AI_286636001</t>
  </si>
  <si>
    <t>EARMARKED FOR DEMOCRATIC NATIONAL COMMITTEE (C00010603)</t>
  </si>
  <si>
    <t>https://docquery.fec.gov/cgi-bin/fecimg/?202012119370294859</t>
  </si>
  <si>
    <t>SA11AI_286627473</t>
  </si>
  <si>
    <t>SA11AI_286627491</t>
  </si>
  <si>
    <t>SA11AI_286636021</t>
  </si>
  <si>
    <t>https://docquery.fec.gov/cgi-bin/fecimg/?202012119370294861</t>
  </si>
  <si>
    <t>SA11AI_277386196</t>
  </si>
  <si>
    <t>https://docquery.fec.gov/cgi-bin/fecimg/?202012119370294835</t>
  </si>
  <si>
    <t>SA11AI_277386246</t>
  </si>
  <si>
    <t>https://docquery.fec.gov/cgi-bin/fecimg/?202012119370294834</t>
  </si>
  <si>
    <t>SA11AI_285463492</t>
  </si>
  <si>
    <t>https://docquery.fec.gov/cgi-bin/fecimg/?202012119370294854</t>
  </si>
  <si>
    <t>SA11AI_275387392</t>
  </si>
  <si>
    <t>https://docquery.fec.gov/cgi-bin/fecimg/?202012119370294824</t>
  </si>
  <si>
    <t>SA11AI_275387407</t>
  </si>
  <si>
    <t>SA11AI_273444466</t>
  </si>
  <si>
    <t>https://docquery.fec.gov/cgi-bin/fecimg/?202012119370294817</t>
  </si>
  <si>
    <t>SA11AI_273444467</t>
  </si>
  <si>
    <t>https://docquery.fec.gov/cgi-bin/fecimg/?202012119370294818</t>
  </si>
  <si>
    <t>SA11AI_285462804</t>
  </si>
  <si>
    <t>https://docquery.fec.gov/cgi-bin/fecimg/?202012119370294855</t>
  </si>
  <si>
    <t>SA11AI_285462768</t>
  </si>
  <si>
    <t>SA11AI_276210377</t>
  </si>
  <si>
    <t>EARMARKED FOR BIDEN VICTORY FUND (C00744946)</t>
  </si>
  <si>
    <t>https://docquery.fec.gov/cgi-bin/fecimg/?202012119370294829</t>
  </si>
  <si>
    <t>SA11AI_276210408</t>
  </si>
  <si>
    <t>https://docquery.fec.gov/cgi-bin/fecimg/?202012119370294826</t>
  </si>
  <si>
    <t>SA11AI_285463451</t>
  </si>
  <si>
    <t>SA11AI_285432588</t>
  </si>
  <si>
    <t>SA11AI_285432606</t>
  </si>
  <si>
    <t>SA11AI_277181964</t>
  </si>
  <si>
    <t>SA11AI_277181987</t>
  </si>
  <si>
    <t>https://docquery.fec.gov/cgi-bin/fecimg/?202012119370294833</t>
  </si>
  <si>
    <t>SA11AI_283737303</t>
  </si>
  <si>
    <t>https://docquery.fec.gov/cgi-bin/fecimg/?202012119370294849</t>
  </si>
  <si>
    <t>SA11AI_276639765</t>
  </si>
  <si>
    <t>https://docquery.fec.gov/cgi-bin/fecimg/?202012119370294831</t>
  </si>
  <si>
    <t>SA11AI_276639802</t>
  </si>
  <si>
    <t>https://docquery.fec.gov/cgi-bin/fecimg/?202012119370294832</t>
  </si>
  <si>
    <t>SA11AI_286626624</t>
  </si>
  <si>
    <t>SA11AI_286627188</t>
  </si>
  <si>
    <t>https://docquery.fec.gov/cgi-bin/fecimg/?202012119370294856</t>
  </si>
  <si>
    <t>SA11AI_286627215</t>
  </si>
  <si>
    <t>SA11AI_286626052</t>
  </si>
  <si>
    <t>EARMARKED FOR HOLD THE HOUSE FRONTLINE FUND (C00708909)</t>
  </si>
  <si>
    <t>SA11AI_283737280</t>
  </si>
  <si>
    <t>https://docquery.fec.gov/cgi-bin/fecimg/?202012119370294848</t>
  </si>
  <si>
    <t>30160286E</t>
  </si>
  <si>
    <t>* EARMARKED CONTRIBUTION: SEE BELOW EARMARKED THROUGH ACTBLUE</t>
  </si>
  <si>
    <t>https://docquery.fec.gov/cgi-bin/fecimg/?202103299442351060</t>
  </si>
  <si>
    <t>* EARMARKED CONTRIBUTION THROUGH ACTBLUE PAC ON 05/05/2020</t>
  </si>
  <si>
    <t>https://docquery.fec.gov/cgi-bin/fecimg/?202103249442082322</t>
  </si>
  <si>
    <t>* EARMARKED CONTRIBUTION THROUGH ACTBLUE PAC ON 05/17/2020</t>
  </si>
  <si>
    <t>https://docquery.fec.gov/cgi-bin/fecimg/?202103249442082323</t>
  </si>
  <si>
    <t>30311195E</t>
  </si>
  <si>
    <t>https://docquery.fec.gov/cgi-bin/fecimg/?202103299442351061</t>
  </si>
  <si>
    <t>29817985E</t>
  </si>
  <si>
    <t>https://docquery.fec.gov/cgi-bin/fecimg/?202103299442302842</t>
  </si>
  <si>
    <t>29869444E</t>
  </si>
  <si>
    <t>https://docquery.fec.gov/cgi-bin/fecimg/?202103299442302843</t>
  </si>
  <si>
    <t>30647019E</t>
  </si>
  <si>
    <t>https://docquery.fec.gov/cgi-bin/fecimg/?202103299442604967</t>
  </si>
  <si>
    <t>30829031E</t>
  </si>
  <si>
    <t>https://docquery.fec.gov/cgi-bin/fecimg/?202103299442604969</t>
  </si>
  <si>
    <t>75 CAMBRIDGE PKWY CAMBRIDGE MA 21421229</t>
  </si>
  <si>
    <t>C00744946</t>
  </si>
  <si>
    <t>BIDEN VICTORY FUND</t>
  </si>
  <si>
    <t>WRIGHT, DEBORAH</t>
  </si>
  <si>
    <t>DEBORAH</t>
  </si>
  <si>
    <t>WRIGHT</t>
  </si>
  <si>
    <t>285 W 110TH ST</t>
  </si>
  <si>
    <t>CITIGROUP</t>
  </si>
  <si>
    <t>BOARD MEMBER</t>
  </si>
  <si>
    <t>https://docquery.fec.gov/cgi-bin/fecimg/?202103089440336576</t>
  </si>
  <si>
    <t>APT 7F</t>
  </si>
  <si>
    <t>SA18</t>
  </si>
  <si>
    <t>* BIDEN VICTORY FUND</t>
  </si>
  <si>
    <t>http://docquery.fec.gov/cgi-bin/fecimg/?202010219326733310</t>
  </si>
  <si>
    <t>http://docquery.fec.gov/cgi-bin/fecimg/?202010229336171829</t>
  </si>
  <si>
    <t>http://docquery.fec.gov/cgi-bin/fecimg/?202010219326620824</t>
  </si>
  <si>
    <t>http://docquery.fec.gov/cgi-bin/fecimg/?202010219326640672</t>
  </si>
  <si>
    <t>https://docquery.fec.gov/cgi-bin/fecimg/?202101149404582160</t>
  </si>
  <si>
    <t>https://docquery.fec.gov/cgi-bin/fecimg/?202101149404682569</t>
  </si>
  <si>
    <t>https://docquery.fec.gov/cgi-bin/fecimg/?202101149404614421</t>
  </si>
  <si>
    <t>https://docquery.fec.gov/cgi-bin/fecimg/?202101149404665219</t>
  </si>
  <si>
    <t>285 W 110TH ST NEW YORK NY 100264299</t>
  </si>
  <si>
    <t>https://docquery.fec.gov/cgi-bin/fecimg/?202101299418056947</t>
  </si>
  <si>
    <t>388 GREENWICH STREET</t>
  </si>
  <si>
    <t>CORBAT</t>
  </si>
  <si>
    <t>MICHAEL</t>
  </si>
  <si>
    <t>CORBAT, MICHAEL L</t>
  </si>
  <si>
    <t>A2020-2624038</t>
  </si>
  <si>
    <t>http://docquery.fec.gov/cgi-bin/fecimg/?201911219166069773</t>
  </si>
  <si>
    <t>A2019-841516</t>
  </si>
  <si>
    <t>388 GREENWICH STREET NEW YORK NY 10013</t>
  </si>
  <si>
    <t>A2019-26284</t>
  </si>
  <si>
    <t>MASON, MARK</t>
  </si>
  <si>
    <t>MARK</t>
  </si>
  <si>
    <t>MASON</t>
  </si>
  <si>
    <t>CITIGROUP MANAGEMENT CORP</t>
  </si>
  <si>
    <t>http://docquery.fec.gov/cgi-bin/fecimg/?201911209165881175</t>
  </si>
  <si>
    <t>A2019-2461445</t>
  </si>
  <si>
    <t>http://docquery.fec.gov/cgi-bin/fecimg/?201911209165926308</t>
  </si>
  <si>
    <t>A2019-377666</t>
  </si>
  <si>
    <t>http://docquery.fec.gov/cgi-bin/fecimg/?201911219166031799</t>
  </si>
  <si>
    <t>A2019-2289143</t>
  </si>
  <si>
    <t>A2019-93129</t>
  </si>
  <si>
    <t>http://docquery.fec.gov/cgi-bin/fecimg/?201911219166031597</t>
  </si>
  <si>
    <t>A2019-271750</t>
  </si>
  <si>
    <t>http://docquery.fec.gov/cgi-bin/fecimg/?201911219166031598</t>
  </si>
  <si>
    <t>A2019-523875</t>
  </si>
  <si>
    <t>A2019-591861</t>
  </si>
  <si>
    <t>http://docquery.fec.gov/cgi-bin/fecimg/?201911219166069822</t>
  </si>
  <si>
    <t>A2019-804441</t>
  </si>
  <si>
    <t>http://docquery.fec.gov/cgi-bin/fecimg/?201911219166069823</t>
  </si>
  <si>
    <t>A2019-1264055</t>
  </si>
  <si>
    <t>http://docquery.fec.gov/cgi-bin/fecimg/?201911219166070440</t>
  </si>
  <si>
    <t>A2019-1404079</t>
  </si>
  <si>
    <t>A2019-1996396</t>
  </si>
  <si>
    <t>http://docquery.fec.gov/cgi-bin/fecimg/?201911219166072938</t>
  </si>
  <si>
    <t>A2019-1508171</t>
  </si>
  <si>
    <t>http://docquery.fec.gov/cgi-bin/fecimg/?201911219166072564</t>
  </si>
  <si>
    <t>A2019-1677455</t>
  </si>
  <si>
    <t>http://docquery.fec.gov/cgi-bin/fecimg/?201911219166072565</t>
  </si>
  <si>
    <t>A2019-1773396</t>
  </si>
  <si>
    <t>http://docquery.fec.gov/cgi-bin/fecimg/?201911219166072752</t>
  </si>
  <si>
    <t>A2019-1959272</t>
  </si>
  <si>
    <t>http://docquery.fec.gov/cgi-bin/fecimg/?201911219166072753</t>
  </si>
  <si>
    <t>A2019-2203442</t>
  </si>
  <si>
    <t>A2019-852507</t>
  </si>
  <si>
    <t>http://docquery.fec.gov/cgi-bin/fecimg/?202001239167315063</t>
  </si>
  <si>
    <t>A2019-1077821</t>
  </si>
  <si>
    <t>A2019-1118718</t>
  </si>
  <si>
    <t>http://docquery.fec.gov/cgi-bin/fecimg/?202001239167315064</t>
  </si>
  <si>
    <t>A2019-2693177</t>
  </si>
  <si>
    <t>http://docquery.fec.gov/cgi-bin/fecimg/?201912169166293911</t>
  </si>
  <si>
    <t>A2019-2510606</t>
  </si>
  <si>
    <t>http://docquery.fec.gov/cgi-bin/fecimg/?201912169166293910</t>
  </si>
  <si>
    <t>A2019-2737285</t>
  </si>
  <si>
    <t>A2019-2953358</t>
  </si>
  <si>
    <t>http://docquery.fec.gov/cgi-bin/fecimg/?202001309182438150</t>
  </si>
  <si>
    <t>A2019-3118562</t>
  </si>
  <si>
    <t>http://docquery.fec.gov/cgi-bin/fecimg/?202001309182438151</t>
  </si>
  <si>
    <t>A2020-55165</t>
  </si>
  <si>
    <t>http://docquery.fec.gov/cgi-bin/fecimg/?202002199186521408</t>
  </si>
  <si>
    <t>A2020-373188</t>
  </si>
  <si>
    <t>http://docquery.fec.gov/cgi-bin/fecimg/?202003209204628336</t>
  </si>
  <si>
    <t>A2020-131041</t>
  </si>
  <si>
    <t>http://docquery.fec.gov/cgi-bin/fecimg/?202003209204628335</t>
  </si>
  <si>
    <t>A2020-360347</t>
  </si>
  <si>
    <t>http://docquery.fec.gov/cgi-bin/fecimg/?202004209219745785</t>
  </si>
  <si>
    <t>A2020-561134</t>
  </si>
  <si>
    <t>A2020-598943</t>
  </si>
  <si>
    <t>http://docquery.fec.gov/cgi-bin/fecimg/?202005189232774825</t>
  </si>
  <si>
    <t>A2020-817026</t>
  </si>
  <si>
    <t>http://docquery.fec.gov/cgi-bin/fecimg/?202005189232774826</t>
  </si>
  <si>
    <t>A2020-1071234</t>
  </si>
  <si>
    <t>http://docquery.fec.gov/cgi-bin/fecimg/?202006199240005777</t>
  </si>
  <si>
    <t>A2020-1121881</t>
  </si>
  <si>
    <t>http://docquery.fec.gov/cgi-bin/fecimg/?202006199240005778</t>
  </si>
  <si>
    <t>A2020-873837</t>
  </si>
  <si>
    <t>A2020-1443455</t>
  </si>
  <si>
    <t>http://docquery.fec.gov/cgi-bin/fecimg/?202008199261409210</t>
  </si>
  <si>
    <t>A2020-1621853</t>
  </si>
  <si>
    <t>A2020-1369939</t>
  </si>
  <si>
    <t>http://docquery.fec.gov/cgi-bin/fecimg/?202007179250381451</t>
  </si>
  <si>
    <t>A2020-1332758</t>
  </si>
  <si>
    <t>A2020-1677361</t>
  </si>
  <si>
    <t>http://docquery.fec.gov/cgi-bin/fecimg/?202009189267433260</t>
  </si>
  <si>
    <t>A2020-1862039</t>
  </si>
  <si>
    <t>A2020-2027439</t>
  </si>
  <si>
    <t>http://docquery.fec.gov/cgi-bin/fecimg/?202010209297385338</t>
  </si>
  <si>
    <t>A2020-2107826</t>
  </si>
  <si>
    <t>A2020-2622474</t>
  </si>
  <si>
    <t>https://docquery.fec.gov/cgi-bin/fecimg/?202101299418057072</t>
  </si>
  <si>
    <t>A2020-2681469</t>
  </si>
  <si>
    <t>A2020-2737580</t>
  </si>
  <si>
    <t>A2020-2317349</t>
  </si>
  <si>
    <t>https://docquery.fec.gov/cgi-bin/fecimg/?202012029337420205</t>
  </si>
  <si>
    <t>A2020-2492527</t>
  </si>
  <si>
    <t>A2020-2494268</t>
  </si>
  <si>
    <t>https://docquery.fec.gov/cgi-bin/fecimg/?202012029337420206</t>
  </si>
  <si>
    <t>A2020-2154184</t>
  </si>
  <si>
    <t>http://docquery.fec.gov/cgi-bin/fecimg/?202010229333029497</t>
  </si>
  <si>
    <t>London England</t>
  </si>
  <si>
    <t>IL?</t>
  </si>
  <si>
    <t>DC?</t>
  </si>
  <si>
    <t>MO</t>
  </si>
  <si>
    <t>OR</t>
  </si>
  <si>
    <t>Hague Nethrelands</t>
  </si>
  <si>
    <t>Mexico</t>
  </si>
  <si>
    <t>170 Stuyvesant Ave,  Rye NY 10580</t>
  </si>
  <si>
    <t>14 Washington Mews,NY,NY 10003</t>
  </si>
  <si>
    <t>4422 SW Carl Pl, Portland 97239</t>
  </si>
  <si>
    <t>9 Muirfield Ln, Saint Louis MO 63141</t>
  </si>
  <si>
    <t>NJ</t>
  </si>
  <si>
    <t>235 Tillou Rd, South Orange NJ 07079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</si>
</sst>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  <font>
      <u/>
      <sz val="12"/>
      <color theme="1"/>
      <name val="Times New Roman"/>
      <family val="1"/>
    </font>
    <font>
      <sz val="10"/>
      <color rgb="FF212B4A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b/>
      <u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 applyAlignment="1" applyProtection="1"/>
    <xf numFmtId="0" fontId="11" fillId="0" borderId="0" xfId="1" applyFont="1" applyAlignment="1" applyProtection="1"/>
    <xf numFmtId="3" fontId="12" fillId="0" borderId="0" xfId="0" applyNumberFormat="1" applyFont="1"/>
    <xf numFmtId="0" fontId="7" fillId="0" borderId="0" xfId="0" applyFont="1"/>
    <xf numFmtId="0" fontId="0" fillId="2" borderId="0" xfId="0" applyFill="1"/>
    <xf numFmtId="0" fontId="14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4" fillId="2" borderId="0" xfId="0" applyFont="1" applyFill="1" applyAlignment="1">
      <alignment horizontal="right" wrapText="1"/>
    </xf>
    <xf numFmtId="14" fontId="14" fillId="2" borderId="0" xfId="0" applyNumberFormat="1" applyFont="1" applyFill="1" applyAlignment="1">
      <alignment horizontal="right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right" wrapText="1"/>
    </xf>
    <xf numFmtId="14" fontId="15" fillId="2" borderId="0" xfId="0" applyNumberFormat="1" applyFont="1" applyFill="1" applyAlignment="1">
      <alignment horizontal="right" wrapText="1"/>
    </xf>
    <xf numFmtId="0" fontId="16" fillId="2" borderId="0" xfId="0" applyFont="1" applyFill="1" applyAlignment="1">
      <alignment wrapText="1"/>
    </xf>
    <xf numFmtId="0" fontId="17" fillId="0" borderId="0" xfId="0" applyFont="1"/>
    <xf numFmtId="0" fontId="8" fillId="0" borderId="0" xfId="1" applyFont="1" applyAlignment="1" applyProtection="1"/>
    <xf numFmtId="15" fontId="2" fillId="0" borderId="0" xfId="0" applyNumberFormat="1" applyFont="1"/>
    <xf numFmtId="0" fontId="1" fillId="0" borderId="0" xfId="3"/>
    <xf numFmtId="0" fontId="1" fillId="0" borderId="0" xfId="3" applyNumberFormat="1"/>
    <xf numFmtId="0" fontId="1" fillId="0" borderId="0" xfId="3" applyAlignment="1">
      <alignment horizontal="left"/>
    </xf>
    <xf numFmtId="10" fontId="1" fillId="0" borderId="0" xfId="3" applyNumberFormat="1"/>
    <xf numFmtId="0" fontId="1" fillId="0" borderId="0" xfId="3" pivotButton="1"/>
    <xf numFmtId="47" fontId="1" fillId="0" borderId="0" xfId="3" applyNumberFormat="1"/>
    <xf numFmtId="22" fontId="1" fillId="0" borderId="0" xfId="3" applyNumberFormat="1"/>
    <xf numFmtId="0" fontId="19" fillId="0" borderId="0" xfId="0" applyFont="1"/>
    <xf numFmtId="0" fontId="1" fillId="0" borderId="1" xfId="3" applyBorder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16" fillId="2" borderId="0" xfId="2" applyNumberFormat="1" applyFont="1" applyFill="1" applyAlignment="1">
      <alignment wrapText="1"/>
    </xf>
    <xf numFmtId="164" fontId="2" fillId="0" borderId="0" xfId="2" applyNumberFormat="1" applyFont="1"/>
    <xf numFmtId="0" fontId="15" fillId="2" borderId="0" xfId="0" applyFont="1" applyFill="1" applyAlignment="1">
      <alignment wrapText="1"/>
    </xf>
  </cellXfs>
  <cellStyles count="4">
    <cellStyle name="Comma" xfId="2" builtinId="3"/>
    <cellStyle name="Hyperlink" xfId="1" builtinId="8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itigroupBO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itigroupBO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CitigroupBOD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t Marnell" refreshedDate="44412.566363425925" createdVersion="5" refreshedVersion="5" minRefreshableVersion="3" recordCount="3">
  <cacheSource type="worksheet">
    <worksheetSource ref="A1:CA4" sheet="Barbara Desoer" r:id="rId2"/>
  </cacheSource>
  <cacheFields count="79">
    <cacheField name="committee_id" numFmtId="0">
      <sharedItems/>
    </cacheField>
    <cacheField name="committee_name" numFmtId="0">
      <sharedItems count="2">
        <s v="DAVITA INC. POLITICAL ACTION COMMITTEE (DAPAC)"/>
        <s v="CITIGROUP INC. POLITICAL ACTION COMMITTEE - FEDERAL (CITIGROUP PAC-FEDERAL)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319914574E+17" maxValue="2.0200420921976301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20045" maxValue="1402431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91361" maxValue="100224146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2-18T00:00:00" maxDate="2020-03-27T00:00:00"/>
    </cacheField>
    <cacheField name="contribution_receipt_amount" numFmtId="0">
      <sharedItems containsSemiMixedTypes="0" containsString="0" containsNumber="1" containsInteger="1" minValue="5000" maxValue="5000"/>
    </cacheField>
    <cacheField name="contributor_aggregate_ytd" numFmtId="0">
      <sharedItems containsSemiMixedTypes="0" containsString="0" containsNumber="1" containsInteger="1" minValue="5000" maxValue="5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03-20T03:15:30" maxDate="2020-04-22T01:26:38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319201916451599E+18" maxValue="4.11232019168002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319201916452198E+18" maxValue="4.11232019168026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tt Marnell" refreshedDate="44412.58326550926" createdVersion="5" refreshedVersion="5" minRefreshableVersion="3" recordCount="162">
  <cacheSource type="worksheet">
    <worksheetSource ref="A1:CA163" sheet="JANE FRASER" r:id="rId2"/>
  </cacheSource>
  <cacheFields count="79">
    <cacheField name="committee_id" numFmtId="0">
      <sharedItems/>
    </cacheField>
    <cacheField name="committee_name" numFmtId="0">
      <sharedItems count="12">
        <s v="CITIGROUP INC. PAC - STATE (CITI PAC-STATE)"/>
        <s v="BERNIE 2020"/>
        <s v="ACTBLUE"/>
        <s v="BOWMAN FOR CONGRESS"/>
        <s v="CITIGROUP INC. POLITICAL ACTION COMMITTEE - FEDERAL (CITIGROUP PAC-FEDERAL)"/>
        <s v="REPUBLICAN NATIONAL COMMITTEE"/>
        <s v="ADRIENNE BELL FOR CONGRESS"/>
        <s v="DONALD J. TRUMP FOR PRESIDENT, INC."/>
        <s v="WINRED"/>
        <s v="ROMANOFF FOR COLORADO"/>
        <s v="ALEX MORSE FOR CONGRESS"/>
        <s v="TRUMP MAKE AMERICA GREAT AGAIN COMMITTEE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415914622701E+17" maxValue="2.02105209447092E+17"/>
    </cacheField>
    <cacheField name="line_number" numFmtId="0">
      <sharedItems containsMixedTypes="1" containsNumber="1" containsInteger="1" minValue="12" maxValue="21"/>
    </cacheField>
    <cacheField name="transaction_id" numFmtId="0">
      <sharedItems containsMixedTypes="1" containsNumber="1" containsInteger="1" minValue="4751508" maxValue="10791107"/>
    </cacheField>
    <cacheField name="file_number" numFmtId="0">
      <sharedItems containsSemiMixedTypes="0" containsString="0" containsNumber="1" containsInteger="1" minValue="1326070" maxValue="1517562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2095" maxValue="936198745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 containsMixedTypes="1" containsNumber="1" containsInteger="1" minValue="15" maxValue="15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1-17T00:00:00" maxDate="2020-12-27T00:00:00"/>
    </cacheField>
    <cacheField name="contribution_receipt_amount" numFmtId="0">
      <sharedItems containsSemiMixedTypes="0" containsString="0" containsNumber="1" minValue="-50" maxValue="1000"/>
    </cacheField>
    <cacheField name="contributor_aggregate_ytd" numFmtId="0">
      <sharedItems containsSemiMixedTypes="0" containsString="0" containsNumber="1" minValue="0" maxValue="4999.8"/>
    </cacheField>
    <cacheField name="candidate_id" numFmtId="0">
      <sharedItems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Blank="1"/>
    </cacheField>
    <cacheField name="election_type" numFmtId="0">
      <sharedItems containsBlank="1"/>
    </cacheField>
    <cacheField name="election_type_full" numFmtId="0">
      <sharedItems containsBlank="1"/>
    </cacheField>
    <cacheField name="fec_election_type_desc" numFmtId="0">
      <sharedItems containsBlank="1"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NonDate="0" containsDate="1" containsString="0" minDate="2019-04-24T03:05:00" maxDate="2021-05-28T03:39:51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11202120681999E+18" maxValue="4.1219202019782098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121098301E+18" maxValue="4.12202020198074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tt Marnell" refreshedDate="44412.668789120369" createdVersion="5" refreshedVersion="5" minRefreshableVersion="3" recordCount="448">
  <cacheSource type="worksheet">
    <worksheetSource ref="A1:CA449" sheet="Diana Taylor"/>
  </cacheSource>
  <cacheFields count="79">
    <cacheField name="committee_id" numFmtId="0">
      <sharedItems/>
    </cacheField>
    <cacheField name="committee_name" numFmtId="0">
      <sharedItems count="16">
        <s v="WARREN FOR PRESIDENT, INC."/>
        <s v="FRIENDS OF CHRIS MURPHY"/>
        <s v="IT STARTS TODAY"/>
        <s v="ACTBLUE"/>
        <s v="NANCY PELOSI FOR CONGRESS"/>
        <s v="MOVEON.ORG POLITICAL ACTION"/>
        <s v="ALEXANDRIA OCASIO-CORTEZ FOR CONGRESS"/>
        <s v="BIDEN FOR PRESIDENT"/>
        <s v="LET AMERICA VOTE PAC"/>
        <s v="DITCH FUND"/>
        <s v="SCHIFF FOR CONGRESS"/>
        <s v="PLANNED PARENTHOOD VOTES"/>
        <s v="TOM O'HALLERAN FOR CONGRESS"/>
        <s v="JAIME HARRISON FOR US SENATE"/>
        <s v="WARREN DEMOCRATS, INC."/>
        <s v="DCC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729915684998E+17" maxValue="2.0210503944622899E+17"/>
    </cacheField>
    <cacheField name="line_number" numFmtId="0">
      <sharedItems/>
    </cacheField>
    <cacheField name="transaction_id" numFmtId="0">
      <sharedItems containsMixedTypes="1" containsNumber="1" containsInteger="1" minValue="1955238" maxValue="30829031"/>
    </cacheField>
    <cacheField name="file_number" numFmtId="0">
      <sharedItems containsSemiMixedTypes="0" containsString="0" containsNumber="1" containsInteger="1" minValue="1344765" maxValue="1514941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142" maxValue="21421239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 containsMixedTypes="1" containsNumber="1" containsInteger="1" minValue="10" maxValue="15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487" maxValue="44151"/>
    </cacheField>
    <cacheField name="contribution_receipt_amount" numFmtId="0">
      <sharedItems containsSemiMixedTypes="0" containsString="0" containsNumber="1" minValue="1" maxValue="500"/>
    </cacheField>
    <cacheField name="contributor_aggregate_ytd" numFmtId="0">
      <sharedItems containsSemiMixedTypes="0" containsString="0" containsNumber="1" minValue="1.18" maxValue="1552.5"/>
    </cacheField>
    <cacheField name="candidate_id" numFmtId="0">
      <sharedItems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Blank="1"/>
    </cacheField>
    <cacheField name="election_type" numFmtId="0">
      <sharedItems containsBlank="1"/>
    </cacheField>
    <cacheField name="election_type_full" numFmtId="0">
      <sharedItems containsBlank="1"/>
    </cacheField>
    <cacheField name="fec_election_type_desc" numFmtId="0">
      <sharedItems containsBlank="1"/>
    </cacheField>
    <cacheField name="fec_election_year" numFmtId="0">
      <sharedItems containsString="0" containsBlank="1" containsNumber="1" containsInteger="1" minValue="2019" maxValue="2024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701.114174224538" maxValue="44324.20745141204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31202016861798E+18" maxValue="4.1216202019742802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122021206927E+18" maxValue="4.1222201916823398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att Marnell" refreshedDate="44412.739129513888" createdVersion="5" refreshedVersion="5" minRefreshableVersion="3" recordCount="9">
  <cacheSource type="worksheet">
    <worksheetSource ref="A1:CA10" sheet="Deborah Wright"/>
  </cacheSource>
  <cacheFields count="79">
    <cacheField name="committee_id" numFmtId="0">
      <sharedItems/>
    </cacheField>
    <cacheField name="committee_name" numFmtId="0">
      <sharedItems count="2">
        <s v="BIDEN VICTORY FUND"/>
        <s v="BIDEN FOR PRESIDENT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 containsBlank="1"/>
    </cacheField>
    <cacheField name="image_number" numFmtId="0">
      <sharedItems containsSemiMixedTypes="0" containsString="0" containsNumber="1" containsInteger="1" minValue="2.0201021932662E+17" maxValue="2.02103089440336E+17"/>
    </cacheField>
    <cacheField name="line_number" numFmtId="0">
      <sharedItems containsMixedTypes="1" containsNumber="1" containsInteger="1" minValue="18" maxValue="18"/>
    </cacheField>
    <cacheField name="transaction_id" numFmtId="0">
      <sharedItems containsSemiMixedTypes="0" containsString="0" containsNumber="1" containsInteger="1" minValue="7449648" maxValue="24798128"/>
    </cacheField>
    <cacheField name="file_number" numFmtId="0">
      <sharedItems containsSemiMixedTypes="0" containsString="0" containsNumber="1" containsInteger="1" minValue="1458940" maxValue="1503262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264299" maxValue="100264299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4018" maxValue="44111"/>
    </cacheField>
    <cacheField name="contribution_receipt_amount" numFmtId="0">
      <sharedItems containsSemiMixedTypes="0" containsString="0" containsNumber="1" minValue="14.56" maxValue="500"/>
    </cacheField>
    <cacheField name="contributor_aggregate_ytd" numFmtId="0">
      <sharedItems containsSemiMixedTypes="0" containsString="0" containsNumber="1" minValue="500" maxValue="932.39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4132.199978472221" maxValue="44329.167173715279"/>
    </cacheField>
    <cacheField name="original_sub_id" numFmtId="0">
      <sharedItems containsNonDate="0" containsString="0" containsBlank="1"/>
    </cacheField>
    <cacheField name="back_reference_transaction_id" numFmtId="0">
      <sharedItems containsString="0" containsBlank="1" containsNumber="1" containsInteger="1" minValue="13794280" maxValue="20811384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15202120936602E+18" maxValue="4.10242020188542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2032021201871E+18" maxValue="4.1028202018886502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att Marnell" refreshedDate="44412.804818055556" createdVersion="5" refreshedVersion="5" minRefreshableVersion="3" recordCount="2">
  <cacheSource type="worksheet">
    <worksheetSource ref="A1:CA3" sheet="Michael Corbat" r:id="rId2"/>
  </cacheSource>
  <cacheFields count="79">
    <cacheField name="committee_id" numFmtId="0">
      <sharedItems/>
    </cacheField>
    <cacheField name="committee_name" numFmtId="0">
      <sharedItems count="1">
        <s v="CITIGROUP INC. POLITICAL ACTION COMMITTEE - FEDERAL (CITIGROUP PAC-FEDERAL)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121916606899E+17" maxValue="2.02101299418056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4454" maxValue="149472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13" maxValue="10013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4-11T00:00:00" maxDate="2020-11-26T00:00:00"/>
    </cacheField>
    <cacheField name="contribution_receipt_amount" numFmtId="0">
      <sharedItems containsSemiMixedTypes="0" containsString="0" containsNumber="1" containsInteger="1" minValue="5000" maxValue="5000"/>
    </cacheField>
    <cacheField name="contributor_aggregate_ytd" numFmtId="0">
      <sharedItems containsSemiMixedTypes="0" containsString="0" containsNumber="1" containsInteger="1" minValue="5000" maxValue="5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11-24T02:03:41" maxDate="2021-02-03T03:44:48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302021213907E+18" maxValue="4.11232019168002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203202121404099E+18" maxValue="4.1123201916803702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Matt Marnell" refreshedDate="44412.808625925929" createdVersion="5" refreshedVersion="5" minRefreshableVersion="3" recordCount="50">
  <cacheSource type="worksheet">
    <worksheetSource ref="A1:CA51" sheet="Mark Mason"/>
  </cacheSource>
  <cacheFields count="79">
    <cacheField name="committee_id" numFmtId="0">
      <sharedItems/>
    </cacheField>
    <cacheField name="committee_name" numFmtId="0">
      <sharedItems count="1">
        <s v="CITIGROUP INC. POLITICAL ACTION COMMITTEE - FEDERAL (CITIGROUP PAC-FEDERAL)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120916588099E+17" maxValue="2.0210129941805699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4266" maxValue="149472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13" maxValue="100132375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483" maxValue="44189"/>
    </cacheField>
    <cacheField name="contribution_receipt_amount" numFmtId="0">
      <sharedItems containsSemiMixedTypes="0" containsString="0" containsNumber="1" minValue="192.3" maxValue="192.3"/>
    </cacheField>
    <cacheField name="contributor_aggregate_ytd" numFmtId="0">
      <sharedItems containsSemiMixedTypes="0" containsString="0" containsNumber="1" minValue="384.6" maxValue="4999.8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792.075380312497" maxValue="44230.156114131947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3202016854999E+18" maxValue="4.1216201916815201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4202016856801E+18" maxValue="4.12202020198074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s v="C00340943"/>
    <x v="0"/>
    <n v="2019"/>
    <s v="M3"/>
    <n v="2.0190319914574E+17"/>
    <s v="11AI"/>
    <s v="F05D04D9ACE44B351B9"/>
    <n v="1320045"/>
    <m/>
    <s v="IND"/>
    <s v="INDIVIDUAL"/>
    <m/>
    <m/>
    <s v="DESOER, BARBARA"/>
    <s v="Q"/>
    <s v="C"/>
    <s v="B"/>
    <s v="BARBARA"/>
    <m/>
    <s v="DESOER"/>
    <m/>
    <s v="300 E 56TH ST"/>
    <s v="APT 5K"/>
    <s v="NEW YORK"/>
    <s v="NY"/>
    <n v="100224146"/>
    <s v="DAVITA, INC."/>
    <s v="BOARD OF DIRECTORS"/>
    <m/>
    <n v="15"/>
    <s v="CONTRIBUTION"/>
    <m/>
    <m/>
    <m/>
    <d v="2019-02-18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3-20T03:15:30"/>
    <m/>
    <m/>
    <m/>
    <s v="F3X"/>
    <n v="4.0319201916451599E+18"/>
    <s v="t"/>
    <m/>
    <n v="2020"/>
    <s v="SA"/>
    <m/>
    <n v="4.0319201916452198E+18"/>
    <s v="http://docquery.fec.gov/cgi-bin/fecimg/?201903199145740541"/>
    <s v="Contributions From Individuals/Persons Other Than Political Committees"/>
  </r>
  <r>
    <s v="C00008474"/>
    <x v="1"/>
    <n v="2019"/>
    <s v="M4"/>
    <n v="2.0191121916603101E+17"/>
    <s v="11AI"/>
    <s v="A2019-581453"/>
    <n v="1364444"/>
    <m/>
    <s v="IND"/>
    <s v="INDIVIDUAL"/>
    <m/>
    <m/>
    <s v="DESOER, BARBARA"/>
    <s v="Q"/>
    <s v="C"/>
    <s v="B"/>
    <s v="BARBARA"/>
    <m/>
    <s v="DESOER"/>
    <m/>
    <s v="388 GREENWICH ST"/>
    <m/>
    <s v="NEW YORK"/>
    <s v="NY"/>
    <n v="100132375"/>
    <s v="CITIGROUP INC."/>
    <s v="MANAGING DIRECTOR"/>
    <m/>
    <n v="15"/>
    <s v="CONTRIBUTION"/>
    <m/>
    <m/>
    <m/>
    <d v="2019-03-28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11-24T01:58:27"/>
    <m/>
    <m/>
    <m/>
    <s v="F3X"/>
    <n v="4.11232019168002E+18"/>
    <s v="t"/>
    <m/>
    <n v="2020"/>
    <s v="SA"/>
    <m/>
    <n v="4.1123201916802601E+18"/>
    <s v="http://docquery.fec.gov/cgi-bin/fecimg/?201911219166031758"/>
    <s v="Contributions From Individuals/Persons Other Than Political Committees"/>
  </r>
  <r>
    <s v="C00340943"/>
    <x v="0"/>
    <n v="2020"/>
    <s v="M4"/>
    <n v="2.0200420921976301E+17"/>
    <s v="11AI"/>
    <s v="86DCBC9D42AE7A729F4"/>
    <n v="1402431"/>
    <m/>
    <s v="IND"/>
    <s v="INDIVIDUAL"/>
    <m/>
    <m/>
    <s v="DESOER, BARBARA"/>
    <s v="Q"/>
    <s v="C"/>
    <s v="B"/>
    <s v="BARBARA"/>
    <m/>
    <s v="DESOER"/>
    <m/>
    <s v="838 W. STAFFORD RD"/>
    <m/>
    <s v="THOUSAND OAKS"/>
    <s v="CA"/>
    <n v="91361"/>
    <s v="DAVITA, INC."/>
    <s v="BOARD OF DIRECTORS"/>
    <m/>
    <n v="15"/>
    <s v="CONTRIBUTION"/>
    <m/>
    <m/>
    <m/>
    <d v="2020-03-26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22T01:26:38"/>
    <m/>
    <m/>
    <m/>
    <s v="F3X"/>
    <n v="4.0420202017373501E+18"/>
    <s v="t"/>
    <m/>
    <n v="2020"/>
    <s v="SA"/>
    <m/>
    <n v="4.0421202017375498E+18"/>
    <s v="http://docquery.fec.gov/cgi-bin/fecimg/?202004209219763660"/>
    <s v="Contributions From Individuals/Persons Other Than Political Committe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2">
  <r>
    <s v="C00039305"/>
    <x v="0"/>
    <n v="2019"/>
    <s v="M2"/>
    <n v="2.0190722915161798E+17"/>
    <s v="11AI"/>
    <s v="A2019-25850"/>
    <n v="1343292"/>
    <m/>
    <s v="IND"/>
    <s v="INDIVIDUAL"/>
    <m/>
    <m/>
    <s v="FRASER, JANE N"/>
    <s v="Q"/>
    <s v="C"/>
    <s v="B"/>
    <s v="JANE"/>
    <s v="N"/>
    <s v="FRASER"/>
    <m/>
    <s v="201 S BISCAYNE BLVD"/>
    <s v="MIAMI CENTER"/>
    <s v="MIAMI"/>
    <s v="FL"/>
    <n v="331314332"/>
    <s v="CITIGROUP INC."/>
    <s v="MANAGING DIRECTOR"/>
    <m/>
    <n v="15"/>
    <s v="CONTRIBUTION"/>
    <m/>
    <m/>
    <m/>
    <d v="2019-01-17T00:00:00"/>
    <n v="192.3"/>
    <n v="384.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2201916607401E+18"/>
    <s v="t"/>
    <m/>
    <n v="2020"/>
    <s v="SA"/>
    <m/>
    <n v="4.0723201916608E+18"/>
    <s v="http://docquery.fec.gov/cgi-bin/fecimg/?201907229151618417"/>
    <s v="Contributions From Individuals/Persons Other Than Political Committees"/>
  </r>
  <r>
    <s v="C00039305"/>
    <x v="0"/>
    <n v="2019"/>
    <s v="M3"/>
    <n v="2.0190722915161798E+17"/>
    <s v="11AI"/>
    <s v="A2019-92450"/>
    <n v="1343297"/>
    <m/>
    <s v="IND"/>
    <s v="INDIVIDUAL"/>
    <m/>
    <m/>
    <s v="FRASER, JANE N"/>
    <s v="Q"/>
    <s v="C"/>
    <s v="B"/>
    <s v="JANE"/>
    <s v="N"/>
    <s v="FRASER"/>
    <m/>
    <s v="201 S BISCAYNE BLVD"/>
    <s v="MIAMI CENTER"/>
    <s v="MIAMI"/>
    <s v="FL"/>
    <n v="331314332"/>
    <s v="CITIGROUP INC."/>
    <s v="MANAGING DIRECTOR"/>
    <m/>
    <n v="15"/>
    <s v="CONTRIBUTION"/>
    <m/>
    <m/>
    <m/>
    <d v="2019-02-01T00:00:00"/>
    <n v="192.3"/>
    <n v="576.9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447"/>
    <s v="Contributions From Individuals/Persons Other Than Political Committees"/>
  </r>
  <r>
    <s v="C00039305"/>
    <x v="0"/>
    <n v="2019"/>
    <s v="M3"/>
    <n v="2.0190722915161798E+17"/>
    <s v="11AI"/>
    <s v="A2019-271437"/>
    <n v="1343297"/>
    <m/>
    <s v="IND"/>
    <s v="INDIVIDUAL"/>
    <m/>
    <m/>
    <s v="FRASER, JANE N"/>
    <s v="Q"/>
    <s v="C"/>
    <s v="B"/>
    <s v="JANE"/>
    <s v="N"/>
    <s v="FRASER"/>
    <m/>
    <s v="201 S BISCAYNE BLVD"/>
    <s v="MIAMI CENTER"/>
    <s v="MIAMI"/>
    <s v="FL"/>
    <n v="331314332"/>
    <s v="CITIGROUP INC."/>
    <s v="MANAGING DIRECTOR"/>
    <m/>
    <n v="15"/>
    <s v="CONTRIBUTION"/>
    <m/>
    <m/>
    <m/>
    <d v="2019-02-15T00:00:00"/>
    <n v="192.3"/>
    <n v="769.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448"/>
    <s v="Contributions From Individuals/Persons Other Than Political Committees"/>
  </r>
  <r>
    <s v="C00039305"/>
    <x v="0"/>
    <n v="2019"/>
    <s v="M4"/>
    <n v="2.0190722915161798E+17"/>
    <s v="11AI"/>
    <s v="A2019-378158"/>
    <n v="1343298"/>
    <m/>
    <s v="IND"/>
    <s v="INDIVIDUAL"/>
    <m/>
    <m/>
    <s v="FRASER, JANE N"/>
    <s v="Q"/>
    <s v="C"/>
    <s v="B"/>
    <s v="JANE"/>
    <s v="N"/>
    <s v="FRASER"/>
    <m/>
    <s v="201 S BISCAYNE BLVD"/>
    <s v="MIAMI CENTER"/>
    <s v="MIAMI"/>
    <s v="FL"/>
    <n v="331314332"/>
    <s v="CITIGROUP INC."/>
    <s v="MANAGING DIRECTOR"/>
    <m/>
    <n v="15"/>
    <s v="CONTRIBUTION"/>
    <m/>
    <m/>
    <m/>
    <d v="2019-03-01T00:00:00"/>
    <n v="192.3"/>
    <n v="961.5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469"/>
    <s v="Contributions From Individuals/Persons Other Than Political Committees"/>
  </r>
  <r>
    <s v="C00039305"/>
    <x v="0"/>
    <n v="2019"/>
    <s v="M4"/>
    <n v="2.0190722915161798E+17"/>
    <s v="11AI"/>
    <s v="A2019-523649"/>
    <n v="1343298"/>
    <m/>
    <s v="IND"/>
    <s v="INDIVIDUAL"/>
    <m/>
    <m/>
    <s v="FRASER, JANE N"/>
    <s v="Q"/>
    <s v="C"/>
    <s v="B"/>
    <s v="JANE"/>
    <s v="N"/>
    <s v="FRASER"/>
    <m/>
    <s v="201 S BISCAYNE BLVD"/>
    <s v="MIAMI CENTER"/>
    <s v="MIAMI"/>
    <s v="FL"/>
    <n v="331314332"/>
    <s v="CITIGROUP INC."/>
    <s v="MANAGING DIRECTOR"/>
    <m/>
    <n v="15"/>
    <s v="CONTRIBUTION"/>
    <m/>
    <m/>
    <m/>
    <d v="2019-03-15T00:00:00"/>
    <n v="192.3"/>
    <n v="1153.8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469"/>
    <s v="Contributions From Individuals/Persons Other Than Political Committees"/>
  </r>
  <r>
    <s v="C00039305"/>
    <x v="0"/>
    <n v="2019"/>
    <s v="M5"/>
    <n v="2.0190722915161798E+17"/>
    <s v="11AI"/>
    <s v="A2019-591253"/>
    <n v="1343299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4-05T00:00:00"/>
    <n v="192.3"/>
    <n v="1346.1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501"/>
    <s v="Contributions From Individuals/Persons Other Than Political Committees"/>
  </r>
  <r>
    <s v="C00039305"/>
    <x v="0"/>
    <n v="2019"/>
    <s v="M5"/>
    <n v="2.0190722915161798E+17"/>
    <s v="11AI"/>
    <s v="A2019-800998"/>
    <n v="1343299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4-19T00:00:00"/>
    <n v="192.3"/>
    <n v="1538.4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501"/>
    <s v="Contributions From Individuals/Persons Other Than Political Committees"/>
  </r>
  <r>
    <s v="C00039305"/>
    <x v="0"/>
    <n v="2019"/>
    <s v="M6"/>
    <n v="2.0190722915161798E+17"/>
    <s v="11AI"/>
    <s v="A2019-851957"/>
    <n v="134330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5-03T00:00:00"/>
    <n v="192.3"/>
    <n v="1730.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550"/>
    <s v="Contributions From Individuals/Persons Other Than Political Committees"/>
  </r>
  <r>
    <s v="C00039305"/>
    <x v="0"/>
    <n v="2019"/>
    <s v="M6"/>
    <n v="2.0190722915161798E+17"/>
    <s v="11AI"/>
    <s v="A2019-1077384"/>
    <n v="134330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5-17T00:00:00"/>
    <n v="192.3"/>
    <n v="1923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550"/>
    <s v="Contributions From Individuals/Persons Other Than Political Committees"/>
  </r>
  <r>
    <s v="C00039305"/>
    <x v="0"/>
    <n v="2019"/>
    <s v="M6"/>
    <n v="2.0190722915161798E+17"/>
    <s v="11AI"/>
    <s v="A2019-1118276"/>
    <n v="134330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5-31T00:00:00"/>
    <n v="192.3"/>
    <n v="2115.300000000000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7-24T02:35:19"/>
    <m/>
    <m/>
    <m/>
    <s v="F3X"/>
    <n v="4.0723201916607898E+18"/>
    <s v="t"/>
    <m/>
    <n v="2020"/>
    <s v="SA"/>
    <m/>
    <n v="4.0723201916608E+18"/>
    <s v="http://docquery.fec.gov/cgi-bin/fecimg/?201907229151618550"/>
    <s v="Contributions From Individuals/Persons Other Than Political Committees"/>
  </r>
  <r>
    <s v="C00696948"/>
    <x v="1"/>
    <n v="2019"/>
    <s v="Q1"/>
    <n v="2.0190415914622701E+17"/>
    <s v="17A"/>
    <n v="10026956"/>
    <n v="1326070"/>
    <m/>
    <s v="IND"/>
    <s v="INDIVIDUAL"/>
    <s v="C00401224"/>
    <m/>
    <s v="FRASER, JANE"/>
    <s v="P"/>
    <m/>
    <s v="P"/>
    <s v="JANE"/>
    <m/>
    <s v="FRASER"/>
    <m/>
    <s v="7583 SALT CREEK RD"/>
    <m/>
    <s v="PUEBLO"/>
    <s v="CO"/>
    <n v="810049787"/>
    <s v="COLORADO STATE U-PUEBLO"/>
    <s v="PROFESSOR"/>
    <s v="C00401224"/>
    <s v="15E"/>
    <s v="EARMARKED CONTRIBUTION"/>
    <m/>
    <m/>
    <m/>
    <d v="2019-02-19T00:00:00"/>
    <n v="1000"/>
    <n v="10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19-04-24T03:05:00"/>
    <m/>
    <s v="10026956E"/>
    <s v="SA17A"/>
    <s v="F3P"/>
    <n v="4.0415201916463299E+18"/>
    <s v="t"/>
    <s v="* EARMARKED CONTRIBUTION: SEE BELOW"/>
    <n v="2020"/>
    <s v="SA"/>
    <m/>
    <n v="4.0423201916471301E+18"/>
    <s v="http://docquery.fec.gov/cgi-bin/fecimg/?201904159146227594"/>
    <s v="Contributions From Individuals/Persons Other Than Political Committees"/>
  </r>
  <r>
    <s v="C00696948"/>
    <x v="1"/>
    <n v="2019"/>
    <s v="Q1"/>
    <n v="2.0190415914622701E+17"/>
    <s v="17A"/>
    <n v="10426135"/>
    <n v="1326070"/>
    <m/>
    <s v="IND"/>
    <s v="INDIVIDUAL"/>
    <s v="C00401224"/>
    <m/>
    <s v="FRASER, JANE"/>
    <s v="P"/>
    <m/>
    <s v="P"/>
    <s v="JANE"/>
    <m/>
    <s v="FRASER"/>
    <m/>
    <s v="7583 SALT CREEK RD"/>
    <m/>
    <s v="PUEBLO"/>
    <s v="CO"/>
    <n v="810049787"/>
    <s v="COLORADO STATE U-PUEBLO"/>
    <s v="PROFESSOR"/>
    <s v="C00401224"/>
    <s v="15E"/>
    <s v="EARMARKED CONTRIBUTION"/>
    <m/>
    <m/>
    <m/>
    <d v="2019-03-10T00:00:00"/>
    <n v="500"/>
    <n v="15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19-04-24T03:05:00"/>
    <m/>
    <s v="10426135E"/>
    <s v="SA17A"/>
    <s v="F3P"/>
    <n v="4.0415201916463299E+18"/>
    <s v="t"/>
    <s v="* EARMARKED CONTRIBUTION: SEE BELOW"/>
    <n v="2020"/>
    <s v="SA"/>
    <m/>
    <n v="4.0423201916471301E+18"/>
    <s v="http://docquery.fec.gov/cgi-bin/fecimg/?201904159146227594"/>
    <s v="Contributions From Individuals/Persons Other Than Political Committees"/>
  </r>
  <r>
    <s v="C00696948"/>
    <x v="1"/>
    <n v="2019"/>
    <s v="Q1"/>
    <n v="2.0190415914622701E+17"/>
    <s v="17A"/>
    <n v="10682967"/>
    <n v="1326070"/>
    <m/>
    <s v="IND"/>
    <s v="INDIVIDUAL"/>
    <s v="C00401224"/>
    <m/>
    <s v="FRASER, JANE"/>
    <s v="P"/>
    <m/>
    <s v="P"/>
    <s v="JANE"/>
    <m/>
    <s v="FRASER"/>
    <m/>
    <s v="7583 SALT CREEK RD"/>
    <m/>
    <s v="PUEBLO"/>
    <s v="CO"/>
    <n v="810049787"/>
    <s v="COLORADO STATE U-PUEBLO"/>
    <s v="PROFESSOR"/>
    <s v="C00401224"/>
    <s v="15E"/>
    <s v="EARMARKED CONTRIBUTION"/>
    <m/>
    <m/>
    <m/>
    <d v="2019-03-28T00:00:00"/>
    <n v="500"/>
    <n v="20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19-04-24T03:05:00"/>
    <m/>
    <s v="10682967E"/>
    <s v="SA17A"/>
    <s v="F3P"/>
    <n v="4.0415201916463299E+18"/>
    <s v="t"/>
    <s v="* EARMARKED CONTRIBUTION: SEE BELOW"/>
    <n v="2020"/>
    <s v="SA"/>
    <m/>
    <n v="4.0423201916471301E+18"/>
    <s v="http://docquery.fec.gov/cgi-bin/fecimg/?201904159146227595"/>
    <s v="Contributions From Individuals/Persons Other Than Political Committees"/>
  </r>
  <r>
    <s v="C00696948"/>
    <x v="1"/>
    <n v="2019"/>
    <s v="Q1"/>
    <n v="2.0190415914622701E+17"/>
    <s v="17A"/>
    <n v="10791107"/>
    <n v="1326070"/>
    <m/>
    <s v="IND"/>
    <s v="INDIVIDUAL"/>
    <s v="C00401224"/>
    <m/>
    <s v="FRASER, JANE"/>
    <s v="P"/>
    <m/>
    <s v="P"/>
    <s v="JANE"/>
    <m/>
    <s v="FRASER"/>
    <m/>
    <s v="7583 SALT CREEK RD"/>
    <m/>
    <s v="PUEBLO"/>
    <s v="CO"/>
    <n v="810049787"/>
    <s v="COLORADO STATE U-PUEBLO"/>
    <s v="PROFESSOR"/>
    <s v="C00401224"/>
    <s v="15E"/>
    <s v="EARMARKED CONTRIBUTION"/>
    <m/>
    <m/>
    <m/>
    <d v="2019-03-31T00:00:00"/>
    <n v="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19-04-24T03:05:00"/>
    <m/>
    <s v="10791107E"/>
    <s v="SA17A"/>
    <s v="F3P"/>
    <n v="4.0415201916463299E+18"/>
    <s v="t"/>
    <s v="* EARMARKED CONTRIBUTION: SEE BELOW"/>
    <n v="2020"/>
    <s v="SA"/>
    <m/>
    <n v="4.0423201916471301E+18"/>
    <s v="http://docquery.fec.gov/cgi-bin/fecimg/?201904159146227596"/>
    <s v="Contributions From Individuals/Persons Other Than Political Committees"/>
  </r>
  <r>
    <s v="C00039305"/>
    <x v="0"/>
    <n v="2019"/>
    <s v="M7"/>
    <n v="2.01907199151532E+17"/>
    <s v="11AI"/>
    <s v="A2019-1263727"/>
    <n v="1342816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6-14T00:00:00"/>
    <n v="192.3"/>
    <n v="2307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7-30T02:33:45"/>
    <m/>
    <m/>
    <m/>
    <s v="F3X"/>
    <n v="4.0719201916602399E+18"/>
    <s v="t"/>
    <m/>
    <n v="2020"/>
    <s v="SA"/>
    <m/>
    <n v="4.0729201916615798E+18"/>
    <s v="http://docquery.fec.gov/cgi-bin/fecimg/?201907199151532410"/>
    <s v="Contributions From Individuals/Persons Other Than Political Committees"/>
  </r>
  <r>
    <s v="C00039305"/>
    <x v="0"/>
    <n v="2019"/>
    <s v="M7"/>
    <n v="2.01907199151532E+17"/>
    <s v="11AI"/>
    <s v="A2019-1394502"/>
    <n v="1342816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6-28T00:00:00"/>
    <n v="192.3"/>
    <n v="2499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7-30T02:33:45"/>
    <m/>
    <m/>
    <m/>
    <s v="F3X"/>
    <n v="4.0719201916602399E+18"/>
    <s v="t"/>
    <m/>
    <n v="2020"/>
    <s v="SA"/>
    <m/>
    <n v="4.0729201916615798E+18"/>
    <s v="http://docquery.fec.gov/cgi-bin/fecimg/?201907199151532410"/>
    <s v="Contributions From Individuals/Persons Other Than Political Committees"/>
  </r>
  <r>
    <s v="C00039305"/>
    <x v="0"/>
    <n v="2019"/>
    <s v="M11"/>
    <n v="2.0191119916558598E+17"/>
    <s v="11AI"/>
    <s v="A2019-2288700"/>
    <n v="136355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0-04T00:00:00"/>
    <n v="192.3"/>
    <n v="384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20T01:49:36"/>
    <m/>
    <m/>
    <m/>
    <s v="F3X"/>
    <n v="4.1119201916793498E+18"/>
    <s v="t"/>
    <m/>
    <n v="2020"/>
    <s v="SA"/>
    <m/>
    <n v="4.1119201916794998E+18"/>
    <s v="http://docquery.fec.gov/cgi-bin/fecimg/?201911199165586398"/>
    <s v="Contributions From Individuals/Persons Other Than Political Committees"/>
  </r>
  <r>
    <s v="C00039305"/>
    <x v="0"/>
    <n v="2019"/>
    <s v="M11"/>
    <n v="2.0191119916558598E+17"/>
    <s v="11AI"/>
    <s v="A2019-2460998"/>
    <n v="136355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0-18T00:00:00"/>
    <n v="192.3"/>
    <n v="4038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20T01:49:36"/>
    <m/>
    <m/>
    <m/>
    <s v="F3X"/>
    <n v="4.1119201916793498E+18"/>
    <s v="t"/>
    <m/>
    <n v="2020"/>
    <s v="SA"/>
    <m/>
    <n v="4.1119201916794998E+18"/>
    <s v="http://docquery.fec.gov/cgi-bin/fecimg/?201911199165586398"/>
    <s v="Contributions From Individuals/Persons Other Than Political Committees"/>
  </r>
  <r>
    <s v="C00039305"/>
    <x v="0"/>
    <n v="2019"/>
    <s v="M8"/>
    <n v="2.0190820916301101E+17"/>
    <s v="11AI"/>
    <s v="A2019-1507795"/>
    <n v="134911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7-12T00:00:00"/>
    <n v="192.3"/>
    <n v="2692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22T02:43:04"/>
    <m/>
    <m/>
    <m/>
    <s v="F3X"/>
    <n v="4.0820201916639601E+18"/>
    <s v="t"/>
    <m/>
    <n v="2020"/>
    <s v="SA"/>
    <m/>
    <n v="4.0821201916642002E+18"/>
    <s v="http://docquery.fec.gov/cgi-bin/fecimg/?201908209163011010"/>
    <s v="Contributions From Individuals/Persons Other Than Political Committees"/>
  </r>
  <r>
    <s v="C00039305"/>
    <x v="0"/>
    <n v="2019"/>
    <s v="M8"/>
    <n v="2.0190820916301101E+17"/>
    <s v="11AI"/>
    <s v="A2019-1676951"/>
    <n v="134911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7-26T00:00:00"/>
    <n v="192.3"/>
    <n v="2884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22T02:43:04"/>
    <m/>
    <m/>
    <m/>
    <s v="F3X"/>
    <n v="4.0820201916639601E+18"/>
    <s v="t"/>
    <m/>
    <n v="2020"/>
    <s v="SA"/>
    <m/>
    <n v="4.0821201916642002E+18"/>
    <s v="http://docquery.fec.gov/cgi-bin/fecimg/?201908209163011011"/>
    <s v="Contributions From Individuals/Persons Other Than Political Committees"/>
  </r>
  <r>
    <s v="C00401224"/>
    <x v="2"/>
    <n v="2019"/>
    <s v="MY"/>
    <n v="2.0190729915404602E+17"/>
    <s v="11AI"/>
    <s v="SA11AI_151476481"/>
    <n v="1344765"/>
    <m/>
    <s v="IND"/>
    <s v="INDIVIDUAL"/>
    <m/>
    <m/>
    <s v="FRASER, JANE"/>
    <s v="W"/>
    <m/>
    <s v="U"/>
    <s v="JANE"/>
    <m/>
    <s v="FRASER"/>
    <m/>
    <s v="1201 W MOUNT ROYAL AVE 646"/>
    <m/>
    <s v="BALTIMORE"/>
    <s v="MD"/>
    <n v="21217"/>
    <s v="SMITHSONIAN"/>
    <s v="DESIGNER"/>
    <m/>
    <m/>
    <m/>
    <s v="EARMARK"/>
    <m/>
    <m/>
    <d v="2019-03-24T00:00:00"/>
    <n v="25"/>
    <n v="3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5:24:38"/>
    <m/>
    <m/>
    <m/>
    <s v="F3X"/>
    <n v="4.0801201916624399E+18"/>
    <s v="t"/>
    <s v="EARMARKED FOR PETE FOR AMERICA, INC (C00697441)"/>
    <n v="2020"/>
    <s v="SA"/>
    <m/>
    <n v="4.0828201911280502E+18"/>
    <s v="http://docquery.fec.gov/cgi-bin/fecimg/?201907299154046181"/>
    <s v="Contributions From Individuals/Persons Other Than Political Committees"/>
  </r>
  <r>
    <s v="C00401224"/>
    <x v="2"/>
    <n v="2019"/>
    <s v="MY"/>
    <n v="2.0190729915404602E+17"/>
    <s v="11AI"/>
    <s v="SA11AI_158972677"/>
    <n v="1344765"/>
    <m/>
    <s v="IND"/>
    <s v="INDIVIDUAL"/>
    <m/>
    <m/>
    <s v="FRASER, JANE"/>
    <s v="W"/>
    <m/>
    <s v="U"/>
    <s v="JANE"/>
    <m/>
    <s v="FRASER"/>
    <m/>
    <s v="7583 SALT CREEK RD"/>
    <m/>
    <s v="PUEBLO"/>
    <s v="CO"/>
    <n v="81004"/>
    <s v="COLO STATE U - PUEBLO"/>
    <s v="PROFESSOR"/>
    <m/>
    <m/>
    <m/>
    <s v="CONTRIBUTION TO ACT BLUE"/>
    <m/>
    <m/>
    <d v="2019-05-26T00:00:00"/>
    <n v="5"/>
    <n v="3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5:24:44"/>
    <m/>
    <m/>
    <m/>
    <s v="F3X"/>
    <n v="4.0801201916624399E+18"/>
    <s v="t"/>
    <s v="CONTRIBUTION TO ACTBLUE"/>
    <n v="2020"/>
    <s v="SA"/>
    <m/>
    <n v="4.0828201911280599E+18"/>
    <s v="http://docquery.fec.gov/cgi-bin/fecimg/?201907299154046183"/>
    <s v="Contributions From Individuals/Persons Other Than Political Committees"/>
  </r>
  <r>
    <s v="C00401224"/>
    <x v="2"/>
    <n v="2019"/>
    <s v="MY"/>
    <n v="2.0190729915404602E+17"/>
    <s v="11AI"/>
    <s v="SA11AI_152551790"/>
    <n v="1344765"/>
    <m/>
    <s v="IND"/>
    <s v="INDIVIDUAL"/>
    <m/>
    <m/>
    <s v="FRASER, JANE"/>
    <s v="W"/>
    <m/>
    <s v="U"/>
    <s v="JANE"/>
    <m/>
    <s v="FRASER"/>
    <m/>
    <s v="7583 SALT CREEK RD"/>
    <m/>
    <s v="PUEBLO"/>
    <s v="CO"/>
    <n v="81004"/>
    <s v="COLO STATE U - PUEBLO"/>
    <s v="PROFESSOR"/>
    <m/>
    <m/>
    <m/>
    <s v="CONTRIBUTION TO ACT BLUE"/>
    <m/>
    <m/>
    <d v="2019-03-31T00:00:00"/>
    <n v="10"/>
    <n v="3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5:24:53"/>
    <m/>
    <m/>
    <m/>
    <s v="F3X"/>
    <n v="4.0801201916624399E+18"/>
    <s v="t"/>
    <s v="CONTRIBUTION TO ACTBLUE"/>
    <n v="2020"/>
    <s v="SA"/>
    <m/>
    <n v="4.0828201911280701E+18"/>
    <s v="http://docquery.fec.gov/cgi-bin/fecimg/?201907299154046182"/>
    <s v="Contributions From Individuals/Persons Other Than Political Committees"/>
  </r>
  <r>
    <s v="C00401224"/>
    <x v="2"/>
    <n v="2019"/>
    <s v="MY"/>
    <n v="2.0190729915404602E+17"/>
    <s v="11AI"/>
    <s v="SA11AI_156689510"/>
    <n v="1344765"/>
    <m/>
    <s v="IND"/>
    <s v="INDIVIDUAL"/>
    <m/>
    <m/>
    <s v="FRASER, JANE"/>
    <s v="W"/>
    <m/>
    <s v="U"/>
    <s v="JANE"/>
    <m/>
    <s v="FRASER"/>
    <m/>
    <s v="1201 W MOUNT ROYAL AVE 646"/>
    <m/>
    <s v="BALTIMORE"/>
    <s v="MD"/>
    <n v="21217"/>
    <s v="SMITHSONIAN"/>
    <s v="DESIGNER"/>
    <m/>
    <m/>
    <m/>
    <s v="EARMARK"/>
    <m/>
    <m/>
    <d v="2019-05-04T00:00:00"/>
    <n v="3"/>
    <n v="3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5:47:25"/>
    <m/>
    <m/>
    <m/>
    <s v="F3X"/>
    <n v="4.0801201916624399E+18"/>
    <s v="t"/>
    <s v="EARMARKED FOR PETE FOR AMERICA, INC (C00697441)"/>
    <n v="2020"/>
    <s v="SA"/>
    <m/>
    <n v="4.0828201911318799E+18"/>
    <s v="http://docquery.fec.gov/cgi-bin/fecimg/?201907299154046183"/>
    <s v="Contributions From Individuals/Persons Other Than Political Committees"/>
  </r>
  <r>
    <s v="C00401224"/>
    <x v="2"/>
    <n v="2019"/>
    <s v="MY"/>
    <n v="2.0190729915404602E+17"/>
    <s v="11AI"/>
    <s v="SA11AI_147667279"/>
    <n v="1344765"/>
    <m/>
    <s v="IND"/>
    <s v="INDIVIDUAL"/>
    <m/>
    <m/>
    <s v="FRASER, JANE"/>
    <s v="W"/>
    <m/>
    <s v="U"/>
    <s v="JANE"/>
    <m/>
    <s v="FRASER"/>
    <m/>
    <s v="7583 SALT CREEK RD"/>
    <m/>
    <s v="PUEBLO"/>
    <s v="CO"/>
    <n v="81004"/>
    <s v="COLO STATE U - PUEBLO"/>
    <s v="PROFESSOR"/>
    <m/>
    <m/>
    <m/>
    <s v="CONTRIBUTION TO ACT BLUE"/>
    <m/>
    <m/>
    <d v="2019-02-19T00:00:00"/>
    <n v="10"/>
    <n v="3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5:47:37"/>
    <m/>
    <m/>
    <m/>
    <s v="F3X"/>
    <n v="4.0801201916624399E+18"/>
    <s v="t"/>
    <s v="CONTRIBUTION TO ACTBLUE"/>
    <n v="2020"/>
    <s v="SA"/>
    <m/>
    <n v="4.0828201911318902E+18"/>
    <s v="http://docquery.fec.gov/cgi-bin/fecimg/?201907299154046180"/>
    <s v="Contributions From Individuals/Persons Other Than Political Committees"/>
  </r>
  <r>
    <s v="C00401224"/>
    <x v="2"/>
    <n v="2019"/>
    <s v="MY"/>
    <n v="2.0190729915404602E+17"/>
    <s v="11AI"/>
    <s v="SA11AI_151943648"/>
    <n v="1344765"/>
    <m/>
    <s v="IND"/>
    <s v="INDIVIDUAL"/>
    <m/>
    <m/>
    <s v="FRASER, JANE"/>
    <s v="W"/>
    <m/>
    <s v="U"/>
    <s v="JANE"/>
    <m/>
    <s v="FRASER"/>
    <m/>
    <s v="7583 SALT CREEK RD"/>
    <m/>
    <s v="PUEBLO"/>
    <s v="CO"/>
    <n v="81004"/>
    <s v="COLO STATE U - PUEBLO"/>
    <s v="PROFESSOR"/>
    <m/>
    <m/>
    <m/>
    <s v="CONTRIBUTION TO ACT BLUE"/>
    <m/>
    <m/>
    <d v="2019-03-28T00:00:00"/>
    <n v="10"/>
    <n v="3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7:32:39"/>
    <m/>
    <m/>
    <m/>
    <s v="F3X"/>
    <n v="4.0801201916624399E+18"/>
    <s v="t"/>
    <s v="CONTRIBUTION TO ACTBLUE"/>
    <n v="2020"/>
    <s v="SA"/>
    <m/>
    <n v="4.08282019112802E+18"/>
    <s v="http://docquery.fec.gov/cgi-bin/fecimg/?201907299154046181"/>
    <s v="Contributions From Individuals/Persons Other Than Political Committees"/>
  </r>
  <r>
    <s v="C00401224"/>
    <x v="2"/>
    <n v="2019"/>
    <s v="MY"/>
    <n v="2.0190729915404602E+17"/>
    <s v="11AI"/>
    <s v="SA11AI_158972666"/>
    <n v="1344765"/>
    <m/>
    <s v="IND"/>
    <s v="INDIVIDUAL"/>
    <m/>
    <m/>
    <s v="FRASER, JANE"/>
    <s v="W"/>
    <m/>
    <s v="U"/>
    <s v="JANE"/>
    <m/>
    <s v="FRASER"/>
    <m/>
    <s v="7583 SALT CREEK RD"/>
    <m/>
    <s v="PUEBLO"/>
    <s v="CO"/>
    <n v="81004"/>
    <s v="COLO STATE U - PUEBLO"/>
    <s v="PROFESSOR"/>
    <m/>
    <m/>
    <m/>
    <s v="EARMARK"/>
    <m/>
    <m/>
    <d v="2019-05-26T00:00:00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18:00:28"/>
    <m/>
    <m/>
    <m/>
    <s v="F3X"/>
    <n v="4.0801201916624399E+18"/>
    <s v="t"/>
    <s v="EARMARKED FOR DEMOCRACY FOR AMERICA (C00370007)"/>
    <n v="2020"/>
    <s v="SA"/>
    <m/>
    <n v="4.0828201911318799E+18"/>
    <s v="http://docquery.fec.gov/cgi-bin/fecimg/?201907299154046183"/>
    <s v="Contributions From Individuals/Persons Other Than Political Committees"/>
  </r>
  <r>
    <s v="C00401224"/>
    <x v="2"/>
    <n v="2019"/>
    <s v="MY"/>
    <n v="2.0190729915404602E+17"/>
    <s v="11AI"/>
    <s v="SA11AI_155730363"/>
    <n v="1344765"/>
    <m/>
    <s v="IND"/>
    <s v="INDIVIDUAL"/>
    <m/>
    <m/>
    <s v="FRASER, JANE"/>
    <s v="W"/>
    <m/>
    <s v="U"/>
    <s v="JANE"/>
    <m/>
    <s v="FRASER"/>
    <m/>
    <s v="1201 W MOUNT ROYAL AVE 646"/>
    <m/>
    <s v="BALTIMORE"/>
    <s v="MD"/>
    <n v="21217"/>
    <s v="SMITHSONIAN"/>
    <s v="DESIGNER"/>
    <m/>
    <m/>
    <m/>
    <s v="EARMARK"/>
    <m/>
    <m/>
    <d v="2019-04-27T00:00:00"/>
    <n v="3"/>
    <n v="3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19-08-29T20:15:03"/>
    <m/>
    <m/>
    <m/>
    <s v="F3X"/>
    <n v="4.0801201916624399E+18"/>
    <s v="t"/>
    <s v="EARMARKED FOR PETE FOR AMERICA, INC (C00697441)"/>
    <n v="2020"/>
    <s v="SA"/>
    <m/>
    <n v="4.0828201911318799E+18"/>
    <s v="http://docquery.fec.gov/cgi-bin/fecimg/?201907299154046182"/>
    <s v="Contributions From Individuals/Persons Other Than Political Committees"/>
  </r>
  <r>
    <s v="C00709196"/>
    <x v="3"/>
    <n v="2020"/>
    <s v="Q3"/>
    <n v="2.0201203933818E+17"/>
    <s v="11AI"/>
    <n v="5461157"/>
    <n v="1478470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07-12T00:00:00"/>
    <n v="100"/>
    <n v="8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d v="2020-12-13T03:33:12"/>
    <m/>
    <s v="5461157E"/>
    <s v="SA11AI"/>
    <s v="F3"/>
    <n v="4.1204202019634202E+18"/>
    <s v="t"/>
    <s v="* EARMARKED CONTRIBUTION: SEE BELOW"/>
    <n v="2020"/>
    <s v="SA"/>
    <m/>
    <n v="4.12132020197376E+18"/>
    <s v="http://docquery.fec.gov/cgi-bin/fecimg/?202012039338180898"/>
    <s v="Contributions From Individuals/Persons Other Than Political Committees"/>
  </r>
  <r>
    <s v="C00039305"/>
    <x v="0"/>
    <n v="2019"/>
    <s v="M9"/>
    <n v="2.0190920916346301E+17"/>
    <s v="11AI"/>
    <s v="A2019-1773074"/>
    <n v="1353294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8-09T00:00:00"/>
    <n v="192.3"/>
    <n v="3076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21T02:58:37"/>
    <m/>
    <m/>
    <m/>
    <s v="F3X"/>
    <n v="4.0920201916732099E+18"/>
    <s v="t"/>
    <m/>
    <n v="2020"/>
    <s v="SA"/>
    <m/>
    <n v="4.0920201916733599E+18"/>
    <s v="http://docquery.fec.gov/cgi-bin/fecimg/?201909209163463348"/>
    <s v="Contributions From Individuals/Persons Other Than Political Committees"/>
  </r>
  <r>
    <s v="C00039305"/>
    <x v="0"/>
    <n v="2019"/>
    <s v="M9"/>
    <n v="2.0190920916346301E+17"/>
    <s v="11AI"/>
    <s v="A2019-1958602"/>
    <n v="1353294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8-23T00:00:00"/>
    <n v="192.3"/>
    <n v="3269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21T02:58:37"/>
    <m/>
    <m/>
    <m/>
    <s v="F3X"/>
    <n v="4.0920201916732099E+18"/>
    <s v="t"/>
    <m/>
    <n v="2020"/>
    <s v="SA"/>
    <m/>
    <n v="4.0920201916733599E+18"/>
    <s v="http://docquery.fec.gov/cgi-bin/fecimg/?201909209163463349"/>
    <s v="Contributions From Individuals/Persons Other Than Political Committees"/>
  </r>
  <r>
    <s v="C00039305"/>
    <x v="0"/>
    <n v="2019"/>
    <s v="M10"/>
    <n v="2.0191018916508E+17"/>
    <s v="11AI"/>
    <s v="A2019-1996146"/>
    <n v="1359958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9-06T00:00:00"/>
    <n v="192.3"/>
    <n v="3461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25T02:42:50"/>
    <m/>
    <m/>
    <m/>
    <s v="F3X"/>
    <n v="4.10182019167458E+18"/>
    <s v="t"/>
    <m/>
    <n v="2020"/>
    <s v="SA"/>
    <m/>
    <n v="4.10242019167535E+18"/>
    <s v="http://docquery.fec.gov/cgi-bin/fecimg/?201910189165080446"/>
    <s v="Contributions From Individuals/Persons Other Than Political Committees"/>
  </r>
  <r>
    <s v="C00039305"/>
    <x v="0"/>
    <n v="2019"/>
    <s v="M10"/>
    <n v="2.0191018916508E+17"/>
    <s v="11AI"/>
    <s v="A2019-2203388"/>
    <n v="1359958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09-20T00:00:00"/>
    <n v="192.3"/>
    <n v="3653.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25T02:42:50"/>
    <m/>
    <m/>
    <m/>
    <s v="F3X"/>
    <n v="4.10182019167458E+18"/>
    <s v="t"/>
    <m/>
    <n v="2020"/>
    <s v="SA"/>
    <m/>
    <n v="4.10242019167535E+18"/>
    <s v="http://docquery.fec.gov/cgi-bin/fecimg/?201910189165080447"/>
    <s v="Contributions From Individuals/Persons Other Than Political Committees"/>
  </r>
  <r>
    <s v="C00008474"/>
    <x v="4"/>
    <n v="2019"/>
    <s v="M12"/>
    <n v="2.0191216916629299E+17"/>
    <s v="11AI"/>
    <s v="A2019-2693255"/>
    <n v="1366346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1-15T00:00:00"/>
    <n v="192.3"/>
    <n v="384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35"/>
    <m/>
    <m/>
    <m/>
    <s v="F3X"/>
    <n v="4.1216201916815201E+18"/>
    <s v="t"/>
    <m/>
    <n v="2020"/>
    <s v="SA"/>
    <m/>
    <n v="4.1216201916815401E+18"/>
    <s v="http://docquery.fec.gov/cgi-bin/fecimg/?201912169166293817"/>
    <s v="Contributions From Individuals/Persons Other Than Political Committees"/>
  </r>
  <r>
    <s v="C00008474"/>
    <x v="4"/>
    <n v="2019"/>
    <s v="M12"/>
    <n v="2.0191216916629299E+17"/>
    <s v="11AI"/>
    <s v="A2019-2737348"/>
    <n v="1366346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1-29T00:00:00"/>
    <n v="192.3"/>
    <n v="57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35"/>
    <m/>
    <m/>
    <m/>
    <s v="F3X"/>
    <n v="4.1216201916815201E+18"/>
    <s v="t"/>
    <m/>
    <n v="2020"/>
    <s v="SA"/>
    <m/>
    <n v="4.1216201916815401E+18"/>
    <s v="http://docquery.fec.gov/cgi-bin/fecimg/?201912169166293817"/>
    <s v="Contributions From Individuals/Persons Other Than Political Committees"/>
  </r>
  <r>
    <s v="C00003418"/>
    <x v="5"/>
    <n v="2020"/>
    <s v="M9"/>
    <n v="2.02009209275724E+17"/>
    <n v="12"/>
    <s v="SA.92033097.1.TM30"/>
    <n v="1440221"/>
    <m/>
    <s v="IND"/>
    <s v="INDIVIDUAL"/>
    <m/>
    <m/>
    <s v="FRASER, JANET"/>
    <s v="Y"/>
    <m/>
    <s v="U"/>
    <s v="JANET"/>
    <m/>
    <s v="FRASER"/>
    <m/>
    <s v="33 WEST EVERGLADE AVENUE"/>
    <m/>
    <s v="CLOVIS"/>
    <s v="CA"/>
    <n v="936198745"/>
    <s v="PGE"/>
    <s v="SUPERVISOR"/>
    <m/>
    <s v="15J"/>
    <s v="MEMO (FILER'S % OF CONTRIBUTION GIVEN TO JOIN"/>
    <s v="CONTRIBUTION"/>
    <s v="X"/>
    <m/>
    <d v="2020-06-02T00:00:00"/>
    <n v="25"/>
    <n v="2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16T03:43:58"/>
    <m/>
    <s v="SA12.94284179"/>
    <s v="SA12"/>
    <s v="F3X"/>
    <n v="4.0921202018491699E+18"/>
    <s v="t"/>
    <s v="TRANSFER FROM TRUMP MAKE AMERICA GREAT AGAIN COMMITTEE"/>
    <n v="2020"/>
    <s v="SA"/>
    <m/>
    <n v="4.1016202018581801E+18"/>
    <s v="http://docquery.fec.gov/cgi-bin/fecimg/?202009209275724987"/>
    <s v="Transfers from Authorized Committees"/>
  </r>
  <r>
    <s v="C00003418"/>
    <x v="5"/>
    <n v="2020"/>
    <s v="M9"/>
    <n v="2.02009209275692E+17"/>
    <s v="11AI"/>
    <s v="SA11A.95798569"/>
    <n v="1440221"/>
    <m/>
    <s v="IND"/>
    <s v="INDIVIDUAL"/>
    <s v="COO694323"/>
    <m/>
    <s v="FRASER, JANET"/>
    <s v="Y"/>
    <m/>
    <s v="U"/>
    <s v="JANET"/>
    <m/>
    <s v="FRASER"/>
    <m/>
    <s v="33 WEST EVERGLADE AVENUE"/>
    <m/>
    <s v="CLOVIS"/>
    <s v="CA"/>
    <n v="936198745"/>
    <s v="PGE"/>
    <s v="SUPERVISOR"/>
    <s v="COO694323"/>
    <s v="15E"/>
    <s v="EARMARKED CONTRIBUTION"/>
    <s v="CONTRIBUTION"/>
    <m/>
    <m/>
    <d v="2020-08-31T00:00:00"/>
    <n v="100"/>
    <n v="2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16T04:08:43"/>
    <m/>
    <s v="SA11C.95730975627516"/>
    <s v="SA11AI"/>
    <s v="F3X"/>
    <n v="4.0921202018491699E+18"/>
    <s v="t"/>
    <s v="EARMARKED FROM WINRED"/>
    <n v="2020"/>
    <s v="SA"/>
    <m/>
    <n v="4.1016202018580797E+18"/>
    <s v="http://docquery.fec.gov/cgi-bin/fecimg/?202009209275692071"/>
    <s v="Contributions From Individuals/Persons Other Than Political Committees"/>
  </r>
  <r>
    <s v="C00008474"/>
    <x v="4"/>
    <n v="2019"/>
    <s v="YE"/>
    <n v="2.0200130918243802E+17"/>
    <s v="11AI"/>
    <s v="A2019-2953435"/>
    <n v="137529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2-13T00:00:00"/>
    <n v="192.3"/>
    <n v="769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0T02:12:11"/>
    <m/>
    <m/>
    <m/>
    <s v="F3X"/>
    <n v="4.0130202016861302E+18"/>
    <s v="t"/>
    <m/>
    <n v="2020"/>
    <s v="SA"/>
    <m/>
    <n v="4.02192020169314E+18"/>
    <s v="http://docquery.fec.gov/cgi-bin/fecimg/?202001309182438086"/>
    <s v="Contributions From Individuals/Persons Other Than Political Committees"/>
  </r>
  <r>
    <s v="C00008474"/>
    <x v="4"/>
    <n v="2019"/>
    <s v="YE"/>
    <n v="2.0200130918243802E+17"/>
    <s v="11AI"/>
    <s v="A2019-3118638"/>
    <n v="137529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19-12-27T00:00:00"/>
    <n v="192.3"/>
    <n v="961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0T02:12:11"/>
    <m/>
    <m/>
    <m/>
    <s v="F3X"/>
    <n v="4.0130202016861302E+18"/>
    <s v="t"/>
    <m/>
    <n v="2020"/>
    <s v="SA"/>
    <m/>
    <n v="4.02192020169314E+18"/>
    <s v="http://docquery.fec.gov/cgi-bin/fecimg/?202001309182438086"/>
    <s v="Contributions From Individuals/Persons Other Than Political Committees"/>
  </r>
  <r>
    <s v="C00008474"/>
    <x v="4"/>
    <n v="2020"/>
    <s v="M2"/>
    <n v="2.0200219918652099E+17"/>
    <s v="11AI"/>
    <s v="A2020-54921"/>
    <n v="138330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1-24T00:00:00"/>
    <n v="192.3"/>
    <n v="384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7T01:31:59"/>
    <m/>
    <m/>
    <m/>
    <s v="F3X"/>
    <n v="4.0219202016927498E+18"/>
    <s v="t"/>
    <m/>
    <n v="2020"/>
    <s v="SA"/>
    <m/>
    <n v="4.0226202016943002E+18"/>
    <s v="http://docquery.fec.gov/cgi-bin/fecimg/?202002199186521400"/>
    <s v="Contributions From Individuals/Persons Other Than Political Committees"/>
  </r>
  <r>
    <s v="C00401224"/>
    <x v="2"/>
    <n v="2019"/>
    <s v="YE"/>
    <n v="2.02001299169852E+17"/>
    <s v="11AI"/>
    <s v="SA11AI_186185595"/>
    <n v="1378435"/>
    <m/>
    <s v="IND"/>
    <s v="INDIVIDUAL"/>
    <m/>
    <m/>
    <s v="FRASER, JANE"/>
    <s v="V"/>
    <m/>
    <s v="U"/>
    <s v="JANE"/>
    <m/>
    <s v="FRASER"/>
    <m/>
    <s v="1201 W MOUNT ROYAL AVE 646"/>
    <m/>
    <s v="BALTIMORE"/>
    <s v="MD"/>
    <n v="21217"/>
    <s v="NATIONAL MUSEUM OF AFRICAN AMERICAN HI"/>
    <s v="EXHIBIT DESIGNER"/>
    <m/>
    <m/>
    <m/>
    <s v="EARMARK"/>
    <m/>
    <m/>
    <d v="2019-11-02T00:00:00"/>
    <n v="3"/>
    <n v="57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7:29:50"/>
    <m/>
    <m/>
    <m/>
    <s v="F3X"/>
    <n v="4.02012020168638E+18"/>
    <s v="t"/>
    <s v="EARMARKED FOR PETE FOR AMERICA, INC (C00697441)"/>
    <n v="2020"/>
    <s v="SA"/>
    <m/>
    <n v="4.03022020122895E+18"/>
    <s v="http://docquery.fec.gov/cgi-bin/fecimg/?202001299169852337"/>
    <s v="Contributions From Individuals/Persons Other Than Political Committees"/>
  </r>
  <r>
    <s v="C00401224"/>
    <x v="2"/>
    <n v="2019"/>
    <s v="YE"/>
    <n v="2.02001299169852E+17"/>
    <s v="11AI"/>
    <s v="SA11AI_188579912"/>
    <n v="1378435"/>
    <m/>
    <s v="IND"/>
    <s v="INDIVIDUAL"/>
    <m/>
    <m/>
    <s v="FRASER, JANE"/>
    <s v="V"/>
    <m/>
    <s v="U"/>
    <s v="JANE"/>
    <m/>
    <s v="FRASER"/>
    <m/>
    <s v="1201 W MOUNT ROYAL AVE 646"/>
    <m/>
    <s v="BALTIMORE"/>
    <s v="MD"/>
    <n v="21217"/>
    <s v="NATIONAL MUSEUM OF AFRICAN AMERICAN HI"/>
    <s v="EXHIBIT DESIGNER"/>
    <m/>
    <m/>
    <m/>
    <s v="EARMARK"/>
    <m/>
    <m/>
    <d v="2019-11-17T00:00:00"/>
    <n v="10"/>
    <n v="57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8:23:34"/>
    <m/>
    <m/>
    <m/>
    <s v="F3X"/>
    <n v="4.02012020168638E+18"/>
    <s v="t"/>
    <s v="EARMARKED FOR PETE FOR AMERICA, INC (C00697441)"/>
    <n v="2020"/>
    <s v="SA"/>
    <m/>
    <n v="4.0302202012322601E+18"/>
    <s v="http://docquery.fec.gov/cgi-bin/fecimg/?202001299169852337"/>
    <s v="Contributions From Individuals/Persons Other Than Political Committees"/>
  </r>
  <r>
    <s v="C00401224"/>
    <x v="2"/>
    <n v="2019"/>
    <s v="YE"/>
    <n v="2.02001299169852E+17"/>
    <s v="11AI"/>
    <s v="SA11AI_167243719"/>
    <n v="1378435"/>
    <m/>
    <s v="IND"/>
    <s v="INDIVIDUAL"/>
    <m/>
    <m/>
    <s v="FRASER, JANE"/>
    <s v="V"/>
    <m/>
    <s v="U"/>
    <s v="JANE"/>
    <m/>
    <s v="FRASER"/>
    <m/>
    <s v="1201 W MOUNT ROYAL AVE 646"/>
    <m/>
    <s v="BALTIMORE"/>
    <s v="MD"/>
    <n v="21217"/>
    <s v="NATIONAL MUSEUM OF AFRICAN AMERICAN HI"/>
    <s v="EXHIBIT DESIGNER"/>
    <m/>
    <m/>
    <m/>
    <s v="EARMARK"/>
    <m/>
    <m/>
    <d v="2019-07-19T00:00:00"/>
    <n v="10"/>
    <n v="57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9:32:52"/>
    <m/>
    <m/>
    <m/>
    <s v="F3X"/>
    <n v="4.02012020168638E+18"/>
    <s v="t"/>
    <s v="EARMARKED FOR PETE FOR AMERICA, INC (C00697441)"/>
    <n v="2020"/>
    <s v="SA"/>
    <m/>
    <n v="4.0302202012333901E+18"/>
    <s v="http://docquery.fec.gov/cgi-bin/fecimg/?202001299169852336"/>
    <s v="Contributions From Individuals/Persons Other Than Political Committees"/>
  </r>
  <r>
    <s v="C00401224"/>
    <x v="2"/>
    <n v="2019"/>
    <s v="YE"/>
    <n v="2.02001299169852E+17"/>
    <s v="11AI"/>
    <s v="SA11AI_177160546"/>
    <n v="1378435"/>
    <m/>
    <s v="IND"/>
    <s v="INDIVIDUAL"/>
    <m/>
    <m/>
    <s v="FRASER, JANE"/>
    <s v="V"/>
    <m/>
    <s v="U"/>
    <s v="JANE"/>
    <m/>
    <s v="FRASER"/>
    <m/>
    <s v="1201 W MOUNT ROYAL AVE 646"/>
    <m/>
    <s v="BALTIMORE"/>
    <s v="MD"/>
    <n v="21217"/>
    <s v="NATIONAL MUSEUM OF AFRICAN AMERICAN HI"/>
    <s v="EXHIBIT DESIGNER"/>
    <m/>
    <m/>
    <m/>
    <s v="EARMARK"/>
    <m/>
    <m/>
    <d v="2019-09-15T00:00:00"/>
    <n v="3"/>
    <n v="57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0:28:00"/>
    <m/>
    <m/>
    <m/>
    <s v="F3X"/>
    <n v="4.02012020168638E+18"/>
    <s v="t"/>
    <s v="EARMARKED FOR PETE FOR AMERICA, INC (C00697441)"/>
    <n v="2020"/>
    <s v="SA"/>
    <m/>
    <n v="4.0302202012312003E+18"/>
    <s v="http://docquery.fec.gov/cgi-bin/fecimg/?202001299169852336"/>
    <s v="Contributions From Individuals/Persons Other Than Political Committees"/>
  </r>
  <r>
    <s v="C00401224"/>
    <x v="2"/>
    <n v="2019"/>
    <s v="YE"/>
    <n v="2.02001299169852E+17"/>
    <s v="11AI"/>
    <s v="SA11AI_194610801"/>
    <n v="1378435"/>
    <m/>
    <s v="IND"/>
    <s v="INDIVIDUAL"/>
    <m/>
    <m/>
    <s v="FRASER, JANE"/>
    <s v="V"/>
    <m/>
    <s v="U"/>
    <s v="JANE"/>
    <m/>
    <s v="FRASER"/>
    <m/>
    <s v="320 FLORIDA AVE NE UNIT 922"/>
    <m/>
    <s v="WASHINGTON"/>
    <s v="DC"/>
    <n v="20002"/>
    <s v="SMITHSONIAN INSTITUTION"/>
    <s v="EXHIBIT DESIGNER"/>
    <m/>
    <m/>
    <m/>
    <s v="CONTRIBUTION TO ACT BLUE"/>
    <m/>
    <m/>
    <d v="2019-12-20T00:00:00"/>
    <n v="2.5"/>
    <n v="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1:14:39"/>
    <m/>
    <m/>
    <m/>
    <s v="F3X"/>
    <n v="4.02012020168638E+18"/>
    <s v="t"/>
    <s v="CONTRIBUTION TO ACTBLUE"/>
    <n v="2020"/>
    <s v="SA"/>
    <m/>
    <n v="4.0302202012235699E+18"/>
    <s v="http://docquery.fec.gov/cgi-bin/fecimg/?202001299169852338"/>
    <s v="Contributions From Individuals/Persons Other Than Political Committees"/>
  </r>
  <r>
    <s v="C00401224"/>
    <x v="2"/>
    <n v="2019"/>
    <s v="YE"/>
    <n v="2.02001299169852E+17"/>
    <s v="11AI"/>
    <s v="SA11AI_194610800"/>
    <n v="1378435"/>
    <m/>
    <s v="IND"/>
    <s v="INDIVIDUAL"/>
    <m/>
    <m/>
    <s v="FRASER, JANE"/>
    <s v="V"/>
    <m/>
    <s v="U"/>
    <s v="JANE"/>
    <m/>
    <s v="FRASER"/>
    <m/>
    <s v="320 FLORIDA AVE NE UNIT 922"/>
    <m/>
    <s v="WASHINGTON"/>
    <s v="DC"/>
    <n v="20002"/>
    <s v="SMITHSONIAN INSTITUTION"/>
    <s v="EXHIBIT DESIGNER"/>
    <m/>
    <m/>
    <m/>
    <s v="EARMARK"/>
    <m/>
    <m/>
    <d v="2019-12-20T00:00:00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2:23:30"/>
    <m/>
    <m/>
    <m/>
    <s v="F3X"/>
    <n v="4.02012020168638E+18"/>
    <s v="t"/>
    <s v="EARMARKED FOR AMY FOR AMERICA (C00696419)"/>
    <n v="2020"/>
    <s v="SA"/>
    <m/>
    <n v="4.0302202012359301E+18"/>
    <s v="http://docquery.fec.gov/cgi-bin/fecimg/?202001299169852337"/>
    <s v="Contributions From Individuals/Persons Other Than Political Committees"/>
  </r>
  <r>
    <s v="C00401224"/>
    <x v="2"/>
    <n v="2020"/>
    <s v="M2"/>
    <n v="2.02002219200544E+17"/>
    <s v="11AI"/>
    <s v="SA11AI_200256970"/>
    <n v="1385527"/>
    <m/>
    <s v="IND"/>
    <s v="INDIVIDUAL"/>
    <m/>
    <m/>
    <s v="FRASER, JANE"/>
    <s v="V"/>
    <m/>
    <s v="U"/>
    <s v="JANE"/>
    <m/>
    <s v="FRASER"/>
    <m/>
    <s v="7583 SALT CREEK RD"/>
    <m/>
    <s v="PUEBLO"/>
    <s v="CO"/>
    <n v="810049787"/>
    <s v="COLORADO STATE U-PUEBLO"/>
    <s v="PROFESSOR"/>
    <m/>
    <m/>
    <m/>
    <s v="CONTRIBUTION TO ACT BLUE"/>
    <m/>
    <m/>
    <d v="2020-01-15T00:00:00"/>
    <n v="5"/>
    <n v="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6:11:39"/>
    <m/>
    <m/>
    <m/>
    <s v="F3X"/>
    <n v="4.02212020169344E+18"/>
    <s v="t"/>
    <s v="CONTRIBUTION TO ACTBLUE"/>
    <n v="2020"/>
    <s v="SA"/>
    <m/>
    <n v="4.0324202017073398E+18"/>
    <s v="http://docquery.fec.gov/cgi-bin/fecimg/?202002219200544520"/>
    <s v="Contributions From Individuals/Persons Other Than Political Committees"/>
  </r>
  <r>
    <s v="C00401224"/>
    <x v="2"/>
    <n v="2020"/>
    <s v="M2"/>
    <n v="2.02002219200544E+17"/>
    <s v="11AI"/>
    <s v="SA11AI_200795901"/>
    <n v="1385527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1-17T00:00:00"/>
    <n v="5"/>
    <n v="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6:11:39"/>
    <m/>
    <m/>
    <m/>
    <s v="F3X"/>
    <n v="4.02212020169344E+18"/>
    <s v="t"/>
    <s v="CONTRIBUTION TO ACTBLUE"/>
    <n v="2020"/>
    <s v="SA"/>
    <m/>
    <n v="4.0324202017073398E+18"/>
    <s v="http://docquery.fec.gov/cgi-bin/fecimg/?202002219200544521"/>
    <s v="Contributions From Individuals/Persons Other Than Political Committees"/>
  </r>
  <r>
    <s v="C00700534"/>
    <x v="6"/>
    <n v="2020"/>
    <s v="12G"/>
    <n v="2.0201021932674301E+17"/>
    <s v="11AI"/>
    <s v="VTQX8TTSXS7"/>
    <n v="1459291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10-11T00:00:00"/>
    <n v="100"/>
    <n v="3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1-10T03:37:12"/>
    <m/>
    <s v="VTQX8TTSXS7E"/>
    <s v="SA11AI"/>
    <s v="F3"/>
    <n v="4.1022202018826501E+18"/>
    <s v="t"/>
    <s v="* EARMARKED CONTRIBUTION: SEE BELOW"/>
    <n v="2020"/>
    <s v="SA"/>
    <m/>
    <n v="4.1110202018933402E+18"/>
    <s v="http://docquery.fec.gov/cgi-bin/fecimg/?202010219326743497"/>
    <s v="Contributions From Individuals/Persons Other Than Political Committees"/>
  </r>
  <r>
    <s v="C00401224"/>
    <x v="2"/>
    <n v="2020"/>
    <s v="M2"/>
    <n v="2.02002219200544E+17"/>
    <s v="11AI"/>
    <s v="SA11AI_200256939"/>
    <n v="1385527"/>
    <m/>
    <s v="IND"/>
    <s v="INDIVIDUAL"/>
    <m/>
    <m/>
    <s v="FRASER, JANE"/>
    <s v="V"/>
    <m/>
    <s v="U"/>
    <s v="JANE"/>
    <m/>
    <s v="FRASER"/>
    <m/>
    <s v="7583 SALT CREEK RD"/>
    <m/>
    <s v="PUEBLO"/>
    <s v="CO"/>
    <n v="810049787"/>
    <s v="COLORADO STATE U-PUEBLO"/>
    <s v="PROFESSOR"/>
    <m/>
    <m/>
    <m/>
    <s v="EARMARK"/>
    <m/>
    <m/>
    <d v="2020-01-15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6:57:41"/>
    <m/>
    <m/>
    <m/>
    <s v="F3X"/>
    <n v="4.02212020169344E+18"/>
    <s v="t"/>
    <s v="EARMARKED FOR BOWMAN FOR CONGRESS (C00709196)"/>
    <n v="2020"/>
    <s v="SA"/>
    <m/>
    <n v="4.0324202017073398E+18"/>
    <s v="http://docquery.fec.gov/cgi-bin/fecimg/?202002219200544520"/>
    <s v="Contributions From Individuals/Persons Other Than Political Committees"/>
  </r>
  <r>
    <s v="C00008474"/>
    <x v="4"/>
    <n v="2020"/>
    <s v="M3"/>
    <n v="2.02003209204628E+17"/>
    <s v="11AI"/>
    <s v="A2020-373091"/>
    <n v="139142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2-21T00:00:00"/>
    <n v="192.3"/>
    <n v="769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25T07:45:07"/>
    <m/>
    <m/>
    <m/>
    <s v="F3X"/>
    <n v="4.0320202017039401E+18"/>
    <s v="t"/>
    <m/>
    <n v="2020"/>
    <s v="SA"/>
    <m/>
    <n v="4.0324202017145999E+18"/>
    <s v="http://docquery.fec.gov/cgi-bin/fecimg/?202003209204628311"/>
    <s v="Contributions From Individuals/Persons Other Than Political Committees"/>
  </r>
  <r>
    <s v="C00008474"/>
    <x v="4"/>
    <n v="2020"/>
    <s v="M3"/>
    <n v="2.02003209204628E+17"/>
    <s v="11AI"/>
    <s v="A2020-131115"/>
    <n v="139142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2-07T00:00:00"/>
    <n v="192.3"/>
    <n v="57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25T08:00:26"/>
    <m/>
    <m/>
    <m/>
    <s v="F3X"/>
    <n v="4.0320202017039401E+18"/>
    <s v="t"/>
    <m/>
    <n v="2020"/>
    <s v="SA"/>
    <m/>
    <n v="4.0324202017145999E+18"/>
    <s v="http://docquery.fec.gov/cgi-bin/fecimg/?202003209204628311"/>
    <s v="Contributions From Individuals/Persons Other Than Political Committees"/>
  </r>
  <r>
    <s v="C00401224"/>
    <x v="2"/>
    <n v="2020"/>
    <s v="M3"/>
    <n v="2.0200320921108499E+17"/>
    <s v="11AI"/>
    <s v="SA11AI_208094283"/>
    <n v="1391686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2-11T00:00:00"/>
    <n v="19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0:31:50"/>
    <m/>
    <m/>
    <m/>
    <s v="F3X"/>
    <n v="4.0323202017043999E+18"/>
    <s v="t"/>
    <s v="EARMARKED FOR AMY FOR AMERICA (C00696419)"/>
    <n v="2020"/>
    <s v="SA"/>
    <m/>
    <n v="4.04022020172365E+18"/>
    <s v="http://docquery.fec.gov/cgi-bin/fecimg/?202003209211085012"/>
    <s v="Contributions From Individuals/Persons Other Than Political Committees"/>
  </r>
  <r>
    <s v="C00401224"/>
    <x v="2"/>
    <n v="2020"/>
    <s v="M3"/>
    <n v="2.0200320921108499E+17"/>
    <s v="11AI"/>
    <s v="SA11AI_205607307"/>
    <n v="1391686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2-04T00:00:00"/>
    <n v="19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19:02"/>
    <m/>
    <m/>
    <m/>
    <s v="F3X"/>
    <n v="4.0323202017043999E+18"/>
    <s v="t"/>
    <s v="EARMARKED FOR AMY FOR AMERICA (C00696419)"/>
    <n v="2020"/>
    <s v="SA"/>
    <m/>
    <n v="4.04022020172365E+18"/>
    <s v="http://docquery.fec.gov/cgi-bin/fecimg/?202003209211085012"/>
    <s v="Contributions From Individuals/Persons Other Than Political Committees"/>
  </r>
  <r>
    <s v="C00401224"/>
    <x v="2"/>
    <n v="2020"/>
    <s v="M3"/>
    <n v="2.0200320921108499E+17"/>
    <s v="11AI"/>
    <s v="SA11AI_208750708"/>
    <n v="1391686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2-13T00:00:00"/>
    <n v="10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2:06:46"/>
    <m/>
    <m/>
    <m/>
    <s v="F3X"/>
    <n v="4.0323202017043999E+18"/>
    <s v="t"/>
    <s v="EARMARKED FOR AMY FOR AMERICA (C00696419)"/>
    <n v="2020"/>
    <s v="SA"/>
    <m/>
    <n v="4.04022020172365E+18"/>
    <s v="http://docquery.fec.gov/cgi-bin/fecimg/?202003209211085012"/>
    <s v="Contributions From Individuals/Persons Other Than Political Committees"/>
  </r>
  <r>
    <s v="C00008474"/>
    <x v="4"/>
    <n v="2020"/>
    <s v="M4"/>
    <n v="2.0200420921974499E+17"/>
    <s v="11AI"/>
    <s v="A2020-360421"/>
    <n v="1402088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3-06T00:00:00"/>
    <n v="192.3"/>
    <n v="961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21T01:55:52"/>
    <m/>
    <m/>
    <m/>
    <s v="F3X"/>
    <n v="4.0420202017373501E+18"/>
    <s v="t"/>
    <m/>
    <n v="2020"/>
    <s v="SA"/>
    <m/>
    <n v="4.04202020173747E+18"/>
    <s v="http://docquery.fec.gov/cgi-bin/fecimg/?202004209219745754"/>
    <s v="Contributions From Individuals/Persons Other Than Political Committees"/>
  </r>
  <r>
    <s v="C00008474"/>
    <x v="4"/>
    <n v="2020"/>
    <s v="M4"/>
    <n v="2.0200420921974499E+17"/>
    <s v="11AI"/>
    <s v="A2020-561208"/>
    <n v="1402088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3-20T00:00:00"/>
    <n v="192.3"/>
    <n v="1153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21T01:55:52"/>
    <m/>
    <m/>
    <m/>
    <s v="F3X"/>
    <n v="4.0420202017373501E+18"/>
    <s v="t"/>
    <m/>
    <n v="2020"/>
    <s v="SA"/>
    <m/>
    <n v="4.04202020173747E+18"/>
    <s v="http://docquery.fec.gov/cgi-bin/fecimg/?202004209219745754"/>
    <s v="Contributions From Individuals/Persons Other Than Political Committees"/>
  </r>
  <r>
    <s v="C00580100"/>
    <x v="7"/>
    <n v="2020"/>
    <s v="12G"/>
    <n v="2.0210303944008602E+17"/>
    <s v="17A"/>
    <s v="SA17A.427180"/>
    <n v="1502733"/>
    <m/>
    <s v="IND"/>
    <s v="INDIVIDUAL"/>
    <m/>
    <m/>
    <s v="FRASER, JANET L"/>
    <s v="P"/>
    <m/>
    <s v="P"/>
    <s v="JANET"/>
    <s v="L"/>
    <s v="FRASER"/>
    <m/>
    <s v="82 VILLA POINT DR"/>
    <m/>
    <s v="NEWPORT BEACH"/>
    <s v="CA"/>
    <n v="92660"/>
    <s v="RETIRED"/>
    <s v="RETIRED"/>
    <m/>
    <m/>
    <m/>
    <m/>
    <m/>
    <m/>
    <d v="2020-10-07T00:00:00"/>
    <n v="25"/>
    <n v="2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3-09T03:47:35"/>
    <m/>
    <m/>
    <m/>
    <s v="F3P"/>
    <n v="4.0304202111990298E+18"/>
    <s v="t"/>
    <m/>
    <n v="2020"/>
    <s v="SA"/>
    <m/>
    <n v="4.0309202112271898E+18"/>
    <s v="https://docquery.fec.gov/cgi-bin/fecimg/?202103039440086687"/>
    <s v="Contributions From Individuals/Persons Other Than Political Committees"/>
  </r>
  <r>
    <s v="C00401224"/>
    <x v="2"/>
    <n v="2020"/>
    <s v="M4"/>
    <n v="2.02004219228948E+17"/>
    <s v="11AI"/>
    <s v="SA11AI_223827413"/>
    <n v="1402724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EARMARK"/>
    <m/>
    <m/>
    <d v="2020-03-31T00:00:00"/>
    <n v="10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6:51:27"/>
    <m/>
    <m/>
    <m/>
    <s v="F3X"/>
    <n v="4.0420202017373501E+18"/>
    <s v="t"/>
    <s v="EARMARKED FOR BOWMAN FOR CONGRESS (C00709196)"/>
    <n v="2020"/>
    <s v="SA"/>
    <m/>
    <n v="4.0514202017463798E+18"/>
    <s v="http://docquery.fec.gov/cgi-bin/fecimg/?202004219228948024"/>
    <s v="Contributions From Individuals/Persons Other Than Political Committees"/>
  </r>
  <r>
    <s v="C00401224"/>
    <x v="2"/>
    <n v="2020"/>
    <s v="M4"/>
    <n v="2.02004219228948E+17"/>
    <s v="11AI"/>
    <s v="SA11AI_215278554"/>
    <n v="1402724"/>
    <m/>
    <s v="IND"/>
    <s v="INDIVIDUAL"/>
    <m/>
    <m/>
    <s v="FRASER, JANELLE"/>
    <s v="V"/>
    <m/>
    <s v="U"/>
    <s v="JANELLE"/>
    <m/>
    <s v="FRASER"/>
    <m/>
    <s v="8410 UPPER SKY WAY 433"/>
    <m/>
    <s v="LAUREL"/>
    <s v="MD"/>
    <n v="20723"/>
    <s v="NOT EMPLOYED"/>
    <s v="NOT EMPLOYED"/>
    <m/>
    <m/>
    <m/>
    <s v="EARMARK"/>
    <m/>
    <m/>
    <d v="2020-03-01T00:00:00"/>
    <n v="2.7"/>
    <n v="3.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6:54:19"/>
    <m/>
    <m/>
    <m/>
    <s v="F3X"/>
    <n v="4.0420202017373501E+18"/>
    <s v="t"/>
    <s v="EARMARKED FOR BERNIE 2020 (C00696948)"/>
    <n v="2020"/>
    <s v="SA"/>
    <m/>
    <n v="4.0514202017463798E+18"/>
    <s v="http://docquery.fec.gov/cgi-bin/fecimg/?202004219228948024"/>
    <s v="Contributions From Individuals/Persons Other Than Political Committees"/>
  </r>
  <r>
    <s v="C00401224"/>
    <x v="2"/>
    <n v="2020"/>
    <s v="M4"/>
    <n v="2.02004219228948E+17"/>
    <s v="11AI"/>
    <s v="SA11AI_222037943"/>
    <n v="1402724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EARMARK"/>
    <m/>
    <m/>
    <d v="2020-03-24T00:00:00"/>
    <n v="5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7:14:57"/>
    <m/>
    <m/>
    <m/>
    <s v="F3X"/>
    <n v="4.0420202017373501E+18"/>
    <s v="t"/>
    <s v="EARMARKED FOR BOWMAN FOR CONGRESS (C00709196)"/>
    <n v="2020"/>
    <s v="SA"/>
    <m/>
    <n v="4.0514202017463798E+18"/>
    <s v="http://docquery.fec.gov/cgi-bin/fecimg/?202004219228948023"/>
    <s v="Contributions From Individuals/Persons Other Than Political Committees"/>
  </r>
  <r>
    <s v="C00401224"/>
    <x v="2"/>
    <n v="2020"/>
    <s v="M4"/>
    <n v="2.02004219228948E+17"/>
    <s v="11AI"/>
    <s v="SA11AI_215278797"/>
    <n v="1402724"/>
    <m/>
    <s v="IND"/>
    <s v="INDIVIDUAL"/>
    <m/>
    <m/>
    <s v="FRASER, JANELLE"/>
    <s v="V"/>
    <m/>
    <s v="U"/>
    <s v="JANELLE"/>
    <m/>
    <s v="FRASER"/>
    <m/>
    <s v="8410 UPPER SKY WAY 433"/>
    <m/>
    <s v="LAUREL"/>
    <s v="MD"/>
    <n v="20723"/>
    <s v="NOT EMPLOYED"/>
    <s v="NOT EMPLOYED"/>
    <m/>
    <m/>
    <m/>
    <s v="EARMARK"/>
    <m/>
    <m/>
    <d v="2020-03-01T00:00:00"/>
    <n v="1"/>
    <n v="3.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7:14:57"/>
    <m/>
    <m/>
    <m/>
    <s v="F3X"/>
    <n v="4.0420202017373501E+18"/>
    <s v="t"/>
    <s v="EARMARKED FOR BERNIE 2020 (C00696948)"/>
    <n v="2020"/>
    <s v="SA"/>
    <m/>
    <n v="4.0514202017463798E+18"/>
    <s v="http://docquery.fec.gov/cgi-bin/fecimg/?202004219228948025"/>
    <s v="Contributions From Individuals/Persons Other Than Political Committees"/>
  </r>
  <r>
    <s v="C00401224"/>
    <x v="2"/>
    <n v="2020"/>
    <s v="M4"/>
    <n v="2.02004219228948E+17"/>
    <s v="11AI"/>
    <s v="SA11AI_215278602"/>
    <n v="1402724"/>
    <m/>
    <s v="IND"/>
    <s v="INDIVIDUAL"/>
    <m/>
    <m/>
    <s v="FRASER, JANELLE"/>
    <s v="V"/>
    <m/>
    <s v="U"/>
    <s v="JANELLE"/>
    <m/>
    <s v="FRASER"/>
    <m/>
    <s v="8410 UPPER SKY WAY 433"/>
    <m/>
    <s v="LAUREL"/>
    <s v="MD"/>
    <n v="20723"/>
    <s v="NOT EMPLOYED"/>
    <s v="NOT EMPLOYED"/>
    <m/>
    <m/>
    <m/>
    <s v="CONTRIBUTION TO ACT BLUE"/>
    <m/>
    <m/>
    <d v="2020-03-01T00:00:00"/>
    <n v="1"/>
    <n v="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7:34:31"/>
    <m/>
    <m/>
    <m/>
    <s v="F3X"/>
    <n v="4.0420202017373501E+18"/>
    <s v="t"/>
    <s v="CONTRIBUTION TO ACTBLUE"/>
    <n v="2020"/>
    <s v="SA"/>
    <m/>
    <n v="4.0514202017463798E+18"/>
    <s v="http://docquery.fec.gov/cgi-bin/fecimg/?202004219228948024"/>
    <s v="Contributions From Individuals/Persons Other Than Political Committees"/>
  </r>
  <r>
    <s v="C00401224"/>
    <x v="2"/>
    <n v="2020"/>
    <s v="M4"/>
    <n v="2.02004219228948E+17"/>
    <s v="11AI"/>
    <s v="SA11AI_222038013"/>
    <n v="1402724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3-24T00:00:00"/>
    <n v="5"/>
    <n v="1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15T08:00:54"/>
    <m/>
    <m/>
    <m/>
    <s v="F3X"/>
    <n v="4.0420202017373501E+18"/>
    <s v="t"/>
    <s v="CONTRIBUTION TO ACTBLUE"/>
    <n v="2020"/>
    <s v="SA"/>
    <m/>
    <n v="4.0514202017463798E+18"/>
    <s v="http://docquery.fec.gov/cgi-bin/fecimg/?202004219228948023"/>
    <s v="Contributions From Individuals/Persons Other Than Political Committees"/>
  </r>
  <r>
    <s v="C00694323"/>
    <x v="8"/>
    <n v="2020"/>
    <s v="Q3"/>
    <n v="2.0210125940680198E+17"/>
    <s v="11AI"/>
    <s v="A4F15EE9DA2934547A73"/>
    <n v="1490496"/>
    <m/>
    <s v="IND"/>
    <s v="INDIVIDUAL"/>
    <m/>
    <m/>
    <s v="FRASER, JANE"/>
    <s v="V"/>
    <m/>
    <s v="U"/>
    <s v="JANE"/>
    <m/>
    <s v="FRASER"/>
    <m/>
    <s v="10500 WEIL RD"/>
    <m/>
    <s v="CINCINNATI"/>
    <s v="OH"/>
    <n v="452424518"/>
    <s v="SELF-EMPLOYED"/>
    <s v="AGRICULTURE"/>
    <m/>
    <m/>
    <m/>
    <s v="EARMARKED FOR TRUMP MAKE AMERICA GREAT AGAIN COMMITTEE (C00618371)"/>
    <m/>
    <m/>
    <d v="2020-08-11T00:00:00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43:56"/>
    <m/>
    <m/>
    <m/>
    <s v="F3X"/>
    <n v="4.0125202121377597E+18"/>
    <s v="t"/>
    <m/>
    <n v="2020"/>
    <s v="SA"/>
    <m/>
    <n v="4.02242021118001E+18"/>
    <s v="https://docquery.fec.gov/cgi-bin/fecimg/?202101259406802476"/>
    <s v="Contributions From Individuals/Persons Other Than Political Committees"/>
  </r>
  <r>
    <s v="C00694323"/>
    <x v="8"/>
    <n v="2020"/>
    <s v="Q3"/>
    <n v="2.0210125940726202E+17"/>
    <s v="11AI"/>
    <s v="A959098E2EB944CF08EF"/>
    <n v="1490496"/>
    <m/>
    <s v="IND"/>
    <s v="INDIVIDUAL"/>
    <m/>
    <m/>
    <s v="FRASER, JANET"/>
    <s v="V"/>
    <m/>
    <s v="U"/>
    <s v="JANET"/>
    <m/>
    <s v="FRASER"/>
    <m/>
    <s v="82 VILLA POINT DR"/>
    <m/>
    <s v="NEWPORT BEACH"/>
    <s v="CA"/>
    <n v="926606244"/>
    <s v="RETIRED"/>
    <s v="RETIRED"/>
    <m/>
    <m/>
    <m/>
    <s v="EARMARKED FOR ELISE FOR CONGRESS (C00547893)"/>
    <m/>
    <m/>
    <d v="2020-08-23T00:00:00"/>
    <n v="10"/>
    <n v="8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46:01"/>
    <m/>
    <m/>
    <m/>
    <s v="F3X"/>
    <n v="4.0125202121377597E+18"/>
    <s v="t"/>
    <m/>
    <n v="2020"/>
    <s v="SA"/>
    <m/>
    <n v="4.0224202111833298E+18"/>
    <s v="https://docquery.fec.gov/cgi-bin/fecimg/?202101259407262021"/>
    <s v="Contributions From Individuals/Persons Other Than Political Committees"/>
  </r>
  <r>
    <s v="C00694323"/>
    <x v="8"/>
    <n v="2020"/>
    <s v="Q3"/>
    <n v="2.0210125940833798E+17"/>
    <s v="11AI"/>
    <s v="A961FEC60B5174292B1B"/>
    <n v="1490496"/>
    <m/>
    <s v="IND"/>
    <s v="INDIVIDUAL"/>
    <s v="C00580100"/>
    <m/>
    <s v="FRASER, JANET"/>
    <s v="V"/>
    <m/>
    <s v="U"/>
    <s v="JANET"/>
    <m/>
    <s v="FRASER"/>
    <m/>
    <s v="772 LINDA LN"/>
    <m/>
    <s v="MIDDLEBURG"/>
    <s v="FL"/>
    <n v="320683024"/>
    <s v="USDOL"/>
    <s v="INDUSTRIAL HYGIENIST"/>
    <s v="C00580100"/>
    <s v="15E"/>
    <s v="EARMARKED CONTRIBUTION"/>
    <s v="EARMARKED FOR DONALD J. TRUMP FOR PRESIDENT, INC. (C00580100)"/>
    <m/>
    <m/>
    <d v="2020-09-16T00:00:00"/>
    <n v="42"/>
    <n v="253"/>
    <s v="P8000157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51:54"/>
    <m/>
    <m/>
    <m/>
    <s v="F3X"/>
    <n v="4.0125202121377597E+18"/>
    <s v="t"/>
    <m/>
    <n v="2020"/>
    <s v="SA"/>
    <m/>
    <n v="4.0224202111832899E+18"/>
    <s v="https://docquery.fec.gov/cgi-bin/fecimg/?202101259408338463"/>
    <s v="Contributions From Individuals/Persons Other Than Political Committees"/>
  </r>
  <r>
    <s v="C00694323"/>
    <x v="8"/>
    <n v="2020"/>
    <s v="Q3"/>
    <n v="2.0210125940619901E+17"/>
    <s v="11AI"/>
    <s v="AEB15D6CFAE5F41FFBB4"/>
    <n v="1490496"/>
    <m/>
    <s v="IND"/>
    <s v="INDIVIDUAL"/>
    <s v="C00003418"/>
    <m/>
    <s v="FRASER, JANET"/>
    <s v="V"/>
    <m/>
    <s v="U"/>
    <s v="JANET"/>
    <m/>
    <s v="FRASER"/>
    <m/>
    <s v="33 W EVERGLADE AVE"/>
    <m/>
    <s v="CLOVIS"/>
    <s v="CA"/>
    <n v="936198745"/>
    <s v="RETIRED"/>
    <s v="RETIRED"/>
    <s v="C00003418"/>
    <s v="15E"/>
    <s v="EARMARKED CONTRIBUTION"/>
    <s v="EARMARKED FOR REPUBLICAN NATIONAL COMMITTEE (C00003418)"/>
    <m/>
    <m/>
    <d v="2020-07-26T00:00:00"/>
    <n v="100"/>
    <n v="7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52:47"/>
    <m/>
    <m/>
    <m/>
    <s v="F3X"/>
    <n v="4.0125202121377597E+18"/>
    <s v="t"/>
    <m/>
    <n v="2020"/>
    <s v="SA"/>
    <m/>
    <n v="4.0224202111873101E+18"/>
    <s v="https://docquery.fec.gov/cgi-bin/fecimg/?202101259406199962"/>
    <s v="Contributions From Individuals/Persons Other Than Political Committees"/>
  </r>
  <r>
    <s v="C00694323"/>
    <x v="8"/>
    <n v="2020"/>
    <s v="Q3"/>
    <n v="2.0210125940588602E+17"/>
    <s v="11AI"/>
    <s v="A5B960830E47B4961819"/>
    <n v="1490496"/>
    <m/>
    <s v="IND"/>
    <s v="INDIVIDUAL"/>
    <m/>
    <m/>
    <s v="FRASER, JANET"/>
    <s v="V"/>
    <m/>
    <s v="U"/>
    <s v="JANET"/>
    <m/>
    <s v="FRASER"/>
    <m/>
    <s v="772 LINDA LN"/>
    <m/>
    <s v="MIDDLEBURG"/>
    <s v="FL"/>
    <n v="320683024"/>
    <s v="USDOL"/>
    <s v="INDUSTRIAL HYGIENIST"/>
    <m/>
    <m/>
    <m/>
    <s v="EARMARKED FOR DONALD J. TRUMP FOR PRESIDENT, INC. (C00580100)"/>
    <m/>
    <m/>
    <d v="2020-07-16T00:00:00"/>
    <n v="42"/>
    <n v="169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54:01"/>
    <m/>
    <m/>
    <m/>
    <s v="F3X"/>
    <n v="4.0125202121377597E+18"/>
    <s v="t"/>
    <m/>
    <n v="2020"/>
    <s v="SA"/>
    <m/>
    <n v="4.0224202111805901E+18"/>
    <s v="https://docquery.fec.gov/cgi-bin/fecimg/?202101259405886468"/>
    <s v="Contributions From Individuals/Persons Other Than Political Committees"/>
  </r>
  <r>
    <s v="C00694323"/>
    <x v="8"/>
    <n v="2020"/>
    <s v="Q3"/>
    <n v="2.02101259408936E+17"/>
    <s v="11AI"/>
    <s v="AEC707EA33ED945EDA08"/>
    <n v="1490496"/>
    <m/>
    <s v="IND"/>
    <s v="INDIVIDUAL"/>
    <s v="C00003418"/>
    <m/>
    <s v="FRASER, JANET"/>
    <s v="V"/>
    <m/>
    <s v="U"/>
    <s v="JANET"/>
    <m/>
    <s v="FRASER"/>
    <m/>
    <s v="33 W EVERGLADE AVE"/>
    <m/>
    <s v="CLOVIS"/>
    <s v="CA"/>
    <n v="936198745"/>
    <s v="RETIRED"/>
    <s v="RETIRED"/>
    <s v="C00003418"/>
    <s v="15E"/>
    <s v="EARMARKED CONTRIBUTION"/>
    <s v="EARMARKED FOR REPUBLICAN NATIONAL COMMITTEE (C00003418)"/>
    <m/>
    <m/>
    <d v="2020-09-26T00:00:00"/>
    <n v="100"/>
    <n v="9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3:55:59"/>
    <m/>
    <m/>
    <m/>
    <s v="F3X"/>
    <n v="4.0125202121377597E+18"/>
    <s v="t"/>
    <m/>
    <n v="2020"/>
    <s v="SA"/>
    <m/>
    <n v="4.02242021118739E+18"/>
    <s v="https://docquery.fec.gov/cgi-bin/fecimg/?202101259408936655"/>
    <s v="Contributions From Individuals/Persons Other Than Political Committees"/>
  </r>
  <r>
    <s v="C00401224"/>
    <x v="2"/>
    <n v="2020"/>
    <s v="M5"/>
    <n v="2.0200520923647398E+17"/>
    <s v="11AI"/>
    <s v="SA11AI_228404162"/>
    <n v="1407307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4-20T00:00:00"/>
    <n v="12.26"/>
    <n v="42.2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28T06:48:04"/>
    <m/>
    <m/>
    <m/>
    <s v="F3X"/>
    <n v="4.05212020176224E+18"/>
    <s v="t"/>
    <s v="EARMARKED FOR DEMOCRATIC ACTION (C00562983)"/>
    <n v="2020"/>
    <s v="SA"/>
    <m/>
    <n v="4.0527202017663601E+18"/>
    <s v="http://docquery.fec.gov/cgi-bin/fecimg/?202005209236474238"/>
    <s v="Contributions From Individuals/Persons Other Than Political Committees"/>
  </r>
  <r>
    <s v="C00008474"/>
    <x v="4"/>
    <n v="2020"/>
    <s v="M5"/>
    <n v="2.0200518923277402E+17"/>
    <s v="11AI"/>
    <s v="A2020-599018"/>
    <n v="140616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4-03T00:00:00"/>
    <n v="192.3"/>
    <n v="1346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3:30"/>
    <m/>
    <m/>
    <m/>
    <s v="F3X"/>
    <n v="4.0518202017615002E+18"/>
    <s v="t"/>
    <m/>
    <n v="2020"/>
    <s v="SA"/>
    <m/>
    <n v="4.0518202017615299E+18"/>
    <s v="http://docquery.fec.gov/cgi-bin/fecimg/?202005189232774792"/>
    <s v="Contributions From Individuals/Persons Other Than Political Committees"/>
  </r>
  <r>
    <s v="C00008474"/>
    <x v="4"/>
    <n v="2020"/>
    <s v="M5"/>
    <n v="2.0200518923277402E+17"/>
    <s v="11AI"/>
    <s v="A2020-816899"/>
    <n v="140616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4-17T00:00:00"/>
    <n v="192.3"/>
    <n v="1538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3:30"/>
    <m/>
    <m/>
    <m/>
    <s v="F3X"/>
    <n v="4.0518202017615002E+18"/>
    <s v="t"/>
    <m/>
    <n v="2020"/>
    <s v="SA"/>
    <m/>
    <n v="4.0518202017615299E+18"/>
    <s v="http://docquery.fec.gov/cgi-bin/fecimg/?202005189232774792"/>
    <s v="Contributions From Individuals/Persons Other Than Political Committees"/>
  </r>
  <r>
    <s v="C00580100"/>
    <x v="7"/>
    <n v="2020"/>
    <s v="M3"/>
    <n v="2.0200511923264899E+17"/>
    <s v="17A"/>
    <s v="SA17A.85277"/>
    <n v="1405125"/>
    <m/>
    <s v="IND"/>
    <s v="INDIVIDUAL"/>
    <m/>
    <m/>
    <s v="FRASER, JANET"/>
    <s v="P"/>
    <m/>
    <s v="P"/>
    <s v="JANET"/>
    <m/>
    <s v="FRASER"/>
    <m/>
    <s v="82 VILLA POINT DR"/>
    <m/>
    <s v="NEWPORT BEACH"/>
    <s v="CA"/>
    <n v="92660"/>
    <s v="RETIRED"/>
    <s v="RETIRED"/>
    <m/>
    <m/>
    <m/>
    <m/>
    <m/>
    <m/>
    <d v="2020-02-08T00:00:00"/>
    <n v="25"/>
    <n v="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5-20T01:37:11"/>
    <m/>
    <m/>
    <m/>
    <s v="F3P"/>
    <n v="4.0511202017423498E+18"/>
    <s v="t"/>
    <m/>
    <n v="2020"/>
    <s v="SA"/>
    <m/>
    <n v="4.0519202017617603E+18"/>
    <s v="http://docquery.fec.gov/cgi-bin/fecimg/?202005119232649352"/>
    <s v="Contributions From Individuals/Persons Other Than Political Committees"/>
  </r>
  <r>
    <s v="C00401224"/>
    <x v="2"/>
    <n v="2020"/>
    <s v="M5"/>
    <n v="2.0200520923647398E+17"/>
    <s v="11AI"/>
    <s v="SA11AI_228405051"/>
    <n v="1407307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4-20T00:00:00"/>
    <n v="30"/>
    <n v="42.2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5-28T07:34:36"/>
    <m/>
    <m/>
    <m/>
    <s v="F3X"/>
    <n v="4.05212020176224E+18"/>
    <s v="t"/>
    <s v="EARMARKED FOR DEMOCRATIC ACTION (C00562983)"/>
    <n v="2020"/>
    <s v="SA"/>
    <m/>
    <n v="4.0527202017663601E+18"/>
    <s v="http://docquery.fec.gov/cgi-bin/fecimg/?202005209236474238"/>
    <s v="Contributions From Individuals/Persons Other Than Political Committees"/>
  </r>
  <r>
    <s v="C00696724"/>
    <x v="9"/>
    <n v="2020"/>
    <s v="Q1"/>
    <n v="2.0200610923966499E+17"/>
    <s v="11AI"/>
    <n v="5997436"/>
    <n v="1410900"/>
    <m/>
    <s v="IND"/>
    <s v="INDIVIDUAL"/>
    <s v="C00401224"/>
    <m/>
    <s v="FRASER, JANE M."/>
    <s v="S"/>
    <m/>
    <s v="P"/>
    <s v="JANE"/>
    <s v="M."/>
    <s v="FRASER"/>
    <m/>
    <s v="7583 SALT CREEK RD"/>
    <m/>
    <s v="PUEBLO"/>
    <s v="CO"/>
    <n v="810049787"/>
    <s v="COLORADO STATE UNIVERSITY PUEBLO"/>
    <s v="PROFESSOR"/>
    <s v="C00401224"/>
    <s v="15E"/>
    <s v="EARMARKED CONTRIBUTION"/>
    <m/>
    <m/>
    <m/>
    <d v="2020-01-17T00:00:00"/>
    <n v="250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d v="2020-06-12T01:49:55"/>
    <m/>
    <s v="5997436E"/>
    <s v="SA11AI"/>
    <s v="F3"/>
    <n v="4.0610202017745603E+18"/>
    <s v="t"/>
    <s v="* EARMARKED CONTRIBUTION: SEE BELOW"/>
    <n v="2020"/>
    <s v="SA"/>
    <m/>
    <n v="4.0611202017746202E+18"/>
    <s v="http://docquery.fec.gov/cgi-bin/fecimg/?202006109239665397"/>
    <s v="Contributions From Individuals/Persons Other Than Political Committees"/>
  </r>
  <r>
    <s v="C00709196"/>
    <x v="3"/>
    <n v="2020"/>
    <s v="12P"/>
    <n v="2.0200610923966598E+17"/>
    <s v="11AI"/>
    <s v="SA11AI.60030"/>
    <n v="1410938"/>
    <m/>
    <s v="IND"/>
    <s v="INDIVIDUAL"/>
    <s v="C00401224"/>
    <m/>
    <s v="FRASER, JANE M"/>
    <s v="H"/>
    <m/>
    <s v="P"/>
    <s v="JANE M"/>
    <m/>
    <s v="FRASER"/>
    <m/>
    <s v="7583 SALT CREEK ROAD"/>
    <m/>
    <s v="PUEBLO"/>
    <s v="CO"/>
    <n v="81004"/>
    <s v="COLORADO STATE UNIVERSITY - PUEBLO"/>
    <s v="PROFESSOR"/>
    <s v="C00401224"/>
    <s v="15E"/>
    <s v="EARMARKED CONTRIBUTION"/>
    <s v="EARMARKED ACTBLUE CONTRIBUTION"/>
    <m/>
    <m/>
    <d v="2020-05-18T00:00:00"/>
    <n v="250"/>
    <n v="4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12T01:50:06"/>
    <m/>
    <m/>
    <m/>
    <s v="F3"/>
    <n v="4.0611202017746002E+18"/>
    <s v="t"/>
    <m/>
    <n v="2020"/>
    <s v="SA"/>
    <m/>
    <n v="4.0611202017746202E+18"/>
    <s v="http://docquery.fec.gov/cgi-bin/fecimg/?202006109239666728"/>
    <s v="Contributions From Individuals/Persons Other Than Political Committees"/>
  </r>
  <r>
    <s v="C00709196"/>
    <x v="3"/>
    <n v="2020"/>
    <s v="12P"/>
    <n v="2.0200610923966598E+17"/>
    <s v="11AI"/>
    <s v="SA11AI.60031"/>
    <n v="1410938"/>
    <m/>
    <s v="IND"/>
    <s v="INDIVIDUAL"/>
    <s v="C00401224"/>
    <m/>
    <s v="FRASER, JANE M"/>
    <s v="H"/>
    <m/>
    <s v="P"/>
    <s v="JANE M"/>
    <m/>
    <s v="FRASER"/>
    <m/>
    <s v="7583 SALT CREEK ROAD"/>
    <m/>
    <s v="PUEBLO"/>
    <s v="CO"/>
    <n v="81004"/>
    <s v="COLORADO STATE UNIVERSITY - PUEBLO"/>
    <s v="PROFESSOR"/>
    <s v="C00401224"/>
    <s v="15E"/>
    <s v="EARMARKED CONTRIBUTION"/>
    <s v="EARMARKED ACTBLUE CONTRIBUTION"/>
    <m/>
    <m/>
    <d v="2020-05-28T00:00:00"/>
    <n v="100"/>
    <n v="5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12T01:50:06"/>
    <m/>
    <m/>
    <m/>
    <s v="F3"/>
    <n v="4.0611202017746002E+18"/>
    <s v="t"/>
    <m/>
    <n v="2020"/>
    <s v="SA"/>
    <m/>
    <n v="4.0611202017746202E+18"/>
    <s v="http://docquery.fec.gov/cgi-bin/fecimg/?202006109239666728"/>
    <s v="Contributions From Individuals/Persons Other Than Political Committees"/>
  </r>
  <r>
    <s v="C00709196"/>
    <x v="3"/>
    <n v="2020"/>
    <s v="12P"/>
    <n v="2.0200610923966598E+17"/>
    <s v="11AI"/>
    <s v="SA11AI.60032"/>
    <n v="1410938"/>
    <m/>
    <s v="IND"/>
    <s v="INDIVIDUAL"/>
    <s v="C00401224"/>
    <m/>
    <s v="FRASER, JANE M"/>
    <s v="H"/>
    <m/>
    <s v="P"/>
    <s v="JANE M"/>
    <m/>
    <s v="FRASER"/>
    <m/>
    <s v="7583 SALT CREEK ROAD"/>
    <m/>
    <s v="PUEBLO"/>
    <s v="CO"/>
    <n v="81004"/>
    <s v="COLORADO STATE UNIVERSITY - PUEBLO"/>
    <s v="PROFESSOR"/>
    <s v="C00401224"/>
    <s v="15E"/>
    <s v="EARMARKED CONTRIBUTION"/>
    <s v="EARMARKED ACTBLUE CONTRIBUTION"/>
    <m/>
    <m/>
    <d v="2020-05-31T00:00:00"/>
    <n v="50"/>
    <n v="5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12T01:50:06"/>
    <m/>
    <m/>
    <m/>
    <s v="F3"/>
    <n v="4.0611202017746002E+18"/>
    <s v="t"/>
    <m/>
    <n v="2020"/>
    <s v="SA"/>
    <m/>
    <n v="4.0611202017746202E+18"/>
    <s v="http://docquery.fec.gov/cgi-bin/fecimg/?202006109239666728"/>
    <s v="Contributions From Individuals/Persons Other Than Political Committees"/>
  </r>
  <r>
    <s v="C00580100"/>
    <x v="7"/>
    <n v="2020"/>
    <s v="M6"/>
    <n v="2.0200824926688602E+17"/>
    <s v="17A"/>
    <s v="SA17A.267582"/>
    <n v="1435104"/>
    <m/>
    <s v="IND"/>
    <s v="INDIVIDUAL"/>
    <m/>
    <m/>
    <s v="FRASER, JANET"/>
    <s v="P"/>
    <m/>
    <s v="P"/>
    <s v="JANET"/>
    <m/>
    <s v="FRASER"/>
    <m/>
    <s v="82 VILLA POINT DR"/>
    <m/>
    <s v="NEWPORT BEACH"/>
    <s v="CA"/>
    <n v="92660"/>
    <s v="RETIRED"/>
    <s v="RETIRED"/>
    <m/>
    <m/>
    <m/>
    <m/>
    <m/>
    <m/>
    <d v="2020-05-07T00:00:00"/>
    <n v="25"/>
    <n v="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9-01T04:19:47"/>
    <m/>
    <m/>
    <m/>
    <s v="F3P"/>
    <n v="4.0826202018297498E+18"/>
    <s v="t"/>
    <m/>
    <n v="2020"/>
    <s v="SA"/>
    <m/>
    <n v="4.0901202018332001E+18"/>
    <s v="http://docquery.fec.gov/cgi-bin/fecimg/?202008249266886680"/>
    <s v="Contributions From Individuals/Persons Other Than Political Committees"/>
  </r>
  <r>
    <s v="C00580100"/>
    <x v="7"/>
    <n v="2020"/>
    <s v="M4"/>
    <n v="2.0200617923982499E+17"/>
    <s v="17A"/>
    <s v="SA17A.373723"/>
    <n v="1412555"/>
    <m/>
    <s v="IND"/>
    <s v="INDIVIDUAL"/>
    <m/>
    <m/>
    <s v="FRASER, JANET"/>
    <s v="P"/>
    <m/>
    <s v="P"/>
    <s v="JANET"/>
    <m/>
    <s v="FRASER"/>
    <m/>
    <s v="82 VILLA POINT DR"/>
    <m/>
    <s v="NEWPORT BEACH"/>
    <s v="CA"/>
    <n v="92660"/>
    <s v="RETIRED"/>
    <s v="RETIRED"/>
    <m/>
    <m/>
    <m/>
    <m/>
    <m/>
    <m/>
    <d v="2020-03-07T00:00:00"/>
    <n v="25"/>
    <n v="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19T02:39:02"/>
    <m/>
    <m/>
    <m/>
    <s v="F3P"/>
    <n v="4.0618202017751101E+18"/>
    <s v="t"/>
    <m/>
    <n v="2020"/>
    <s v="SA"/>
    <m/>
    <n v="4.0618202017752202E+18"/>
    <s v="http://docquery.fec.gov/cgi-bin/fecimg/?202006179239825452"/>
    <s v="Contributions From Individuals/Persons Other Than Political Committees"/>
  </r>
  <r>
    <s v="C00696724"/>
    <x v="9"/>
    <n v="2020"/>
    <s v="12P"/>
    <n v="2.02006189239948E+17"/>
    <s v="11AI"/>
    <n v="6625336"/>
    <n v="1412978"/>
    <m/>
    <s v="IND"/>
    <s v="INDIVIDUAL"/>
    <s v="C00401224"/>
    <m/>
    <s v="FRASER, JANE M."/>
    <s v="S"/>
    <m/>
    <s v="P"/>
    <s v="JANE"/>
    <s v="M."/>
    <s v="FRASER"/>
    <m/>
    <s v="7583 SALT CREEK RD"/>
    <m/>
    <s v="PUEBLO"/>
    <s v="CO"/>
    <n v="810049787"/>
    <s v="COLORADO STATE UNIVERSITY PUEBLO"/>
    <s v="PROFESSOR"/>
    <s v="C00401224"/>
    <s v="15E"/>
    <s v="EARMARKED CONTRIBUTION"/>
    <m/>
    <m/>
    <m/>
    <d v="2020-05-09T00:00:00"/>
    <n v="100"/>
    <n v="3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20T01:46:31"/>
    <m/>
    <s v="6625336E"/>
    <s v="SA11AI"/>
    <s v="F3"/>
    <n v="4.0618202017751101E+18"/>
    <s v="t"/>
    <s v="* EARMARKED CONTRIBUTION: SEE BELOW"/>
    <n v="2020"/>
    <s v="SA"/>
    <m/>
    <n v="4.0619202017760302E+18"/>
    <s v="http://docquery.fec.gov/cgi-bin/fecimg/?202006189239948256"/>
    <s v="Contributions From Individuals/Persons Other Than Political Committees"/>
  </r>
  <r>
    <s v="C00008474"/>
    <x v="4"/>
    <n v="2020"/>
    <s v="M6"/>
    <n v="2.0200619924000499E+17"/>
    <s v="11AI"/>
    <s v="A2020-873911"/>
    <n v="141337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5-01T00:00:00"/>
    <n v="192.3"/>
    <n v="1730.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20T01:47:40"/>
    <m/>
    <m/>
    <m/>
    <s v="F3X"/>
    <n v="4.0619202017759299E+18"/>
    <s v="t"/>
    <m/>
    <n v="2020"/>
    <s v="SA"/>
    <m/>
    <n v="4.0619202017760502E+18"/>
    <s v="http://docquery.fec.gov/cgi-bin/fecimg/?202006199240005714"/>
    <s v="Contributions From Individuals/Persons Other Than Political Committees"/>
  </r>
  <r>
    <s v="C00008474"/>
    <x v="4"/>
    <n v="2020"/>
    <s v="M6"/>
    <n v="2.0200619924000499E+17"/>
    <s v="11AI"/>
    <s v="A2020-1071002"/>
    <n v="141337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5-15T00:00:00"/>
    <n v="192.3"/>
    <n v="192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20T01:47:40"/>
    <m/>
    <m/>
    <m/>
    <s v="F3X"/>
    <n v="4.0619202017759299E+18"/>
    <s v="t"/>
    <m/>
    <n v="2020"/>
    <s v="SA"/>
    <m/>
    <n v="4.0619202017760502E+18"/>
    <s v="http://docquery.fec.gov/cgi-bin/fecimg/?202006199240005715"/>
    <s v="Contributions From Individuals/Persons Other Than Political Committees"/>
  </r>
  <r>
    <s v="C00008474"/>
    <x v="4"/>
    <n v="2020"/>
    <s v="M6"/>
    <n v="2.0200619924000499E+17"/>
    <s v="11AI"/>
    <s v="A2020-1121955"/>
    <n v="141337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5-29T00:00:00"/>
    <n v="192.3"/>
    <n v="2115.300000000000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20T01:47:40"/>
    <m/>
    <m/>
    <m/>
    <s v="F3X"/>
    <n v="4.0619202017759299E+18"/>
    <s v="t"/>
    <m/>
    <n v="2020"/>
    <s v="SA"/>
    <m/>
    <n v="4.0619202017760502E+18"/>
    <s v="http://docquery.fec.gov/cgi-bin/fecimg/?202006199240005715"/>
    <s v="Contributions From Individuals/Persons Other Than Political Committees"/>
  </r>
  <r>
    <s v="C00580100"/>
    <x v="7"/>
    <n v="2020"/>
    <s v="M6"/>
    <n v="2.0200824926694202E+17"/>
    <n v="18"/>
    <s v="SA18.267580"/>
    <n v="1435104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PGE"/>
    <s v="SUPERVISOR"/>
    <m/>
    <m/>
    <m/>
    <s v="JFC TRANSFER: TRUMP MAKE AMERICA GREAT AGAIN COMMITTEE [SA18.4848]"/>
    <s v="X"/>
    <m/>
    <d v="2020-04-02T00:00:00"/>
    <n v="75"/>
    <n v="7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9-01T04:40:14"/>
    <m/>
    <m/>
    <m/>
    <s v="F3P"/>
    <n v="4.0826202018297498E+18"/>
    <s v="t"/>
    <m/>
    <n v="2020"/>
    <s v="SA"/>
    <m/>
    <n v="4.0901202018333599E+18"/>
    <s v="http://docquery.fec.gov/cgi-bin/fecimg/?202008249266942518"/>
    <s v="Transfers From Other Authorized Committees"/>
  </r>
  <r>
    <s v="C00008474"/>
    <x v="4"/>
    <n v="2020"/>
    <s v="M8"/>
    <n v="2.0200819926140899E+17"/>
    <s v="11AI"/>
    <s v="A2020-1443529"/>
    <n v="1433452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7-10T00:00:00"/>
    <n v="192.3"/>
    <n v="2692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03T03:37:51"/>
    <m/>
    <m/>
    <m/>
    <s v="F3X"/>
    <n v="4.0820202018293499E+18"/>
    <s v="t"/>
    <m/>
    <n v="2020"/>
    <s v="SA"/>
    <m/>
    <n v="4.0903202018344202E+18"/>
    <s v="http://docquery.fec.gov/cgi-bin/fecimg/?202008199261409159"/>
    <s v="Contributions From Individuals/Persons Other Than Political Committees"/>
  </r>
  <r>
    <s v="C00008474"/>
    <x v="4"/>
    <n v="2020"/>
    <s v="M8"/>
    <n v="2.0200819926140899E+17"/>
    <s v="11AI"/>
    <s v="A2020-1621779"/>
    <n v="1433452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7-24T00:00:00"/>
    <n v="192.3"/>
    <n v="2884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03T03:37:51"/>
    <m/>
    <m/>
    <m/>
    <s v="F3X"/>
    <n v="4.0820202018293499E+18"/>
    <s v="t"/>
    <m/>
    <n v="2020"/>
    <s v="SA"/>
    <m/>
    <n v="4.0903202018344202E+18"/>
    <s v="http://docquery.fec.gov/cgi-bin/fecimg/?202008199261409159"/>
    <s v="Contributions From Individuals/Persons Other Than Political Committees"/>
  </r>
  <r>
    <s v="C00401224"/>
    <x v="2"/>
    <n v="2020"/>
    <s v="M6"/>
    <n v="2.0200620924076E+17"/>
    <s v="11AI"/>
    <s v="SA11AI_237902054"/>
    <n v="1413483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5-28T00:00:00"/>
    <n v="100"/>
    <n v="55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6:41:49"/>
    <m/>
    <m/>
    <m/>
    <s v="F3X"/>
    <n v="4.0621202017761597E+18"/>
    <s v="t"/>
    <s v="EARMARKED FOR BOWMAN FOR CONGRESS (C00709196)"/>
    <n v="2020"/>
    <s v="SA"/>
    <m/>
    <n v="4.07092020178302E+18"/>
    <s v="http://docquery.fec.gov/cgi-bin/fecimg/?202006209240760158"/>
    <s v="Contributions From Individuals/Persons Other Than Political Committees"/>
  </r>
  <r>
    <s v="C00401224"/>
    <x v="2"/>
    <n v="2020"/>
    <s v="M6"/>
    <n v="2.0200620924076E+17"/>
    <s v="11AI"/>
    <s v="SA11AI_235757119"/>
    <n v="1413483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5-20T00:00:00"/>
    <n v="12.26"/>
    <n v="54.52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6:41:49"/>
    <m/>
    <m/>
    <m/>
    <s v="F3X"/>
    <n v="4.0621202017761597E+18"/>
    <s v="t"/>
    <s v="EARMARKED FOR DEMOCRATIC ACTION (C00562983)"/>
    <n v="2020"/>
    <s v="SA"/>
    <m/>
    <n v="4.07092020178302E+18"/>
    <s v="http://docquery.fec.gov/cgi-bin/fecimg/?202006209240760241"/>
    <s v="Contributions From Individuals/Persons Other Than Political Committees"/>
  </r>
  <r>
    <s v="C00401224"/>
    <x v="2"/>
    <n v="2020"/>
    <s v="M6"/>
    <n v="2.0200620924076E+17"/>
    <s v="11AI"/>
    <s v="SA11AI_233335204"/>
    <n v="1413483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5-09T00:00:00"/>
    <n v="5"/>
    <n v="2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6:42:58"/>
    <m/>
    <m/>
    <m/>
    <s v="F3X"/>
    <n v="4.0621202017761597E+18"/>
    <s v="t"/>
    <s v="CONTRIBUTION TO ACTBLUE"/>
    <n v="2020"/>
    <s v="SA"/>
    <m/>
    <n v="4.07092020178302E+18"/>
    <s v="http://docquery.fec.gov/cgi-bin/fecimg/?202006209240760156"/>
    <s v="Contributions From Individuals/Persons Other Than Political Committees"/>
  </r>
  <r>
    <s v="C00401224"/>
    <x v="2"/>
    <n v="2020"/>
    <s v="M6"/>
    <n v="2.0200620924076E+17"/>
    <s v="11AI"/>
    <s v="SA11AI_235374131"/>
    <n v="1413483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5-18T00:00:00"/>
    <n v="5"/>
    <n v="2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6:42:58"/>
    <m/>
    <m/>
    <m/>
    <s v="F3X"/>
    <n v="4.0621202017761597E+18"/>
    <s v="t"/>
    <s v="CONTRIBUTION TO ACTBLUE"/>
    <n v="2020"/>
    <s v="SA"/>
    <m/>
    <n v="4.07092020178302E+18"/>
    <s v="http://docquery.fec.gov/cgi-bin/fecimg/?202006209240760157"/>
    <s v="Contributions From Individuals/Persons Other Than Political Committees"/>
  </r>
  <r>
    <s v="C00401224"/>
    <x v="2"/>
    <n v="2020"/>
    <s v="M6"/>
    <n v="2.0200620924076E+17"/>
    <s v="11AI"/>
    <s v="SA11AI_239420516"/>
    <n v="1413483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5-31T00:00:00"/>
    <n v="50"/>
    <n v="55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4:19"/>
    <m/>
    <m/>
    <m/>
    <s v="F3X"/>
    <n v="4.0621202017761597E+18"/>
    <s v="t"/>
    <s v="EARMARKED FOR BOWMAN FOR CONGRESS (C00709196)"/>
    <n v="2020"/>
    <s v="SA"/>
    <m/>
    <n v="4.07092020178302E+18"/>
    <s v="http://docquery.fec.gov/cgi-bin/fecimg/?202006209240760158"/>
    <s v="Contributions From Individuals/Persons Other Than Political Committees"/>
  </r>
  <r>
    <s v="C00401224"/>
    <x v="2"/>
    <n v="2020"/>
    <s v="M6"/>
    <n v="2.0200620924076E+17"/>
    <s v="11AI"/>
    <s v="SA11AI_237902070"/>
    <n v="1413483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5-28T00:00:00"/>
    <n v="2"/>
    <n v="2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7:48:19"/>
    <m/>
    <m/>
    <m/>
    <s v="F3X"/>
    <n v="4.0621202017761597E+18"/>
    <s v="t"/>
    <s v="CONTRIBUTION TO ACTBLUE"/>
    <n v="2020"/>
    <s v="SA"/>
    <m/>
    <n v="4.07092020178302E+18"/>
    <s v="http://docquery.fec.gov/cgi-bin/fecimg/?202006209240760157"/>
    <s v="Contributions From Individuals/Persons Other Than Political Committees"/>
  </r>
  <r>
    <s v="C00401224"/>
    <x v="2"/>
    <n v="2020"/>
    <s v="M6"/>
    <n v="2.0200620924076E+17"/>
    <s v="11AI"/>
    <s v="SA11AI_239420883"/>
    <n v="1413483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5-31T00:00:00"/>
    <n v="5"/>
    <n v="27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7:48:19"/>
    <m/>
    <m/>
    <m/>
    <s v="F3X"/>
    <n v="4.0621202017761597E+18"/>
    <s v="t"/>
    <s v="CONTRIBUTION TO ACTBLUE"/>
    <n v="2020"/>
    <s v="SA"/>
    <m/>
    <n v="4.07092020178302E+18"/>
    <s v="http://docquery.fec.gov/cgi-bin/fecimg/?202006209240760158"/>
    <s v="Contributions From Individuals/Persons Other Than Political Committees"/>
  </r>
  <r>
    <s v="C00401224"/>
    <x v="2"/>
    <n v="2020"/>
    <s v="M6"/>
    <n v="2.0200620924076E+17"/>
    <s v="11AI"/>
    <s v="SA11AI_233335138"/>
    <n v="1413483"/>
    <m/>
    <s v="IND"/>
    <s v="INDIVIDUAL"/>
    <s v="C00696724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696724"/>
    <s v="24T"/>
    <s v="EARMARKED INTERMEDIARY TREASURY OUT"/>
    <s v="EARMARK"/>
    <m/>
    <m/>
    <d v="2020-05-09T00:00:00"/>
    <n v="100"/>
    <n v="350"/>
    <s v="S0CO00286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50:58"/>
    <m/>
    <m/>
    <m/>
    <s v="F3X"/>
    <n v="4.0621202017761597E+18"/>
    <s v="t"/>
    <s v="EARMARKED FOR ROMANOFF FOR COLORADO (C00696724)"/>
    <n v="2020"/>
    <s v="SA"/>
    <m/>
    <n v="4.07092020178302E+18"/>
    <s v="http://docquery.fec.gov/cgi-bin/fecimg/?202006209240760156"/>
    <s v="Contributions From Individuals/Persons Other Than Political Committees"/>
  </r>
  <r>
    <s v="C00700534"/>
    <x v="6"/>
    <n v="2020"/>
    <s v="Q2"/>
    <n v="2.0200829926705699E+17"/>
    <s v="11AI"/>
    <s v="VTQX8QQ8PW3"/>
    <n v="1435680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06-28T00:00:00"/>
    <n v="250"/>
    <n v="2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9-04T03:35:40"/>
    <m/>
    <s v="VTQX8QQ8PW3E"/>
    <s v="SA11AI"/>
    <s v="F3"/>
    <n v="4.0831202018314399E+18"/>
    <s v="t"/>
    <s v="* EARMARKED CONTRIBUTION: SEE BELOW"/>
    <n v="2020"/>
    <s v="SA"/>
    <m/>
    <n v="4.09042020183456E+18"/>
    <s v="http://docquery.fec.gov/cgi-bin/fecimg/?202008299267057765"/>
    <s v="Contributions From Individuals/Persons Other Than Political Committees"/>
  </r>
  <r>
    <s v="C00008474"/>
    <x v="4"/>
    <n v="2020"/>
    <s v="M7"/>
    <n v="2.0200717925038099E+17"/>
    <s v="11AI"/>
    <s v="A2020-1370101"/>
    <n v="142601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6-26T00:00:00"/>
    <n v="192.3"/>
    <n v="2499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23T02:43:32"/>
    <m/>
    <m/>
    <m/>
    <s v="F3X"/>
    <n v="4.0717202017909898E+18"/>
    <s v="t"/>
    <m/>
    <n v="2020"/>
    <s v="SA"/>
    <m/>
    <n v="4.0722202017936399E+18"/>
    <s v="http://docquery.fec.gov/cgi-bin/fecimg/?202007179250381401"/>
    <s v="Contributions From Individuals/Persons Other Than Political Committees"/>
  </r>
  <r>
    <s v="C00694323"/>
    <x v="8"/>
    <n v="2020"/>
    <s v="Q3"/>
    <n v="2.0210125940680301E+17"/>
    <s v="11AI"/>
    <s v="A091E7AF6562548B789A"/>
    <n v="1490496"/>
    <m/>
    <s v="IND"/>
    <s v="INDIVIDUAL"/>
    <m/>
    <m/>
    <s v="FRASER, JANE"/>
    <s v="V"/>
    <m/>
    <s v="U"/>
    <s v="JANE"/>
    <m/>
    <s v="FRASER"/>
    <m/>
    <s v="10500 WEIL RD"/>
    <m/>
    <s v="CINCINNATI"/>
    <s v="OH"/>
    <n v="452424518"/>
    <s v="SELF-EMPLOYED"/>
    <s v="AGRICULTURE"/>
    <m/>
    <m/>
    <m/>
    <s v="EARMARKED FOR DONALD J. TRUMP FOR PRESIDENT, INC. (C00580100)"/>
    <m/>
    <m/>
    <d v="2020-08-11T00:00:00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4:05:26"/>
    <m/>
    <m/>
    <m/>
    <s v="F3X"/>
    <n v="4.0125202121377597E+18"/>
    <s v="t"/>
    <m/>
    <n v="2020"/>
    <s v="SA"/>
    <m/>
    <n v="4.0224202111768003E+18"/>
    <s v="https://docquery.fec.gov/cgi-bin/fecimg/?202101259406803318"/>
    <s v="Contributions From Individuals/Persons Other Than Political Committees"/>
  </r>
  <r>
    <s v="C00008474"/>
    <x v="4"/>
    <n v="2020"/>
    <s v="M7"/>
    <n v="2.0200717925038099E+17"/>
    <s v="11AI"/>
    <s v="A2020-1332831"/>
    <n v="1426010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6-12T00:00:00"/>
    <n v="192.3"/>
    <n v="2307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23T03:04:37"/>
    <m/>
    <m/>
    <m/>
    <s v="F3X"/>
    <n v="4.0717202017909898E+18"/>
    <s v="t"/>
    <m/>
    <n v="2020"/>
    <s v="SA"/>
    <m/>
    <n v="4.0722202017936399E+18"/>
    <s v="http://docquery.fec.gov/cgi-bin/fecimg/?202007179250381401"/>
    <s v="Contributions From Individuals/Persons Other Than Political Committees"/>
  </r>
  <r>
    <s v="C00401224"/>
    <x v="2"/>
    <n v="2020"/>
    <s v="M10"/>
    <n v="2.0201214937640899E+17"/>
    <s v="11AI"/>
    <s v="SA11AI_297628397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3"/>
    <n v="1.9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BOLLIER FOR KANSAS (C00723122)"/>
    <n v="2020"/>
    <s v="SA"/>
    <m/>
    <n v="4.0121202121098301E+18"/>
    <s v="https://docquery.fec.gov/cgi-bin/fecimg/?202012149376409330"/>
    <s v="Contributions From Individuals/Persons Other Than Political Committees"/>
  </r>
  <r>
    <s v="C00401224"/>
    <x v="2"/>
    <n v="2020"/>
    <s v="M10"/>
    <n v="2.0201214937640899E+17"/>
    <s v="11AI"/>
    <s v="SA11AI_297628399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3"/>
    <n v="1.9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JAIME HARRISON FOR US SENATE (C00696153)"/>
    <n v="2020"/>
    <s v="SA"/>
    <m/>
    <n v="4.0121202121098301E+18"/>
    <s v="https://docquery.fec.gov/cgi-bin/fecimg/?202012149376409332"/>
    <s v="Contributions From Individuals/Persons Other Than Political Committees"/>
  </r>
  <r>
    <s v="C00401224"/>
    <x v="2"/>
    <n v="2020"/>
    <s v="M10"/>
    <n v="2.0201214937640899E+17"/>
    <s v="11AI"/>
    <s v="SA11AI_297628400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3"/>
    <n v="1.9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JON OSSOFF FOR SENATE (C00718866)"/>
    <n v="2020"/>
    <s v="SA"/>
    <m/>
    <n v="4.0121202121098301E+18"/>
    <s v="https://docquery.fec.gov/cgi-bin/fecimg/?202012149376409331"/>
    <s v="Contributions From Individuals/Persons Other Than Political Committees"/>
  </r>
  <r>
    <s v="C00401224"/>
    <x v="2"/>
    <n v="2020"/>
    <s v="M10"/>
    <n v="2.0201214937640899E+17"/>
    <s v="11AI"/>
    <s v="SA11AI_297628402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3"/>
    <n v="1.9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CAL FOR NC (C00709410)"/>
    <n v="2020"/>
    <s v="SA"/>
    <m/>
    <n v="4.0121202121098301E+18"/>
    <s v="https://docquery.fec.gov/cgi-bin/fecimg/?202012149376409331"/>
    <s v="Contributions From Individuals/Persons Other Than Political Committees"/>
  </r>
  <r>
    <s v="C00401224"/>
    <x v="2"/>
    <n v="2020"/>
    <s v="M10"/>
    <n v="2.0201214937640899E+17"/>
    <s v="11AI"/>
    <s v="SA11AI_297628403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DR. ALAN GROSS FOR U.S. SENATE (C00710822)"/>
    <n v="2020"/>
    <s v="SA"/>
    <m/>
    <n v="4.0121202121098301E+18"/>
    <s v="https://docquery.fec.gov/cgi-bin/fecimg/?202012149376409332"/>
    <s v="Contributions From Individuals/Persons Other Than Political Committees"/>
  </r>
  <r>
    <s v="C00401224"/>
    <x v="2"/>
    <n v="2020"/>
    <s v="M10"/>
    <n v="2.0201214937640899E+17"/>
    <s v="11AI"/>
    <s v="SA11AI_297628404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1"/>
    <m/>
    <m/>
    <m/>
    <s v="F3X"/>
    <n v="4.1216202019742802E+18"/>
    <s v="t"/>
    <s v="EARMARKED FOR SARA GIDEON FOR MAINE (C00709899)"/>
    <n v="2020"/>
    <s v="SA"/>
    <m/>
    <n v="4.0121202121098301E+18"/>
    <s v="https://docquery.fec.gov/cgi-bin/fecimg/?202012149376409332"/>
    <s v="Contributions From Individuals/Persons Other Than Political Committees"/>
  </r>
  <r>
    <s v="C00401224"/>
    <x v="2"/>
    <n v="2020"/>
    <s v="M10"/>
    <n v="2.0201214937640899E+17"/>
    <s v="11AI"/>
    <s v="SA11AI_297628406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MONTANANS FOR BULLOCK (C00741611)"/>
    <n v="2020"/>
    <s v="SA"/>
    <m/>
    <n v="4.0121202121098301E+18"/>
    <s v="https://docquery.fec.gov/cgi-bin/fecimg/?202012149376409331"/>
    <s v="Contributions From Individuals/Persons Other Than Political Committees"/>
  </r>
  <r>
    <s v="C00401224"/>
    <x v="2"/>
    <n v="2020"/>
    <s v="M10"/>
    <n v="2.0201214937640899E+17"/>
    <s v="11AI"/>
    <s v="SA11AI_297628407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PETERS FOR MICHIGAN (C00437889)"/>
    <n v="2020"/>
    <s v="SA"/>
    <m/>
    <n v="4.0121202121098301E+18"/>
    <s v="https://docquery.fec.gov/cgi-bin/fecimg/?202012149376409329"/>
    <s v="Contributions From Individuals/Persons Other Than Political Committees"/>
  </r>
  <r>
    <s v="C00401224"/>
    <x v="2"/>
    <n v="2020"/>
    <s v="M10"/>
    <n v="2.0201214937640899E+17"/>
    <s v="11AI"/>
    <s v="SA11AI_297628408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MJ FOR TEXAS (C00649350)"/>
    <n v="2020"/>
    <s v="SA"/>
    <m/>
    <n v="4.0121202121098301E+18"/>
    <s v="https://docquery.fec.gov/cgi-bin/fecimg/?202012149376409329"/>
    <s v="Contributions From Individuals/Persons Other Than Political Committees"/>
  </r>
  <r>
    <s v="C00401224"/>
    <x v="2"/>
    <n v="2020"/>
    <s v="M10"/>
    <n v="2.0201214937640899E+17"/>
    <s v="11AI"/>
    <s v="SA11AI_297628410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THERESA GREENFIELD FOR IOWA (C00708164)"/>
    <n v="2020"/>
    <s v="SA"/>
    <m/>
    <n v="4.0121202121098301E+18"/>
    <s v="https://docquery.fec.gov/cgi-bin/fecimg/?202012149376409330"/>
    <s v="Contributions From Individuals/Persons Other Than Political Committees"/>
  </r>
  <r>
    <s v="C00401224"/>
    <x v="2"/>
    <n v="2020"/>
    <s v="M10"/>
    <n v="2.0201214937640899E+17"/>
    <s v="11AI"/>
    <s v="SA11AI_297628411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WARNOCK FOR GEORGIA (C00736876)"/>
    <n v="2020"/>
    <s v="SA"/>
    <m/>
    <n v="4.0121202121098301E+18"/>
    <s v="https://docquery.fec.gov/cgi-bin/fecimg/?202012149376409330"/>
    <s v="Contributions From Individuals/Persons Other Than Political Committees"/>
  </r>
  <r>
    <s v="C00401224"/>
    <x v="2"/>
    <n v="2020"/>
    <s v="M10"/>
    <n v="2.0201214937640899E+17"/>
    <s v="11AI"/>
    <s v="SA11AI_297628413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DOUG JONES FOR US SENATE (C00640623)"/>
    <n v="2020"/>
    <s v="SA"/>
    <m/>
    <n v="4.0121202121098301E+18"/>
    <s v="https://docquery.fec.gov/cgi-bin/fecimg/?202012149376409333"/>
    <s v="Contributions From Individuals/Persons Other Than Political Committees"/>
  </r>
  <r>
    <s v="C00401224"/>
    <x v="2"/>
    <n v="2020"/>
    <s v="M10"/>
    <n v="2.0201214937640899E+17"/>
    <s v="11AI"/>
    <s v="SA11AI_297628415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18T00:00:00"/>
    <n v="1.92"/>
    <n v="1.9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9:38"/>
    <m/>
    <m/>
    <m/>
    <s v="F3X"/>
    <n v="4.1216202019742802E+18"/>
    <s v="t"/>
    <s v="EARMARKED FOR HICKENLOOPER FOR COLORADO (C00716720)"/>
    <n v="2020"/>
    <s v="SA"/>
    <m/>
    <n v="4.0121202121098301E+18"/>
    <s v="https://docquery.fec.gov/cgi-bin/fecimg/?202012149376409333"/>
    <s v="Contributions From Individuals/Persons Other Than Political Committees"/>
  </r>
  <r>
    <s v="C00401224"/>
    <x v="2"/>
    <n v="2020"/>
    <s v="M10"/>
    <n v="2.0201214937640899E+17"/>
    <s v="11AI"/>
    <s v="SA11AI_302033191"/>
    <n v="1482832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9-20T00:00:00"/>
    <n v="12.26"/>
    <n v="103.56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23:06"/>
    <m/>
    <m/>
    <m/>
    <s v="F3X"/>
    <n v="4.1216202019742802E+18"/>
    <s v="t"/>
    <s v="EARMARKED FOR DEMOCRATIC ACTION (C00562983)"/>
    <n v="2020"/>
    <s v="SA"/>
    <m/>
    <n v="4.0121202121167299E+18"/>
    <s v="https://docquery.fec.gov/cgi-bin/fecimg/?202012149376409648"/>
    <s v="Contributions From Individuals/Persons Other Than Political Committees"/>
  </r>
  <r>
    <s v="C00401224"/>
    <x v="2"/>
    <n v="2020"/>
    <s v="M10"/>
    <n v="2.0201214937640899E+17"/>
    <s v="11AI"/>
    <s v="SA11AI_304211655"/>
    <n v="1482832"/>
    <m/>
    <s v="IND"/>
    <s v="INDIVIDUAL"/>
    <m/>
    <m/>
    <s v="FRASER, JANE"/>
    <s v="V"/>
    <m/>
    <s v="U"/>
    <s v="JANE"/>
    <m/>
    <s v="FRASER"/>
    <m/>
    <s v="320 FLORIDA AVE NE 922"/>
    <m/>
    <s v="WASHINGTON"/>
    <s v="DC"/>
    <n v="20002"/>
    <s v="SMITHSONIAN INSTITUTION"/>
    <s v="EXHIBIT DESIGNER"/>
    <m/>
    <m/>
    <m/>
    <s v="EARMARK"/>
    <m/>
    <m/>
    <d v="2020-09-21T00:00:00"/>
    <n v="35"/>
    <n v="3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25:07"/>
    <m/>
    <m/>
    <m/>
    <s v="F3X"/>
    <n v="4.1216202019742802E+18"/>
    <s v="t"/>
    <s v="EARMARKED FOR MARK KELLY FOR SENATE (C00696526)"/>
    <n v="2020"/>
    <s v="SA"/>
    <m/>
    <n v="4.0121202121205499E+18"/>
    <s v="https://docquery.fec.gov/cgi-bin/fecimg/?202012149376409333"/>
    <s v="Contributions From Individuals/Persons Other Than Political Committees"/>
  </r>
  <r>
    <s v="C00401224"/>
    <x v="2"/>
    <n v="2020"/>
    <s v="M8"/>
    <n v="2.0200820926240099E+17"/>
    <s v="11AI"/>
    <s v="SA11AI_265458226"/>
    <n v="1434463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7-12T00:00:00"/>
    <n v="100"/>
    <n v="80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6:21:45"/>
    <m/>
    <m/>
    <m/>
    <s v="F3X"/>
    <n v="4.0822202018295301E+18"/>
    <s v="t"/>
    <s v="EARMARKED FOR BOWMAN FOR CONGRESS (C00709196)"/>
    <n v="2020"/>
    <s v="SA"/>
    <m/>
    <n v="4.0915202018389801E+18"/>
    <s v="http://docquery.fec.gov/cgi-bin/fecimg/?202008209262401521"/>
    <s v="Contributions From Individuals/Persons Other Than Political Committees"/>
  </r>
  <r>
    <s v="C00401224"/>
    <x v="2"/>
    <n v="2020"/>
    <s v="M8"/>
    <n v="2.0200820926240099E+17"/>
    <s v="11AI"/>
    <s v="SA11AI_267642792"/>
    <n v="1434463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7-20T00:00:00"/>
    <n v="12.26"/>
    <n v="79.04000000000000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9-16T06:26:18"/>
    <m/>
    <m/>
    <m/>
    <s v="F3X"/>
    <n v="4.0822202018295301E+18"/>
    <s v="t"/>
    <s v="EARMARKED FOR DEMOCRATIC ACTION (C00562983)"/>
    <n v="2020"/>
    <s v="SA"/>
    <m/>
    <n v="4.0915202018389801E+18"/>
    <s v="http://docquery.fec.gov/cgi-bin/fecimg/?202008209262401622"/>
    <s v="Contributions From Individuals/Persons Other Than Political Committees"/>
  </r>
  <r>
    <s v="C00580100"/>
    <x v="7"/>
    <n v="2020"/>
    <s v="M5"/>
    <n v="2.0200727926083101E+17"/>
    <s v="17A"/>
    <s v="SA17A.383368"/>
    <n v="1428849"/>
    <m/>
    <s v="IND"/>
    <s v="INDIVIDUAL"/>
    <m/>
    <m/>
    <s v="FRASER, JANET"/>
    <s v="P"/>
    <m/>
    <s v="P"/>
    <s v="JANET"/>
    <m/>
    <s v="FRASER"/>
    <m/>
    <s v="82 VILLA POINT DR"/>
    <m/>
    <s v="NEWPORT BEACH"/>
    <s v="CA"/>
    <n v="92660"/>
    <s v="RETIRED"/>
    <s v="RETIRED"/>
    <m/>
    <m/>
    <m/>
    <m/>
    <m/>
    <m/>
    <d v="2020-04-07T00:00:00"/>
    <n v="25"/>
    <n v="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7-30T03:40:34"/>
    <m/>
    <m/>
    <m/>
    <s v="F3P"/>
    <n v="4.0729202018088402E+18"/>
    <s v="t"/>
    <m/>
    <n v="2020"/>
    <s v="SA"/>
    <m/>
    <n v="4.07302020180909E+18"/>
    <s v="http://docquery.fec.gov/cgi-bin/fecimg/?202007279260831630"/>
    <s v="Contributions From Individuals/Persons Other Than Political Committees"/>
  </r>
  <r>
    <s v="C00401224"/>
    <x v="2"/>
    <n v="2020"/>
    <s v="M7"/>
    <n v="2.0200720925598598E+17"/>
    <s v="11AI"/>
    <s v="SA11AI_259227492"/>
    <n v="1427110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6-23T00:00:00"/>
    <n v="3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7:05:38"/>
    <m/>
    <m/>
    <m/>
    <s v="F3X"/>
    <n v="4.0721202017922499E+18"/>
    <s v="t"/>
    <s v="CONTRIBUTION TO ACTBLUE"/>
    <n v="2020"/>
    <s v="SA"/>
    <m/>
    <n v="4.08102020181664E+18"/>
    <s v="http://docquery.fec.gov/cgi-bin/fecimg/?202007209255986397"/>
    <s v="Contributions From Individuals/Persons Other Than Political Committees"/>
  </r>
  <r>
    <s v="C00401224"/>
    <x v="2"/>
    <n v="2020"/>
    <s v="M7"/>
    <n v="2.0200720925598598E+17"/>
    <s v="11AI"/>
    <s v="SA11AI_252143742"/>
    <n v="1427110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6-07T00:00:00"/>
    <n v="5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7:23:39"/>
    <m/>
    <m/>
    <m/>
    <s v="F3X"/>
    <n v="4.0721202017922499E+18"/>
    <s v="t"/>
    <s v="CONTRIBUTION TO ACTBLUE"/>
    <n v="2020"/>
    <s v="SA"/>
    <m/>
    <n v="4.08102020181664E+18"/>
    <s v="http://docquery.fec.gov/cgi-bin/fecimg/?202007209255986395"/>
    <s v="Contributions From Individuals/Persons Other Than Political Committees"/>
  </r>
  <r>
    <s v="C00401224"/>
    <x v="2"/>
    <n v="2020"/>
    <s v="M7"/>
    <n v="2.0200720925598598E+17"/>
    <s v="11AI"/>
    <s v="SA11AI_252143743"/>
    <n v="1427110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6-07T00:00:00"/>
    <n v="50"/>
    <n v="70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23:39"/>
    <m/>
    <m/>
    <m/>
    <s v="F3X"/>
    <n v="4.0721202017922499E+18"/>
    <s v="t"/>
    <s v="EARMARKED FOR BOWMAN FOR CONGRESS (C00709196)"/>
    <n v="2020"/>
    <s v="SA"/>
    <m/>
    <n v="4.08102020181664E+18"/>
    <s v="http://docquery.fec.gov/cgi-bin/fecimg/?202007209255986395"/>
    <s v="Contributions From Individuals/Persons Other Than Political Committees"/>
  </r>
  <r>
    <s v="C00401224"/>
    <x v="2"/>
    <n v="2020"/>
    <s v="M7"/>
    <n v="2.0200720925598598E+17"/>
    <s v="11AI"/>
    <s v="SA11AI_257046475"/>
    <n v="1427110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6-17T00:00:00"/>
    <n v="3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7:23:39"/>
    <m/>
    <m/>
    <m/>
    <s v="F3X"/>
    <n v="4.0721202017922499E+18"/>
    <s v="t"/>
    <s v="CONTRIBUTION TO ACTBLUE"/>
    <n v="2020"/>
    <s v="SA"/>
    <m/>
    <n v="4.08102020181664E+18"/>
    <s v="http://docquery.fec.gov/cgi-bin/fecimg/?202007209255986396"/>
    <s v="Contributions From Individuals/Persons Other Than Political Committees"/>
  </r>
  <r>
    <s v="C00401224"/>
    <x v="2"/>
    <n v="2020"/>
    <s v="M7"/>
    <n v="2.0200720925598598E+17"/>
    <s v="11AI"/>
    <s v="SA11AI_255827365"/>
    <n v="1427110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6-14T00:00:00"/>
    <n v="50"/>
    <n v="70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28:21"/>
    <m/>
    <m/>
    <m/>
    <s v="F3X"/>
    <n v="4.0721202017922499E+18"/>
    <s v="t"/>
    <s v="EARMARKED FOR BOWMAN FOR CONGRESS (C00709196)"/>
    <n v="2020"/>
    <s v="SA"/>
    <m/>
    <n v="4.08102020181664E+18"/>
    <s v="http://docquery.fec.gov/cgi-bin/fecimg/?202007209255986395"/>
    <s v="Contributions From Individuals/Persons Other Than Political Committees"/>
  </r>
  <r>
    <s v="C00401224"/>
    <x v="2"/>
    <n v="2020"/>
    <s v="M7"/>
    <n v="2.0200720925598598E+17"/>
    <s v="11AI"/>
    <s v="SA11AI_255939856"/>
    <n v="1427110"/>
    <m/>
    <s v="IND"/>
    <s v="INDIVIDUAL"/>
    <m/>
    <m/>
    <s v="FRASER, JANET"/>
    <s v="V"/>
    <m/>
    <s v="U"/>
    <s v="JANET"/>
    <m/>
    <s v="FRASER"/>
    <m/>
    <s v="226 SACANDAGA ROAD"/>
    <m/>
    <s v="JOHNSTOWN"/>
    <s v="NY"/>
    <n v="12095"/>
    <s v="ASCENCION"/>
    <s v="PHYSICAN"/>
    <m/>
    <m/>
    <m/>
    <s v="EARMARK"/>
    <m/>
    <m/>
    <d v="2020-06-14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7:28:21"/>
    <m/>
    <m/>
    <m/>
    <s v="F3X"/>
    <n v="4.0721202017922499E+18"/>
    <s v="t"/>
    <s v="EARMARKED FOR BIDEN FOR PRESIDENT (C00703975)"/>
    <n v="2020"/>
    <s v="SA"/>
    <m/>
    <n v="4.08102020181664E+18"/>
    <s v="http://docquery.fec.gov/cgi-bin/fecimg/?202007209255986398"/>
    <s v="Contributions From Individuals/Persons Other Than Political Committees"/>
  </r>
  <r>
    <s v="C00401224"/>
    <x v="2"/>
    <n v="2020"/>
    <s v="M7"/>
    <n v="2.0200720925598598E+17"/>
    <s v="11AI"/>
    <s v="SA11AI_258360895"/>
    <n v="1427110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6-21T00:00:00"/>
    <n v="5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8:11:02"/>
    <m/>
    <m/>
    <m/>
    <s v="F3X"/>
    <n v="4.0721202017922499E+18"/>
    <s v="t"/>
    <s v="CONTRIBUTION TO ACTBLUE"/>
    <n v="2020"/>
    <s v="SA"/>
    <m/>
    <n v="4.08102020181664E+18"/>
    <s v="http://docquery.fec.gov/cgi-bin/fecimg/?202007209255986397"/>
    <s v="Contributions From Individuals/Persons Other Than Political Committees"/>
  </r>
  <r>
    <s v="C00401224"/>
    <x v="2"/>
    <n v="2020"/>
    <s v="M7"/>
    <n v="2.0200720925598598E+17"/>
    <s v="11AI"/>
    <s v="SA11AI_255827364"/>
    <n v="1427110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06-14T00:00:00"/>
    <n v="5"/>
    <n v="4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8:30:42"/>
    <m/>
    <m/>
    <m/>
    <s v="F3X"/>
    <n v="4.0721202017922499E+18"/>
    <s v="t"/>
    <s v="CONTRIBUTION TO ACTBLUE"/>
    <n v="2020"/>
    <s v="SA"/>
    <m/>
    <n v="4.08102020181664E+18"/>
    <s v="http://docquery.fec.gov/cgi-bin/fecimg/?202007209255986396"/>
    <s v="Contributions From Individuals/Persons Other Than Political Committees"/>
  </r>
  <r>
    <s v="C00401224"/>
    <x v="2"/>
    <n v="2020"/>
    <s v="M7"/>
    <n v="2.0200720925598598E+17"/>
    <s v="11AI"/>
    <s v="SA11AI_258360896"/>
    <n v="1427110"/>
    <m/>
    <s v="IND"/>
    <s v="INDIVIDUAL"/>
    <s v="C00709196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9196"/>
    <s v="24T"/>
    <s v="EARMARKED INTERMEDIARY TREASURY OUT"/>
    <s v="EARMARK"/>
    <m/>
    <m/>
    <d v="2020-06-21T00:00:00"/>
    <n v="50"/>
    <n v="700"/>
    <s v="H0NY1614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8:33:40"/>
    <m/>
    <m/>
    <m/>
    <s v="F3X"/>
    <n v="4.0721202017922499E+18"/>
    <s v="t"/>
    <s v="EARMARKED FOR BOWMAN FOR CONGRESS (C00709196)"/>
    <n v="2020"/>
    <s v="SA"/>
    <m/>
    <n v="4.08102020181664E+18"/>
    <s v="http://docquery.fec.gov/cgi-bin/fecimg/?202007209255986397"/>
    <s v="Contributions From Individuals/Persons Other Than Political Committees"/>
  </r>
  <r>
    <s v="C00401224"/>
    <x v="2"/>
    <n v="2020"/>
    <s v="M7"/>
    <n v="2.0200720925598598E+17"/>
    <s v="11AI"/>
    <s v="SA11AI_257989259"/>
    <n v="1427110"/>
    <m/>
    <s v="IND"/>
    <s v="INDIVIDUAL"/>
    <m/>
    <m/>
    <s v="FRASER, MARY JANE"/>
    <s v="V"/>
    <m/>
    <s v="U"/>
    <s v="MARY JANE"/>
    <m/>
    <s v="FRASER"/>
    <m/>
    <s v="26291 PENNSYLVANIA AVE NE APT 20"/>
    <m/>
    <s v="KINGSTON WA"/>
    <s v="WA"/>
    <n v="98346"/>
    <s v="NOT EMPLOYED"/>
    <s v="NOT EMPLOYED"/>
    <m/>
    <m/>
    <m/>
    <s v="EARMARK"/>
    <m/>
    <m/>
    <d v="2020-06-20T00:00:00"/>
    <n v="12.26"/>
    <n v="66.7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8-11T08:33:40"/>
    <m/>
    <m/>
    <m/>
    <s v="F3X"/>
    <n v="4.0721202017922499E+18"/>
    <s v="t"/>
    <s v="EARMARKED FOR DEMOCRATIC ACTION (C00562983)"/>
    <n v="2020"/>
    <s v="SA"/>
    <m/>
    <n v="4.08102020181664E+18"/>
    <s v="http://docquery.fec.gov/cgi-bin/fecimg/?202007209255986533"/>
    <s v="Contributions From Individuals/Persons Other Than Political Committees"/>
  </r>
  <r>
    <s v="C00713289"/>
    <x v="10"/>
    <n v="2020"/>
    <s v="Q2"/>
    <n v="2.02007159245084E+17"/>
    <s v="11AI"/>
    <s v="VPF62PQBWE3"/>
    <n v="1423838"/>
    <m/>
    <s v="IND"/>
    <s v="INDIVIDUAL"/>
    <s v="C00401224"/>
    <m/>
    <s v="FRASER, JANE M."/>
    <s v="H"/>
    <m/>
    <s v="P"/>
    <s v="JANE"/>
    <s v="M."/>
    <s v="FRASER"/>
    <m/>
    <s v="7583 SALT CREEK RD"/>
    <m/>
    <s v="PUEBLO"/>
    <s v="CO"/>
    <n v="810049787"/>
    <s v="COLORADO STATE UNIVERSITY PUEBLO"/>
    <s v="PROFESSOR"/>
    <s v="C00401224"/>
    <s v="15E"/>
    <s v="EARMARKED CONTRIBUTION"/>
    <m/>
    <m/>
    <m/>
    <d v="2020-06-17T00:00:00"/>
    <n v="250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8-13T03:35:24"/>
    <m/>
    <s v="VPF62PQBWE3E"/>
    <s v="SA11AI"/>
    <s v="F3"/>
    <n v="4.0715202017906002E+18"/>
    <s v="t"/>
    <s v="* EARMARKED CONTRIBUTION: SEE BELOW"/>
    <n v="2020"/>
    <s v="SA"/>
    <m/>
    <n v="4.0813202018281498E+18"/>
    <s v="http://docquery.fec.gov/cgi-bin/fecimg/?202007159245084192"/>
    <s v="Contributions From Individuals/Persons Other Than Political Committees"/>
  </r>
  <r>
    <s v="C00694323"/>
    <x v="8"/>
    <n v="2020"/>
    <s v="Q3"/>
    <n v="2.0210125940735398E+17"/>
    <s v="11AI"/>
    <s v="A0A3C8F53E4014696B4B"/>
    <n v="1490496"/>
    <m/>
    <s v="IND"/>
    <s v="INDIVIDUAL"/>
    <m/>
    <m/>
    <s v="FRASER, JANET"/>
    <s v="V"/>
    <m/>
    <s v="U"/>
    <s v="JANET"/>
    <m/>
    <s v="FRASER"/>
    <m/>
    <s v="82 VILLA POINT DR"/>
    <m/>
    <s v="NEWPORT BEACH"/>
    <s v="CA"/>
    <n v="926606244"/>
    <s v="RETIRED"/>
    <s v="RETIRED"/>
    <m/>
    <m/>
    <m/>
    <s v="EARMARKED FOR KIM KLACIK FOR CONGRESS (C00726117)"/>
    <m/>
    <m/>
    <d v="2020-08-25T00:00:00"/>
    <n v="25"/>
    <n v="10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25T14:07:45"/>
    <m/>
    <m/>
    <m/>
    <s v="F3X"/>
    <n v="4.0125202121377597E+18"/>
    <s v="t"/>
    <m/>
    <n v="2020"/>
    <s v="SA"/>
    <m/>
    <n v="4.0224202111768499E+18"/>
    <s v="https://docquery.fec.gov/cgi-bin/fecimg/?202101259407354868"/>
    <s v="Contributions From Individuals/Persons Other Than Political Committees"/>
  </r>
  <r>
    <s v="C00694323"/>
    <x v="8"/>
    <n v="2019"/>
    <s v="YE"/>
    <n v="2.0210107939492998E+17"/>
    <s v="11AI"/>
    <s v="AFC83FF54539D42AE869"/>
    <n v="1485974"/>
    <m/>
    <s v="IND"/>
    <s v="INDIVIDUAL"/>
    <m/>
    <m/>
    <s v="FRASER, JANET"/>
    <s v="V"/>
    <m/>
    <s v="U"/>
    <s v="JANET"/>
    <m/>
    <s v="FRASER"/>
    <m/>
    <s v="82 VILLA POINT DR"/>
    <m/>
    <s v="NEWPORT BEACH"/>
    <s v="CA"/>
    <n v="926606244"/>
    <s v="RETIRED"/>
    <s v="RETIRED"/>
    <m/>
    <m/>
    <m/>
    <s v="EARMARKED FOR TRUMP MAKE AMERICA GREAT AGAIN COMMITTEE (C00618371)"/>
    <m/>
    <m/>
    <d v="2019-11-03T00:00:00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10T12:24:59"/>
    <m/>
    <m/>
    <m/>
    <s v="F3X"/>
    <n v="4.0111202120681999E+18"/>
    <s v="t"/>
    <m/>
    <n v="2020"/>
    <s v="SA"/>
    <m/>
    <n v="4.0209202111256699E+18"/>
    <s v="https://docquery.fec.gov/cgi-bin/fecimg/?202101079394930879"/>
    <s v="Contributions From Individuals/Persons Other Than Political Committees"/>
  </r>
  <r>
    <s v="C00694323"/>
    <x v="8"/>
    <n v="2019"/>
    <s v="YE"/>
    <n v="2.02101079394972E+17"/>
    <s v="11AI"/>
    <s v="A1F724803663E4D7F8ED"/>
    <n v="1485974"/>
    <m/>
    <s v="IND"/>
    <s v="INDIVIDUAL"/>
    <m/>
    <m/>
    <s v="FRASER, JANET"/>
    <s v="V"/>
    <m/>
    <s v="U"/>
    <s v="JANET"/>
    <m/>
    <s v="FRASER"/>
    <m/>
    <s v="82 VILLA POINT DR"/>
    <m/>
    <s v="NEWPORT BEACH"/>
    <s v="CA"/>
    <n v="926606244"/>
    <s v="RETIRED"/>
    <s v="RETIRED"/>
    <m/>
    <m/>
    <m/>
    <s v="EARMARKED FOR DONALD J. TRUMP FOR PRESIDENT, INC. (C00580100)"/>
    <m/>
    <m/>
    <d v="2019-11-13T00:00:00"/>
    <n v="20"/>
    <n v="7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10T12:29:34"/>
    <m/>
    <m/>
    <m/>
    <s v="F3X"/>
    <n v="4.0111202120681999E+18"/>
    <s v="t"/>
    <m/>
    <n v="2020"/>
    <s v="SA"/>
    <m/>
    <n v="4.0209202111258102E+18"/>
    <s v="https://docquery.fec.gov/cgi-bin/fecimg/?202101079394972774"/>
    <s v="Contributions From Individuals/Persons Other Than Political Committees"/>
  </r>
  <r>
    <s v="C00008474"/>
    <x v="4"/>
    <n v="2020"/>
    <s v="M9"/>
    <n v="2.0200918926743299E+17"/>
    <s v="11AI"/>
    <s v="A2020-1677434"/>
    <n v="143964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8-07T00:00:00"/>
    <n v="192.3"/>
    <n v="3076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23T03:50:42"/>
    <m/>
    <m/>
    <m/>
    <s v="F3X"/>
    <n v="4.0919202018490399E+18"/>
    <s v="t"/>
    <m/>
    <n v="2020"/>
    <s v="SA"/>
    <m/>
    <n v="4.0923202018493199E+18"/>
    <s v="http://docquery.fec.gov/cgi-bin/fecimg/?202009189267433208"/>
    <s v="Contributions From Individuals/Persons Other Than Political Committees"/>
  </r>
  <r>
    <s v="C00008474"/>
    <x v="4"/>
    <n v="2020"/>
    <s v="M9"/>
    <n v="2.0200918926743299E+17"/>
    <s v="11AI"/>
    <s v="A2020-1862112"/>
    <n v="1439641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8-21T00:00:00"/>
    <n v="192.3"/>
    <n v="3269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23T03:50:42"/>
    <m/>
    <m/>
    <m/>
    <s v="F3X"/>
    <n v="4.0919202018490399E+18"/>
    <s v="t"/>
    <m/>
    <n v="2020"/>
    <s v="SA"/>
    <m/>
    <n v="4.0923202018493199E+18"/>
    <s v="http://docquery.fec.gov/cgi-bin/fecimg/?202009189267433208"/>
    <s v="Contributions From Individuals/Persons Other Than Political Committees"/>
  </r>
  <r>
    <s v="C00580100"/>
    <x v="7"/>
    <n v="2020"/>
    <s v="30G"/>
    <n v="2.0210421944517699E+17"/>
    <s v="17A"/>
    <s v="SA17A.403627"/>
    <n v="1514152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RETIRED"/>
    <s v="RETIRED"/>
    <m/>
    <m/>
    <m/>
    <s v="EARMARKED THROUGH WINRED [SA17A.5072]: SEE REDESIGNATION; DEBT RETIREMENT"/>
    <m/>
    <m/>
    <d v="2020-11-04T00:00:00"/>
    <n v="100"/>
    <n v="1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5-06T03:48:21"/>
    <m/>
    <m/>
    <m/>
    <s v="F3P"/>
    <n v="4.0423202112787599E+18"/>
    <s v="t"/>
    <m/>
    <n v="2020"/>
    <s v="SA"/>
    <m/>
    <n v="4.0506202112856699E+18"/>
    <s v="https://docquery.fec.gov/cgi-bin/fecimg/?202104219445177729"/>
    <s v="Contributions From Individuals/Persons Other Than Political Committees"/>
  </r>
  <r>
    <s v="C00580100"/>
    <x v="7"/>
    <n v="2020"/>
    <s v="30G"/>
    <n v="2.0210421944517699E+17"/>
    <s v="17A"/>
    <s v="SA17A.403628"/>
    <n v="1514152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RETIRED"/>
    <s v="RETIRED"/>
    <m/>
    <n v="15"/>
    <s v="CONTRIBUTION"/>
    <s v="REDESIGNATION TO RECOUNT - SEE LINE SA21"/>
    <s v="X"/>
    <m/>
    <d v="2020-11-04T00:00:00"/>
    <n v="-50"/>
    <n v="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5-06T03:48:21"/>
    <m/>
    <m/>
    <m/>
    <s v="F3P"/>
    <n v="4.0423202112787599E+18"/>
    <s v="t"/>
    <m/>
    <n v="2020"/>
    <s v="SA"/>
    <m/>
    <n v="4.0506202112856699E+18"/>
    <s v="https://docquery.fec.gov/cgi-bin/fecimg/?202104219445177730"/>
    <s v="Contributions From Individuals/Persons Other Than Political Committees"/>
  </r>
  <r>
    <s v="C00700534"/>
    <x v="6"/>
    <n v="2020"/>
    <s v="30G"/>
    <n v="2.0201203934102202E+17"/>
    <s v="11AI"/>
    <s v="VTQX8V0QSD0"/>
    <n v="1480717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11-01T00:00:00"/>
    <n v="50"/>
    <n v="4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13T03:41:14"/>
    <m/>
    <s v="VTQX8V0QSD0E"/>
    <s v="SA11AI"/>
    <s v="F3"/>
    <n v="4.1205202019644401E+18"/>
    <s v="t"/>
    <s v="* EARMARKED CONTRIBUTION: SEE BELOW"/>
    <n v="2020"/>
    <s v="SA"/>
    <m/>
    <n v="4.1213202019738798E+18"/>
    <s v="http://docquery.fec.gov/cgi-bin/fecimg/?202012039341022554"/>
    <s v="Contributions From Individuals/Persons Other Than Political Committees"/>
  </r>
  <r>
    <s v="C00580100"/>
    <x v="7"/>
    <n v="2020"/>
    <s v="30G"/>
    <n v="2.0210421944533699E+17"/>
    <n v="21"/>
    <s v="SA21.403629"/>
    <n v="1514152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RETIRED"/>
    <s v="RETIRED"/>
    <m/>
    <n v="15"/>
    <s v="CONTRIBUTION"/>
    <s v="REDESIGNATION FROM GENERAL"/>
    <s v="X"/>
    <m/>
    <d v="2020-11-04T00:00:00"/>
    <n v="50"/>
    <n v="100"/>
    <m/>
    <m/>
    <m/>
    <m/>
    <m/>
    <m/>
    <m/>
    <m/>
    <m/>
    <m/>
    <m/>
    <m/>
    <m/>
    <m/>
    <m/>
    <m/>
    <m/>
    <m/>
    <m/>
    <m/>
    <m/>
    <s v="E2020"/>
    <s v="RECOUNT"/>
    <s v="RECOUNT"/>
    <n v="2020"/>
    <s v="A"/>
    <s v="ADD"/>
    <s v="ITEMIZED RECEIPTS"/>
    <d v="2021-05-06T03:54:24"/>
    <m/>
    <m/>
    <m/>
    <s v="F3P"/>
    <n v="4.0423202112787599E+18"/>
    <s v="t"/>
    <m/>
    <n v="2020"/>
    <s v="SA"/>
    <m/>
    <n v="4.0506202112861501E+18"/>
    <s v="https://docquery.fec.gov/cgi-bin/fecimg/?202104219445337323"/>
    <s v="Other Receipts"/>
  </r>
  <r>
    <s v="C00618371"/>
    <x v="11"/>
    <n v="2020"/>
    <s v="30G"/>
    <n v="2.0210218942841501E+17"/>
    <s v="11AI"/>
    <s v="SA11AI.420418"/>
    <n v="1500723"/>
    <m/>
    <s v="IND"/>
    <s v="INDIVIDUAL"/>
    <m/>
    <m/>
    <s v="FRASER, JANET"/>
    <s v="N"/>
    <m/>
    <s v="J"/>
    <s v="JANET"/>
    <m/>
    <s v="FRASER"/>
    <m/>
    <s v="33 W EVERGLADE AVE"/>
    <m/>
    <s v="CLOVIS"/>
    <s v="CA"/>
    <n v="93619"/>
    <s v="RETIRED"/>
    <s v="RETIRED"/>
    <m/>
    <m/>
    <m/>
    <s v="EARMARKED THROUGH WINRED [SA11A1.4616]"/>
    <m/>
    <m/>
    <d v="2020-11-09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3-03T14:00:47"/>
    <m/>
    <m/>
    <m/>
    <s v="F3X"/>
    <n v="4.0219202111582602E+18"/>
    <s v="t"/>
    <m/>
    <n v="2020"/>
    <s v="SA"/>
    <m/>
    <n v="4.0302202111907502E+18"/>
    <s v="https://docquery.fec.gov/cgi-bin/fecimg/?202102189428415479"/>
    <s v="Contributions From Individuals/Persons Other Than Political Committees"/>
  </r>
  <r>
    <s v="C00694323"/>
    <x v="8"/>
    <n v="2020"/>
    <s v="YE"/>
    <n v="2.0210129941417299E+17"/>
    <s v="11AI"/>
    <s v="ABF7DA15D8C4D4731B67"/>
    <n v="1494216"/>
    <m/>
    <s v="IND"/>
    <s v="INDIVIDUAL"/>
    <s v="C00003418"/>
    <m/>
    <s v="FRASER, JANET"/>
    <s v="V"/>
    <m/>
    <s v="U"/>
    <s v="JANET"/>
    <m/>
    <s v="FRASER"/>
    <m/>
    <s v="33 W EVERGLADE AVE"/>
    <m/>
    <s v="CLOVIS"/>
    <s v="CA"/>
    <n v="936198745"/>
    <s v="RETIRED"/>
    <s v="RETIRED"/>
    <s v="C00003418"/>
    <s v="15E"/>
    <s v="EARMARKED CONTRIBUTION"/>
    <s v="EARMARKED FOR REPUBLICAN NATIONAL COMMITTEE (C00003418)"/>
    <m/>
    <m/>
    <d v="2020-11-26T00:00:00"/>
    <n v="100"/>
    <n v="15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3-10T04:14:47"/>
    <m/>
    <m/>
    <m/>
    <s v="F3X"/>
    <n v="4.0131202121392901E+18"/>
    <s v="t"/>
    <m/>
    <n v="2020"/>
    <s v="SA"/>
    <m/>
    <n v="4.0309202112377298E+18"/>
    <s v="https://docquery.fec.gov/cgi-bin/fecimg/?202101299414173171"/>
    <s v="Contributions From Individuals/Persons Other Than Political Committees"/>
  </r>
  <r>
    <s v="C00694323"/>
    <x v="8"/>
    <n v="2020"/>
    <s v="Q1"/>
    <n v="2.0210107939635398E+17"/>
    <s v="11AI"/>
    <s v="A7A1B8EC6F9964F46839"/>
    <n v="1485991"/>
    <m/>
    <s v="IND"/>
    <s v="INDIVIDUAL"/>
    <m/>
    <m/>
    <s v="FRASER, JANET"/>
    <s v="V"/>
    <m/>
    <s v="U"/>
    <s v="JANET"/>
    <m/>
    <s v="FRASER"/>
    <m/>
    <s v="33 W EVERGLADE AVE"/>
    <m/>
    <s v="CLOVIS"/>
    <s v="CA"/>
    <n v="936198745"/>
    <s v="PGE"/>
    <s v="SUPERVISOR"/>
    <m/>
    <m/>
    <m/>
    <s v="EARMARKED FOR DONALD J. TRUMP FOR PRESIDENT, INC. (C00580100)"/>
    <m/>
    <m/>
    <d v="2020-01-28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2-12T04:22:29"/>
    <m/>
    <m/>
    <m/>
    <s v="F3X"/>
    <n v="4.0111202120681999E+18"/>
    <s v="t"/>
    <m/>
    <n v="2020"/>
    <s v="SA"/>
    <m/>
    <n v="4.0211202111351501E+18"/>
    <s v="https://docquery.fec.gov/cgi-bin/fecimg/?202101079396354091"/>
    <s v="Contributions From Individuals/Persons Other Than Political Committees"/>
  </r>
  <r>
    <s v="C00008474"/>
    <x v="4"/>
    <n v="2020"/>
    <s v="M10"/>
    <n v="2.0201020929738499E+17"/>
    <s v="11AI"/>
    <s v="A2020-2027512"/>
    <n v="1457354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9-04T00:00:00"/>
    <n v="192.3"/>
    <n v="3461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2T03:47:58"/>
    <m/>
    <m/>
    <m/>
    <s v="F3X"/>
    <n v="4.1021202018822298E+18"/>
    <s v="t"/>
    <m/>
    <n v="2020"/>
    <s v="SA"/>
    <m/>
    <n v="4.1202202019629199E+18"/>
    <s v="http://docquery.fec.gov/cgi-bin/fecimg/?202010209297385287"/>
    <s v="Contributions From Individuals/Persons Other Than Political Committees"/>
  </r>
  <r>
    <s v="C00008474"/>
    <x v="4"/>
    <n v="2020"/>
    <s v="M10"/>
    <n v="2.0201020929738499E+17"/>
    <s v="11AI"/>
    <s v="A2020-2107657"/>
    <n v="1457354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09-18T00:00:00"/>
    <n v="192.3"/>
    <n v="3653.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2T03:47:58"/>
    <m/>
    <m/>
    <m/>
    <s v="F3X"/>
    <n v="4.1021202018822298E+18"/>
    <s v="t"/>
    <m/>
    <n v="2020"/>
    <s v="SA"/>
    <m/>
    <n v="4.1202202019629199E+18"/>
    <s v="http://docquery.fec.gov/cgi-bin/fecimg/?202010209297385287"/>
    <s v="Contributions From Individuals/Persons Other Than Political Committees"/>
  </r>
  <r>
    <s v="C00709196"/>
    <x v="3"/>
    <n v="2020"/>
    <s v="Q2"/>
    <n v="2.0201014928588198E+17"/>
    <s v="11AI"/>
    <n v="4751508"/>
    <n v="1448543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06-07T00:00:00"/>
    <n v="5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11-11T04:27:11"/>
    <m/>
    <s v="4751508E"/>
    <s v="SA11AI"/>
    <s v="F3"/>
    <n v="4.1015202018575498E+18"/>
    <s v="t"/>
    <s v="* EARMARKED CONTRIBUTION: SEE BELOW"/>
    <n v="2020"/>
    <s v="SA"/>
    <m/>
    <n v="4.1110202018934799E+18"/>
    <s v="http://docquery.fec.gov/cgi-bin/fecimg/?202010149285882376"/>
    <s v="Contributions From Individuals/Persons Other Than Political Committees"/>
  </r>
  <r>
    <s v="C00709196"/>
    <x v="3"/>
    <n v="2020"/>
    <s v="Q2"/>
    <n v="2.0201014928588198E+17"/>
    <s v="11AI"/>
    <n v="4878932"/>
    <n v="1448543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06-14T00:00:00"/>
    <n v="50"/>
    <n v="6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11-11T04:27:11"/>
    <m/>
    <s v="4878932E"/>
    <s v="SA11AI"/>
    <s v="F3"/>
    <n v="4.1015202018575498E+18"/>
    <s v="t"/>
    <s v="* EARMARKED CONTRIBUTION: SEE BELOW"/>
    <n v="2020"/>
    <s v="SA"/>
    <m/>
    <n v="4.1110202018934799E+18"/>
    <s v="http://docquery.fec.gov/cgi-bin/fecimg/?202010149285882376"/>
    <s v="Contributions From Individuals/Persons Other Than Political Committees"/>
  </r>
  <r>
    <s v="C00709196"/>
    <x v="3"/>
    <n v="2020"/>
    <s v="Q2"/>
    <n v="2.0201014928588198E+17"/>
    <s v="11AI"/>
    <n v="5023876"/>
    <n v="1448543"/>
    <m/>
    <s v="IND"/>
    <s v="INDIVIDUAL"/>
    <s v="C00401224"/>
    <m/>
    <s v="FRASER, JANE M"/>
    <s v="H"/>
    <m/>
    <s v="P"/>
    <s v="JANE M"/>
    <m/>
    <s v="FRASER"/>
    <m/>
    <s v="7583 SALT CREEK RD"/>
    <m/>
    <s v="PUEBLO"/>
    <s v="CO"/>
    <n v="810049787"/>
    <s v="COLORADO STATE UNIVERSITY - PUEBLO"/>
    <s v="PROFESSOR"/>
    <s v="C00401224"/>
    <s v="15E"/>
    <s v="EARMARKED CONTRIBUTION"/>
    <m/>
    <m/>
    <m/>
    <d v="2020-06-21T00:00:00"/>
    <n v="50"/>
    <n v="7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11-11T04:27:11"/>
    <m/>
    <s v="5023876E"/>
    <s v="SA11AI"/>
    <s v="F3"/>
    <n v="4.1015202018575498E+18"/>
    <s v="t"/>
    <s v="* EARMARKED CONTRIBUTION: SEE BELOW"/>
    <n v="2020"/>
    <s v="SA"/>
    <m/>
    <n v="4.1110202018934799E+18"/>
    <s v="http://docquery.fec.gov/cgi-bin/fecimg/?202010149285882377"/>
    <s v="Contributions From Individuals/Persons Other Than Political Committees"/>
  </r>
  <r>
    <s v="C00008474"/>
    <x v="4"/>
    <n v="2020"/>
    <s v="YE"/>
    <n v="2.02101299418056E+17"/>
    <s v="11AI"/>
    <s v="A2020-2622546"/>
    <n v="1494727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1-27T00:00:00"/>
    <n v="192.3"/>
    <n v="4615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4:48"/>
    <m/>
    <m/>
    <m/>
    <s v="F3X"/>
    <n v="4.01302021213907E+18"/>
    <s v="t"/>
    <m/>
    <n v="2020"/>
    <s v="SA"/>
    <m/>
    <n v="4.0203202121404099E+18"/>
    <s v="https://docquery.fec.gov/cgi-bin/fecimg/?202101299418056980"/>
    <s v="Contributions From Individuals/Persons Other Than Political Committees"/>
  </r>
  <r>
    <s v="C00008474"/>
    <x v="4"/>
    <n v="2020"/>
    <s v="YE"/>
    <n v="2.02101299418056E+17"/>
    <s v="11AI"/>
    <s v="A2020-2681541"/>
    <n v="1494727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2-11T00:00:00"/>
    <n v="192.3"/>
    <n v="4807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4:48"/>
    <m/>
    <m/>
    <m/>
    <s v="F3X"/>
    <n v="4.01302021213907E+18"/>
    <s v="t"/>
    <m/>
    <n v="2020"/>
    <s v="SA"/>
    <m/>
    <n v="4.0203202121404099E+18"/>
    <s v="https://docquery.fec.gov/cgi-bin/fecimg/?202101299418056981"/>
    <s v="Contributions From Individuals/Persons Other Than Political Committees"/>
  </r>
  <r>
    <s v="C00008474"/>
    <x v="4"/>
    <n v="2020"/>
    <s v="YE"/>
    <n v="2.02101299418056E+17"/>
    <s v="11AI"/>
    <s v="A2020-2737651"/>
    <n v="1494727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2-24T00:00:00"/>
    <n v="192.3"/>
    <n v="499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4:48"/>
    <m/>
    <m/>
    <m/>
    <s v="F3X"/>
    <n v="4.01302021213907E+18"/>
    <s v="t"/>
    <m/>
    <n v="2020"/>
    <s v="SA"/>
    <m/>
    <n v="4.0203202121404099E+18"/>
    <s v="https://docquery.fec.gov/cgi-bin/fecimg/?202101299418056981"/>
    <s v="Contributions From Individuals/Persons Other Than Political Committees"/>
  </r>
  <r>
    <s v="C00401224"/>
    <x v="2"/>
    <n v="2020"/>
    <s v="12G"/>
    <n v="2.0201217938828602E+17"/>
    <s v="11AI"/>
    <s v="SA11AI_320746187"/>
    <n v="1483193"/>
    <m/>
    <s v="IND"/>
    <s v="INDIVIDUAL"/>
    <s v="C00700534"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s v="C00700534"/>
    <s v="24T"/>
    <s v="EARMARKED INTERMEDIARY TREASURY OUT"/>
    <s v="EARMARK"/>
    <m/>
    <m/>
    <d v="2020-10-09T00:00:00"/>
    <n v="100"/>
    <n v="350"/>
    <s v="H8TX14120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13:18"/>
    <m/>
    <m/>
    <m/>
    <s v="F3X"/>
    <n v="4.1219202019782098E+18"/>
    <s v="t"/>
    <s v="EARMARKED FOR ADRIENNE BELL FOR CONGRESS (C00700534)"/>
    <n v="2020"/>
    <s v="SA"/>
    <m/>
    <n v="4.0203202120131599E+18"/>
    <s v="https://docquery.fec.gov/cgi-bin/fecimg/?202012179388286340"/>
    <s v="Contributions From Individuals/Persons Other Than Political Committees"/>
  </r>
  <r>
    <s v="C00401224"/>
    <x v="2"/>
    <n v="2020"/>
    <s v="12G"/>
    <n v="2.0201217938828602E+17"/>
    <s v="11AI"/>
    <s v="SA11AI_320746443"/>
    <n v="1483193"/>
    <m/>
    <s v="IND"/>
    <s v="INDIVIDUAL"/>
    <m/>
    <m/>
    <s v="FRASER, JANE M"/>
    <s v="V"/>
    <m/>
    <s v="U"/>
    <s v="JANE M"/>
    <m/>
    <s v="FRASER"/>
    <m/>
    <s v="7583 SALT CREEK ROAD"/>
    <m/>
    <s v="PUEBLO"/>
    <s v="CO"/>
    <n v="81004"/>
    <s v="COLORADO STATE UNIVERSITY - PUEBLO"/>
    <s v="PROFESSOR"/>
    <m/>
    <m/>
    <m/>
    <s v="CONTRIBUTION TO ACT BLUE"/>
    <m/>
    <m/>
    <d v="2020-10-09T00:00:00"/>
    <n v="5"/>
    <n v="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13:28"/>
    <m/>
    <m/>
    <m/>
    <s v="F3X"/>
    <n v="4.1219202019782098E+18"/>
    <s v="t"/>
    <s v="CONTRIBUTION TO ACTBLUE"/>
    <n v="2020"/>
    <s v="SA"/>
    <m/>
    <n v="4.0203202120131599E+18"/>
    <s v="https://docquery.fec.gov/cgi-bin/fecimg/?202012179388286340"/>
    <s v="Contributions From Individuals/Persons Other Than Political Committees"/>
  </r>
  <r>
    <s v="C00580100"/>
    <x v="7"/>
    <n v="2020"/>
    <s v="M9"/>
    <n v="2.0210420944488301E+17"/>
    <s v="17A"/>
    <s v="SA17A.294839"/>
    <n v="1513941"/>
    <m/>
    <s v="IND"/>
    <s v="INDIVIDUAL"/>
    <m/>
    <m/>
    <s v="FRASER, JANET"/>
    <s v="P"/>
    <m/>
    <s v="P"/>
    <s v="JANET"/>
    <m/>
    <s v="FRASER"/>
    <m/>
    <s v="772 LINDA LN"/>
    <m/>
    <s v="MIDDLEBURG"/>
    <s v="FL"/>
    <n v="32068"/>
    <s v="USDOL"/>
    <s v="INDUSTRIAL HYGIENIST"/>
    <m/>
    <m/>
    <m/>
    <s v="EARMARKED THROUGH WINRED [SA17A.4933]"/>
    <m/>
    <m/>
    <d v="2020-08-16T00:00:00"/>
    <n v="42"/>
    <n v="4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1-05-20T03:54:08"/>
    <m/>
    <m/>
    <m/>
    <s v="F3P"/>
    <n v="4.0423202112787599E+18"/>
    <s v="t"/>
    <m/>
    <n v="2020"/>
    <s v="SA"/>
    <m/>
    <n v="4.05202021129566E+18"/>
    <s v="https://docquery.fec.gov/cgi-bin/fecimg/?202104209444883816"/>
    <s v="Contributions From Individuals/Persons Other Than Political Committees"/>
  </r>
  <r>
    <s v="C00580100"/>
    <x v="7"/>
    <n v="2020"/>
    <s v="M9"/>
    <n v="2.0210420944488301E+17"/>
    <s v="17A"/>
    <s v="SA17A.294841"/>
    <n v="1513941"/>
    <m/>
    <s v="IND"/>
    <s v="INDIVIDUAL"/>
    <m/>
    <m/>
    <s v="FRASER, JANET L"/>
    <s v="P"/>
    <m/>
    <s v="P"/>
    <s v="JANET L"/>
    <m/>
    <s v="FRASER"/>
    <m/>
    <s v="82 VILLA POINT DR"/>
    <m/>
    <s v="NEWPORT BEACH"/>
    <s v="CA"/>
    <n v="92660"/>
    <s v="RETIRED"/>
    <s v="RETIRED"/>
    <m/>
    <m/>
    <m/>
    <m/>
    <m/>
    <m/>
    <d v="2020-08-07T00:00:00"/>
    <n v="25"/>
    <n v="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1-05-20T03:54:08"/>
    <m/>
    <m/>
    <m/>
    <s v="F3P"/>
    <n v="4.0423202112787599E+18"/>
    <s v="t"/>
    <m/>
    <n v="2020"/>
    <s v="SA"/>
    <m/>
    <n v="4.05202021129566E+18"/>
    <s v="https://docquery.fec.gov/cgi-bin/fecimg/?202104209444883816"/>
    <s v="Contributions From Individuals/Persons Other Than Political Committees"/>
  </r>
  <r>
    <s v="C00580100"/>
    <x v="7"/>
    <n v="2020"/>
    <s v="YE"/>
    <n v="2.02105209447092E+17"/>
    <s v="17A"/>
    <s v="SA17A.590038"/>
    <n v="1517562"/>
    <m/>
    <s v="IND"/>
    <s v="INDIVIDUAL"/>
    <m/>
    <m/>
    <s v="FRASER, JANET"/>
    <s v="P"/>
    <m/>
    <s v="P"/>
    <s v="JANET"/>
    <m/>
    <s v="FRASER"/>
    <m/>
    <s v="82 VILLA POINT DR"/>
    <m/>
    <s v="NEWPORT BEACH"/>
    <s v="CA"/>
    <n v="92658"/>
    <s v="RETIRED"/>
    <s v="RETIRED"/>
    <m/>
    <n v="15"/>
    <s v="CONTRIBUTION"/>
    <s v="REDESIGNATION TO RECOUNT - SEE LINE SA21"/>
    <s v="X"/>
    <m/>
    <d v="2020-12-07T00:00:00"/>
    <n v="-12.5"/>
    <n v="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5-28T03:39:51"/>
    <m/>
    <m/>
    <m/>
    <s v="F3P"/>
    <n v="4.05212021129677E+18"/>
    <s v="t"/>
    <m/>
    <n v="2020"/>
    <s v="SA"/>
    <m/>
    <n v="4.05282021129762E+18"/>
    <s v="https://docquery.fec.gov/cgi-bin/fecimg/?202105209447092991"/>
    <s v="Contributions From Individuals/Persons Other Than Political Committees"/>
  </r>
  <r>
    <s v="C00580100"/>
    <x v="7"/>
    <n v="2020"/>
    <s v="YE"/>
    <n v="2.02105209447092E+17"/>
    <s v="17A"/>
    <s v="SA17A.590039"/>
    <n v="1517562"/>
    <m/>
    <s v="IND"/>
    <s v="INDIVIDUAL"/>
    <m/>
    <m/>
    <s v="FRASER, JANET L"/>
    <s v="P"/>
    <m/>
    <s v="P"/>
    <s v="JANET"/>
    <s v="L"/>
    <s v="FRASER"/>
    <m/>
    <s v="82 VILLA POINT DR"/>
    <m/>
    <s v="NEWPORT BEACH"/>
    <s v="CA"/>
    <n v="92658"/>
    <s v="RETIRED"/>
    <s v="RETIRED"/>
    <m/>
    <m/>
    <m/>
    <s v="SEE REDESIGNATION"/>
    <m/>
    <m/>
    <d v="2020-12-07T00:00:00"/>
    <n v="25"/>
    <n v="2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5-28T03:39:51"/>
    <m/>
    <m/>
    <m/>
    <s v="F3P"/>
    <n v="4.05212021129677E+18"/>
    <s v="t"/>
    <m/>
    <n v="2020"/>
    <s v="SA"/>
    <m/>
    <n v="4.05282021129762E+18"/>
    <s v="https://docquery.fec.gov/cgi-bin/fecimg/?202105209447092992"/>
    <s v="Contributions From Individuals/Persons Other Than Political Committees"/>
  </r>
  <r>
    <s v="C00580100"/>
    <x v="7"/>
    <n v="2020"/>
    <s v="M7"/>
    <n v="2.0210420944454099E+17"/>
    <n v="18"/>
    <s v="SA18.480283"/>
    <n v="1513938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RETIRED"/>
    <s v="RETIRED"/>
    <m/>
    <m/>
    <m/>
    <s v="JFC TRANSFER: TRUMP MAKE AMERICA GREAT AGAIN COMMITTEE [SA18.6042]"/>
    <s v="X"/>
    <m/>
    <d v="2020-05-02T00:00:00"/>
    <n v="75"/>
    <n v="7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1-04-29T03:48:27"/>
    <m/>
    <m/>
    <m/>
    <s v="F3P"/>
    <n v="4.0423202112787599E+18"/>
    <s v="t"/>
    <m/>
    <n v="2020"/>
    <s v="SA"/>
    <m/>
    <n v="4.0428202112822799E+18"/>
    <s v="https://docquery.fec.gov/cgi-bin/fecimg/?202104209444541709"/>
    <s v="Transfers From Other Authorized Committees"/>
  </r>
  <r>
    <s v="C00694323"/>
    <x v="8"/>
    <n v="2020"/>
    <s v="YE"/>
    <n v="2.02101299415464E+17"/>
    <s v="11AI"/>
    <s v="A8F78127298E64CFBADD"/>
    <n v="1494216"/>
    <m/>
    <s v="IND"/>
    <s v="INDIVIDUAL"/>
    <s v="C00003418"/>
    <m/>
    <s v="FRASER, JANET"/>
    <s v="V"/>
    <m/>
    <s v="U"/>
    <s v="JANET"/>
    <m/>
    <s v="FRASER"/>
    <m/>
    <s v="33 W EVERGLADE AVE"/>
    <m/>
    <s v="CLOVIS"/>
    <s v="CA"/>
    <n v="936198745"/>
    <s v="RETIRED"/>
    <s v="RETIRED"/>
    <s v="C00003418"/>
    <s v="15E"/>
    <s v="EARMARKED CONTRIBUTION"/>
    <s v="EARMARKED FOR REPUBLICAN NATIONAL COMMITTEE (C00003418)"/>
    <m/>
    <m/>
    <d v="2020-12-26T00:00:00"/>
    <n v="100"/>
    <n v="16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1-03-10T04:18:53"/>
    <m/>
    <m/>
    <m/>
    <s v="F3X"/>
    <n v="4.0131202121392901E+18"/>
    <s v="t"/>
    <m/>
    <n v="2020"/>
    <s v="SA"/>
    <m/>
    <n v="4.0309202112365501E+18"/>
    <s v="https://docquery.fec.gov/cgi-bin/fecimg/?202101299415464810"/>
    <s v="Contributions From Individuals/Persons Other Than Political Committees"/>
  </r>
  <r>
    <s v="C00580100"/>
    <x v="7"/>
    <n v="2020"/>
    <s v="M7"/>
    <n v="2.02104209444436E+17"/>
    <s v="17A"/>
    <s v="SA17A.480284"/>
    <n v="1513938"/>
    <m/>
    <s v="IND"/>
    <s v="INDIVIDUAL"/>
    <m/>
    <m/>
    <s v="FRASER, JANET"/>
    <s v="P"/>
    <m/>
    <s v="P"/>
    <s v="JANET"/>
    <m/>
    <s v="FRASER"/>
    <m/>
    <s v="33 W EVERGLADE AVE"/>
    <m/>
    <s v="CLOVIS"/>
    <s v="CA"/>
    <n v="93619"/>
    <s v="RETIRED"/>
    <s v="RETIRED"/>
    <m/>
    <m/>
    <m/>
    <s v="EARMARKED THROUGH WINRED [SA17A.4863]"/>
    <m/>
    <m/>
    <d v="2020-06-16T00:00:00"/>
    <n v="100"/>
    <n v="17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1-04-29T03:49:22"/>
    <m/>
    <m/>
    <m/>
    <s v="F3P"/>
    <n v="4.0423202112787599E+18"/>
    <s v="t"/>
    <m/>
    <n v="2020"/>
    <s v="SA"/>
    <m/>
    <n v="4.0428202112819599E+18"/>
    <s v="https://docquery.fec.gov/cgi-bin/fecimg/?202104209444436773"/>
    <s v="Contributions From Individuals/Persons Other Than Political Committees"/>
  </r>
  <r>
    <s v="C00008474"/>
    <x v="4"/>
    <n v="2020"/>
    <s v="30G"/>
    <n v="2.0201202933742E+17"/>
    <s v="11AI"/>
    <s v="A2020-2317422"/>
    <n v="147624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0-16T00:00:00"/>
    <n v="192.3"/>
    <n v="4038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20T03:39:06"/>
    <m/>
    <m/>
    <m/>
    <s v="F3X"/>
    <n v="4.1203202019631401E+18"/>
    <s v="t"/>
    <m/>
    <n v="2020"/>
    <s v="SA"/>
    <m/>
    <n v="4.1220202019807401E+18"/>
    <s v="https://docquery.fec.gov/cgi-bin/fecimg/?202012029337420115"/>
    <s v="Contributions From Individuals/Persons Other Than Political Committees"/>
  </r>
  <r>
    <s v="C00008474"/>
    <x v="4"/>
    <n v="2020"/>
    <s v="30G"/>
    <n v="2.0201202933742E+17"/>
    <s v="11AI"/>
    <s v="A2020-2492757"/>
    <n v="147624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0-30T00:00:00"/>
    <n v="192.3"/>
    <n v="4230.60000000000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20T03:39:06"/>
    <m/>
    <m/>
    <m/>
    <s v="F3X"/>
    <n v="4.1203202019631401E+18"/>
    <s v="t"/>
    <m/>
    <n v="2020"/>
    <s v="SA"/>
    <m/>
    <n v="4.1220202019807401E+18"/>
    <s v="https://docquery.fec.gov/cgi-bin/fecimg/?202012029337420115"/>
    <s v="Contributions From Individuals/Persons Other Than Political Committees"/>
  </r>
  <r>
    <s v="C00008474"/>
    <x v="4"/>
    <n v="2020"/>
    <s v="30G"/>
    <n v="2.0201202933742E+17"/>
    <s v="11AI"/>
    <s v="A2020-2494340"/>
    <n v="1476245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1-13T00:00:00"/>
    <n v="192.3"/>
    <n v="4422.8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20T03:39:06"/>
    <m/>
    <m/>
    <m/>
    <s v="F3X"/>
    <n v="4.1203202019631401E+18"/>
    <s v="t"/>
    <m/>
    <n v="2020"/>
    <s v="SA"/>
    <m/>
    <n v="4.1220202019807401E+18"/>
    <s v="https://docquery.fec.gov/cgi-bin/fecimg/?202012029337420116"/>
    <s v="Contributions From Individuals/Persons Other Than Political Committees"/>
  </r>
  <r>
    <s v="C00008474"/>
    <x v="4"/>
    <n v="2020"/>
    <s v="12G"/>
    <n v="2.0201022933302899E+17"/>
    <s v="11AI"/>
    <s v="A2020-2153967"/>
    <n v="1462787"/>
    <m/>
    <s v="IND"/>
    <s v="INDIVIDUAL"/>
    <m/>
    <m/>
    <s v="FRASER, JANE N"/>
    <s v="Q"/>
    <s v="C"/>
    <s v="B"/>
    <s v="JANE"/>
    <s v="N"/>
    <s v="FRASER"/>
    <m/>
    <s v="201 S. BISCAYNE BLVD."/>
    <s v="MIAMI CENTER"/>
    <s v="MIAMI"/>
    <s v="FL"/>
    <n v="33131"/>
    <s v="CITIBANK N.A."/>
    <s v="MANAGING DIRECTOR"/>
    <m/>
    <n v="15"/>
    <s v="CONTRIBUTION"/>
    <m/>
    <m/>
    <m/>
    <d v="2020-10-02T00:00:00"/>
    <n v="192.3"/>
    <n v="384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4T04:28:49"/>
    <m/>
    <m/>
    <m/>
    <s v="F3X"/>
    <n v="4.1023202018827602E+18"/>
    <s v="t"/>
    <m/>
    <n v="2020"/>
    <s v="SA"/>
    <m/>
    <n v="4.1204202019641702E+18"/>
    <s v="http://docquery.fec.gov/cgi-bin/fecimg/?202010229333029472"/>
    <s v="Contributions From Individuals/Persons Other Than Political Committe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48">
  <r>
    <s v="C00693234"/>
    <x v="0"/>
    <n v="2019"/>
    <s v="Q3"/>
    <n v="2.01912129166268E+17"/>
    <s v="17A"/>
    <n v="3888874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92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65274"/>
    <m/>
    <s v="3888874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5"/>
    <s v="Contributions From Individuals/Persons Other Than Political Committees"/>
  </r>
  <r>
    <s v="C00693234"/>
    <x v="0"/>
    <n v="2019"/>
    <s v="Q3"/>
    <n v="2.01912129166268E+17"/>
    <s v="17A"/>
    <n v="3636565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63"/>
    <n v="1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53706"/>
    <m/>
    <s v="3636565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3"/>
    <s v="Contributions From Individuals/Persons Other Than Political Committees"/>
  </r>
  <r>
    <s v="C00693234"/>
    <x v="0"/>
    <n v="2019"/>
    <s v="Q3"/>
    <n v="2.01912129166268E+17"/>
    <s v="17A"/>
    <n v="3695363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74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53706"/>
    <m/>
    <s v="3695363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3"/>
    <s v="Contributions From Individuals/Persons Other Than Political Committees"/>
  </r>
  <r>
    <s v="C00693234"/>
    <x v="0"/>
    <n v="2019"/>
    <s v="Q3"/>
    <n v="2.01912129166268E+17"/>
    <s v="17A"/>
    <n v="3720103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75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65274"/>
    <m/>
    <s v="3720103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4"/>
    <s v="Contributions From Individuals/Persons Other Than Political Committees"/>
  </r>
  <r>
    <s v="C00693234"/>
    <x v="0"/>
    <n v="2019"/>
    <s v="Q3"/>
    <n v="2.01912129166268E+17"/>
    <s v="17A"/>
    <n v="3738867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76"/>
    <n v="1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65274"/>
    <m/>
    <s v="3738867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5"/>
    <s v="Contributions From Individuals/Persons Other Than Political Committees"/>
  </r>
  <r>
    <s v="C00693234"/>
    <x v="0"/>
    <n v="2019"/>
    <s v="Q3"/>
    <n v="2.01912129166268E+17"/>
    <s v="17A"/>
    <n v="4384456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35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88427"/>
    <m/>
    <s v="4384456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9"/>
    <s v="Contributions From Individuals/Persons Other Than Political Committees"/>
  </r>
  <r>
    <s v="C00693234"/>
    <x v="0"/>
    <n v="2019"/>
    <s v="Q3"/>
    <n v="2.01912129166268E+17"/>
    <s v="17A"/>
    <n v="3888875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92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65274"/>
    <m/>
    <s v="3888875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6"/>
    <s v="Contributions From Individuals/Persons Other Than Political Committees"/>
  </r>
  <r>
    <s v="C00693234"/>
    <x v="0"/>
    <n v="2019"/>
    <s v="Q3"/>
    <n v="2.01912129166268E+17"/>
    <s v="17A"/>
    <n v="3911771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94"/>
    <n v="1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76851"/>
    <m/>
    <s v="3911771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7"/>
    <s v="Contributions From Individuals/Persons Other Than Political Committees"/>
  </r>
  <r>
    <s v="C00693234"/>
    <x v="0"/>
    <n v="2019"/>
    <s v="Q3"/>
    <n v="2.01912129166268E+17"/>
    <s v="17A"/>
    <n v="3991456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03"/>
    <n v="5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76851"/>
    <m/>
    <s v="3991456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7"/>
    <s v="Contributions From Individuals/Persons Other Than Political Committees"/>
  </r>
  <r>
    <s v="C00693234"/>
    <x v="0"/>
    <n v="2019"/>
    <s v="Q3"/>
    <n v="2.01912129166268E+17"/>
    <s v="17A"/>
    <n v="4064227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07"/>
    <n v="1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88427"/>
    <m/>
    <s v="4064227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8"/>
    <s v="Contributions From Individuals/Persons Other Than Political Committees"/>
  </r>
  <r>
    <s v="C00693234"/>
    <x v="0"/>
    <n v="2019"/>
    <s v="Q3"/>
    <n v="2.01912129166268E+17"/>
    <s v="17A"/>
    <n v="4222813"/>
    <n v="1366132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25"/>
    <n v="10"/>
    <n v="61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22.093682488427"/>
    <m/>
    <s v="4222813E"/>
    <s v="SA17A"/>
    <s v="F3P"/>
    <n v="4.1213201916814602E+18"/>
    <s v="t"/>
    <s v="* EARMARKED CONTRIBUTION: SEE BELOW"/>
    <n v="2020"/>
    <s v="SA"/>
    <m/>
    <n v="4.1222201916823398E+18"/>
    <s v="http://docquery.fec.gov/cgi-bin/fecimg/?201912129166268739"/>
    <s v="Contributions From Individuals/Persons Other Than Political Committees"/>
  </r>
  <r>
    <s v="C00492645"/>
    <x v="1"/>
    <n v="2020"/>
    <s v="Q3"/>
    <n v="2.0201015929532099E+17"/>
    <s v="11AI"/>
    <s v="VTRAAS2NCM4"/>
    <n v="1452197"/>
    <m/>
    <s v="IND"/>
    <s v="INDIVIDUAL"/>
    <s v="C00401224"/>
    <m/>
    <s v="TAYLOR, DIANA"/>
    <s v="S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4077"/>
    <n v="50"/>
    <n v="225"/>
    <m/>
    <m/>
    <m/>
    <m/>
    <m/>
    <m/>
    <m/>
    <m/>
    <m/>
    <m/>
    <m/>
    <m/>
    <m/>
    <m/>
    <m/>
    <m/>
    <m/>
    <m/>
    <m/>
    <m/>
    <m/>
    <s v="C2024"/>
    <s v="CONVENTION"/>
    <s v="CONVENTION"/>
    <n v="2024"/>
    <s v="A"/>
    <s v="ADD"/>
    <s v="ITEMIZED RECEIPTS"/>
    <n v="44143.152137256948"/>
    <m/>
    <s v="VTRAAS2NCM4E"/>
    <s v="SA11AI"/>
    <s v="F3"/>
    <n v="4.1016202018585702E+18"/>
    <s v="t"/>
    <s v="* EARMARKED CONTRIBUTION: SEE BELOW"/>
    <n v="2020"/>
    <s v="SA"/>
    <m/>
    <n v="4.1108202018930202E+18"/>
    <s v="http://docquery.fec.gov/cgi-bin/fecimg/?202010159295321107"/>
    <s v="Contributions From Individuals/Persons Other Than Political Committees"/>
  </r>
  <r>
    <s v="C00492645"/>
    <x v="1"/>
    <n v="2020"/>
    <s v="Q3"/>
    <n v="2.0201015929532E+17"/>
    <s v="11AI"/>
    <s v="VTRAAVM03N3"/>
    <n v="1452197"/>
    <m/>
    <s v="IND"/>
    <s v="INDIVIDUAL"/>
    <s v="C00401224"/>
    <m/>
    <s v="TAYLOR, DIANA"/>
    <s v="S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4103"/>
    <n v="25"/>
    <n v="250"/>
    <m/>
    <m/>
    <m/>
    <m/>
    <m/>
    <m/>
    <m/>
    <m/>
    <m/>
    <m/>
    <m/>
    <m/>
    <m/>
    <m/>
    <m/>
    <m/>
    <m/>
    <m/>
    <m/>
    <m/>
    <m/>
    <s v="C2024"/>
    <s v="CONVENTION"/>
    <s v="CONVENTION"/>
    <n v="2024"/>
    <s v="A"/>
    <s v="ADD"/>
    <s v="ITEMIZED RECEIPTS"/>
    <n v="44143.152111863426"/>
    <m/>
    <s v="VTRAAVM03N3E"/>
    <s v="SA11AI"/>
    <s v="F3"/>
    <n v="4.1016202018585702E+18"/>
    <s v="t"/>
    <s v="* EARMARKED CONTRIBUTION: SEE BELOW"/>
    <n v="2020"/>
    <s v="SA"/>
    <m/>
    <n v="4.1108202018930202E+18"/>
    <s v="http://docquery.fec.gov/cgi-bin/fecimg/?202010159295320940"/>
    <s v="Contributions From Individuals/Persons Other Than Political Committees"/>
  </r>
  <r>
    <s v="C00630012"/>
    <x v="2"/>
    <n v="2019"/>
    <s v="M3"/>
    <n v="2.0190809916275901E+17"/>
    <s v="11AI"/>
    <s v="L22056391"/>
    <n v="1347375"/>
    <m/>
    <s v="IND"/>
    <s v="INDIVIDUAL"/>
    <m/>
    <m/>
    <s v="TAYLOR, DIANA"/>
    <s v="N"/>
    <m/>
    <s v="U"/>
    <s v="DIANA"/>
    <m/>
    <s v="TAYLOR"/>
    <m/>
    <s v="75 CAMBRIDGE PARKWAY, UNIT E708"/>
    <m/>
    <s v="CAMBRIDGE"/>
    <s v="MA"/>
    <n v="2142"/>
    <s v="RETIRED"/>
    <s v="RETIRED"/>
    <m/>
    <m/>
    <m/>
    <s v="EARMARKED FOR S-ME-02-D NOMINEE FUND 2020"/>
    <m/>
    <m/>
    <n v="43516"/>
    <n v="17.36"/>
    <n v="19.190000000000001"/>
    <m/>
    <m/>
    <m/>
    <m/>
    <m/>
    <m/>
    <m/>
    <m/>
    <m/>
    <m/>
    <m/>
    <m/>
    <m/>
    <m/>
    <m/>
    <m/>
    <m/>
    <m/>
    <m/>
    <m/>
    <m/>
    <s v="O2019"/>
    <s v="NON-CAND COMMITTEE"/>
    <m/>
    <n v="2019"/>
    <s v="A"/>
    <s v="ADD"/>
    <s v="ITEMIZED RECEIPTS"/>
    <n v="43701.114174224538"/>
    <m/>
    <m/>
    <m/>
    <s v="F3X"/>
    <n v="4.0811201916632699E+18"/>
    <s v="t"/>
    <m/>
    <n v="2020"/>
    <s v="SA"/>
    <m/>
    <n v="4.0823201916719898E+18"/>
    <s v="http://docquery.fec.gov/cgi-bin/fecimg/?201908099162759369"/>
    <s v="Contributions From Individuals/Persons Other Than Political Committees"/>
  </r>
  <r>
    <s v="C00630012"/>
    <x v="2"/>
    <n v="2019"/>
    <s v="M3"/>
    <n v="2.0190809916275901E+17"/>
    <s v="11AI"/>
    <s v="L22056392"/>
    <n v="1347375"/>
    <m/>
    <s v="IND"/>
    <s v="INDIVIDUAL"/>
    <m/>
    <m/>
    <s v="TAYLOR, DIANA"/>
    <s v="N"/>
    <m/>
    <s v="U"/>
    <s v="DIANA"/>
    <m/>
    <s v="TAYLOR"/>
    <m/>
    <s v="75 CAMBRIDGE PARKWAY, UNIT E708"/>
    <m/>
    <s v="CAMBRIDGE"/>
    <s v="MA"/>
    <n v="2142"/>
    <s v="RETIRED"/>
    <s v="RETIRED"/>
    <m/>
    <m/>
    <m/>
    <m/>
    <m/>
    <m/>
    <n v="43516"/>
    <n v="1.83"/>
    <n v="19.190000000000001"/>
    <m/>
    <m/>
    <m/>
    <m/>
    <m/>
    <m/>
    <m/>
    <m/>
    <m/>
    <m/>
    <m/>
    <m/>
    <m/>
    <m/>
    <m/>
    <m/>
    <m/>
    <m/>
    <m/>
    <m/>
    <m/>
    <s v="O2019"/>
    <s v="NON-CAND COMMITTEE"/>
    <m/>
    <n v="2019"/>
    <s v="A"/>
    <s v="ADD"/>
    <s v="ITEMIZED RECEIPTS"/>
    <n v="43701.114174224538"/>
    <m/>
    <m/>
    <m/>
    <s v="F3X"/>
    <n v="4.0811201916632699E+18"/>
    <s v="t"/>
    <m/>
    <n v="2020"/>
    <s v="SA"/>
    <m/>
    <n v="4.0823201916719898E+18"/>
    <s v="http://docquery.fec.gov/cgi-bin/fecimg/?201908099162759369"/>
    <s v="Contributions From Individuals/Persons Other Than Political Committees"/>
  </r>
  <r>
    <s v="C00401224"/>
    <x v="3"/>
    <n v="2019"/>
    <s v="MY"/>
    <n v="2.0190729915684998E+17"/>
    <s v="11AI"/>
    <s v="SA11AI_145687594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487"/>
    <n v="2.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56932869"/>
    <m/>
    <m/>
    <m/>
    <s v="F3X"/>
    <n v="4.0801201916624399E+18"/>
    <s v="t"/>
    <s v="CONTRIBUTION TO ACTBLUE"/>
    <n v="2020"/>
    <s v="SA"/>
    <m/>
    <n v="4.08282019112463E+18"/>
    <s v="http://docquery.fec.gov/cgi-bin/fecimg/?201907299156850314"/>
    <s v="Contributions From Individuals/Persons Other Than Political Committees"/>
  </r>
  <r>
    <s v="C00401224"/>
    <x v="3"/>
    <n v="2019"/>
    <s v="MY"/>
    <n v="2.0190729915684998E+17"/>
    <s v="11AI"/>
    <s v="SA11AI_145687587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487"/>
    <n v="25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56932869"/>
    <m/>
    <m/>
    <m/>
    <s v="F3X"/>
    <n v="4.0801201916624399E+18"/>
    <s v="t"/>
    <s v="EARMARKED FOR KAMALA HARRIS FOR THE PEOPLE (C00694455)"/>
    <n v="2020"/>
    <s v="SA"/>
    <m/>
    <n v="4.08282019112463E+18"/>
    <s v="http://docquery.fec.gov/cgi-bin/fecimg/?201907299156850315"/>
    <s v="Contributions From Individuals/Persons Other Than Political Committees"/>
  </r>
  <r>
    <s v="C00401224"/>
    <x v="3"/>
    <n v="2019"/>
    <s v="MY"/>
    <n v="2.0190729915684998E+17"/>
    <s v="11AI"/>
    <s v="SA11AI_146790800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02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63892"/>
    <m/>
    <m/>
    <m/>
    <s v="F3X"/>
    <n v="4.0801201916624399E+18"/>
    <s v="t"/>
    <s v="CONTRIBUTION TO ACTBLUE"/>
    <n v="2020"/>
    <s v="SA"/>
    <m/>
    <n v="4.08282019112463E+18"/>
    <s v="http://docquery.fec.gov/cgi-bin/fecimg/?201907299156850318"/>
    <s v="Contributions From Individuals/Persons Other Than Political Committees"/>
  </r>
  <r>
    <s v="C00401224"/>
    <x v="3"/>
    <n v="2019"/>
    <s v="MY"/>
    <n v="2.0190729915684998E+17"/>
    <s v="11AI"/>
    <s v="SA11AI_146790798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02"/>
    <n v="25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63892"/>
    <m/>
    <m/>
    <m/>
    <s v="F3X"/>
    <n v="4.0801201916624399E+18"/>
    <s v="t"/>
    <s v="EARMARKED FOR ALEXANDRIA OCASIO-CORTEZ FOR CONGRESS (C00639591)"/>
    <n v="2020"/>
    <s v="SA"/>
    <m/>
    <n v="4.08282019112463E+18"/>
    <s v="http://docquery.fec.gov/cgi-bin/fecimg/?201907299156850318"/>
    <s v="Contributions From Individuals/Persons Other Than Political Committees"/>
  </r>
  <r>
    <s v="C00401224"/>
    <x v="3"/>
    <n v="2019"/>
    <s v="MY"/>
    <n v="2.0190729915684998E+17"/>
    <s v="11AI"/>
    <s v="SA11AI_147329080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10"/>
    <n v="2.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75461"/>
    <m/>
    <m/>
    <m/>
    <s v="F3X"/>
    <n v="4.0801201916624399E+18"/>
    <s v="t"/>
    <s v="CONTRIBUTION TO ACTBLUE"/>
    <n v="2020"/>
    <s v="SA"/>
    <m/>
    <n v="4.08282019112463E+18"/>
    <s v="http://docquery.fec.gov/cgi-bin/fecimg/?201907299156850320"/>
    <s v="Contributions From Individuals/Persons Other Than Political Committees"/>
  </r>
  <r>
    <s v="C00401224"/>
    <x v="3"/>
    <n v="2019"/>
    <s v="MY"/>
    <n v="2.0190729915684998E+17"/>
    <s v="11AI"/>
    <s v="SA11AI_146790799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02"/>
    <n v="25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75461"/>
    <m/>
    <m/>
    <m/>
    <s v="F3X"/>
    <n v="4.0801201916624399E+18"/>
    <s v="t"/>
    <s v="EARMARKED FOR BE A HERO PAC (C00678995)"/>
    <n v="2020"/>
    <s v="SA"/>
    <m/>
    <n v="4.08282019112463E+18"/>
    <s v="http://docquery.fec.gov/cgi-bin/fecimg/?201907299156850319"/>
    <s v="Contributions From Individuals/Persons Other Than Political Committees"/>
  </r>
  <r>
    <s v="C00401224"/>
    <x v="3"/>
    <n v="2019"/>
    <s v="MY"/>
    <n v="2.0190729915684998E+17"/>
    <s v="11AI"/>
    <s v="SA11AI_151798284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51"/>
    <n v="2.7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87037"/>
    <m/>
    <m/>
    <m/>
    <s v="F3X"/>
    <n v="4.0801201916624399E+18"/>
    <s v="t"/>
    <s v="CONTRIBUTION TO ACTBLUE"/>
    <n v="2020"/>
    <s v="SA"/>
    <m/>
    <n v="4.08282019112463E+18"/>
    <s v="http://docquery.fec.gov/cgi-bin/fecimg/?201907299156850324"/>
    <s v="Contributions From Individuals/Persons Other Than Political Committees"/>
  </r>
  <r>
    <s v="C00401224"/>
    <x v="3"/>
    <n v="2019"/>
    <s v="MY"/>
    <n v="2.0190729915684998E+17"/>
    <s v="11AI"/>
    <s v="SA11AI_153175442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59"/>
    <n v="10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188287037"/>
    <m/>
    <m/>
    <m/>
    <s v="F3X"/>
    <n v="4.0801201916624399E+18"/>
    <s v="t"/>
    <s v="CONTRIBUTION TO ACTBLUE"/>
    <n v="2020"/>
    <s v="SA"/>
    <m/>
    <n v="4.08282019112463E+18"/>
    <s v="http://docquery.fec.gov/cgi-bin/fecimg/?201907299156850326"/>
    <s v="Contributions From Individuals/Persons Other Than Political Committees"/>
  </r>
  <r>
    <s v="C00401224"/>
    <x v="3"/>
    <n v="2019"/>
    <s v="MY"/>
    <n v="2.0190729915684998E+17"/>
    <s v="11AI"/>
    <s v="SA11AI_155733981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82"/>
    <n v="2.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09838"/>
    <m/>
    <m/>
    <m/>
    <s v="F3X"/>
    <n v="4.0801201916624399E+18"/>
    <s v="t"/>
    <s v="CONTRIBUTION TO ACTBLUE"/>
    <n v="2020"/>
    <s v="SA"/>
    <m/>
    <n v="4.08282019112463E+18"/>
    <s v="http://docquery.fec.gov/cgi-bin/fecimg/?201907299156850332"/>
    <s v="Contributions From Individuals/Persons Other Than Political Committees"/>
  </r>
  <r>
    <s v="C00401224"/>
    <x v="3"/>
    <n v="2019"/>
    <s v="MY"/>
    <n v="2.0190729915684998E+17"/>
    <s v="11AI"/>
    <s v="SA11AI_155733975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82"/>
    <n v="25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09838"/>
    <m/>
    <m/>
    <m/>
    <s v="F3X"/>
    <n v="4.0801201916624399E+18"/>
    <s v="t"/>
    <s v="EARMARKED FOR BE A HERO PAC (C00678995)"/>
    <n v="2020"/>
    <s v="SA"/>
    <m/>
    <n v="4.08282019112463E+18"/>
    <s v="http://docquery.fec.gov/cgi-bin/fecimg/?201907299156850332"/>
    <s v="Contributions From Individuals/Persons Other Than Political Committees"/>
  </r>
  <r>
    <s v="C00401224"/>
    <x v="3"/>
    <n v="2019"/>
    <s v="MY"/>
    <n v="2.0190729915684998E+17"/>
    <s v="11AI"/>
    <s v="SA11AI_155688451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82"/>
    <n v="2.7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09838"/>
    <m/>
    <m/>
    <m/>
    <s v="F3X"/>
    <n v="4.0801201916624399E+18"/>
    <s v="t"/>
    <s v="CONTRIBUTION TO ACTBLUE"/>
    <n v="2020"/>
    <s v="SA"/>
    <m/>
    <n v="4.08282019112463E+18"/>
    <s v="http://docquery.fec.gov/cgi-bin/fecimg/?201907299156850333"/>
    <s v="Contributions From Individuals/Persons Other Than Political Committees"/>
  </r>
  <r>
    <s v="C00401224"/>
    <x v="3"/>
    <n v="2019"/>
    <s v="MY"/>
    <n v="2.0190729915684998E+17"/>
    <s v="11AI"/>
    <s v="SA11AI_157993114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02"/>
    <n v="5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19213"/>
    <m/>
    <m/>
    <m/>
    <s v="F3X"/>
    <n v="4.0801201916624399E+18"/>
    <s v="t"/>
    <s v="EARMARKED FOR WARREN FOR PRESIDENT, INC. (C00693234)"/>
    <n v="2020"/>
    <s v="SA"/>
    <m/>
    <n v="4.08282019112463E+18"/>
    <s v="http://docquery.fec.gov/cgi-bin/fecimg/?201907299156850340"/>
    <s v="Contributions From Individuals/Persons Other Than Political Committees"/>
  </r>
  <r>
    <s v="C00401224"/>
    <x v="3"/>
    <n v="2019"/>
    <s v="MY"/>
    <n v="2.0190729915684998E+17"/>
    <s v="11AI"/>
    <s v="SA11AI_159006610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12"/>
    <n v="27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19213"/>
    <m/>
    <m/>
    <m/>
    <s v="F3X"/>
    <n v="4.0801201916624399E+18"/>
    <s v="t"/>
    <s v="EARMARKED FOR ALEXANDRIA OCASIO-CORTEZ FOR CONGRESS (C00639591)"/>
    <n v="2020"/>
    <s v="SA"/>
    <m/>
    <n v="4.08282019112463E+18"/>
    <s v="http://docquery.fec.gov/cgi-bin/fecimg/?201907299156850342"/>
    <s v="Contributions From Individuals/Persons Other Than Political Committees"/>
  </r>
  <r>
    <s v="C00401224"/>
    <x v="3"/>
    <n v="2019"/>
    <s v="MY"/>
    <n v="2.0190729915684998E+17"/>
    <s v="11AI"/>
    <s v="SA11AI_157993123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02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19213"/>
    <m/>
    <m/>
    <m/>
    <s v="F3X"/>
    <n v="4.0801201916624399E+18"/>
    <s v="t"/>
    <s v="CONTRIBUTION TO ACTBLUE"/>
    <n v="2020"/>
    <s v="SA"/>
    <m/>
    <n v="4.08282019112463E+18"/>
    <s v="http://docquery.fec.gov/cgi-bin/fecimg/?201907299156850339"/>
    <s v="Contributions From Individuals/Persons Other Than Political Committees"/>
  </r>
  <r>
    <s v="C00401224"/>
    <x v="3"/>
    <n v="2019"/>
    <s v="MY"/>
    <n v="2.0190729915684998E+17"/>
    <s v="11AI"/>
    <s v="SA11AI_159006609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12"/>
    <n v="2.7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419213"/>
    <m/>
    <m/>
    <m/>
    <s v="F3X"/>
    <n v="4.0801201916624399E+18"/>
    <s v="t"/>
    <s v="CONTRIBUTION TO ACTBLUE"/>
    <n v="2020"/>
    <s v="SA"/>
    <m/>
    <n v="4.08282019112463E+18"/>
    <s v="http://docquery.fec.gov/cgi-bin/fecimg/?201907299156850341"/>
    <s v="Contributions From Individuals/Persons Other Than Political Committees"/>
  </r>
  <r>
    <s v="C00401224"/>
    <x v="3"/>
    <n v="2019"/>
    <s v="MY"/>
    <n v="2.0190729915684998E+17"/>
    <s v="11AI"/>
    <s v="SA11AI_161492067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33"/>
    <n v="1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63424"/>
    <m/>
    <m/>
    <m/>
    <s v="F3X"/>
    <n v="4.0801201916624399E+18"/>
    <s v="t"/>
    <s v="EARMARKED FOR WARREN FOR PRESIDENT, INC. (C00693234)"/>
    <n v="2020"/>
    <s v="SA"/>
    <m/>
    <n v="4.0828201911246397E+18"/>
    <s v="http://docquery.fec.gov/cgi-bin/fecimg/?201907299156850347"/>
    <s v="Contributions From Individuals/Persons Other Than Political Committees"/>
  </r>
  <r>
    <s v="C00401224"/>
    <x v="3"/>
    <n v="2019"/>
    <s v="MY"/>
    <n v="2.0190729915684998E+17"/>
    <s v="11AI"/>
    <s v="SA11AI_162641216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41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75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50"/>
    <s v="Contributions From Individuals/Persons Other Than Political Committees"/>
  </r>
  <r>
    <s v="C00401224"/>
    <x v="3"/>
    <n v="2019"/>
    <s v="MY"/>
    <n v="2.0190729915684998E+17"/>
    <s v="11AI"/>
    <s v="SA11AI_161492068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33"/>
    <n v="1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63424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48"/>
    <s v="Contributions From Individuals/Persons Other Than Political Committees"/>
  </r>
  <r>
    <s v="C00401224"/>
    <x v="3"/>
    <n v="2019"/>
    <s v="MY"/>
    <n v="2.0190729915684998E+17"/>
    <s v="11AI"/>
    <s v="SA11AI_164439737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46"/>
    <n v="5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63424"/>
    <m/>
    <m/>
    <m/>
    <s v="F3X"/>
    <n v="4.0801201916624399E+18"/>
    <s v="t"/>
    <s v="EARMARKED FOR WARREN FOR PRESIDENT, INC. (C00693234)"/>
    <n v="2020"/>
    <s v="SA"/>
    <m/>
    <n v="4.0828201911246397E+18"/>
    <s v="http://docquery.fec.gov/cgi-bin/fecimg/?201907299156850351"/>
    <s v="Contributions From Individuals/Persons Other Than Political Committees"/>
  </r>
  <r>
    <s v="C00401224"/>
    <x v="3"/>
    <n v="2019"/>
    <s v="MY"/>
    <n v="2.0190729915684998E+17"/>
    <s v="11AI"/>
    <s v="SA11AI_162641194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41"/>
    <n v="5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75"/>
    <m/>
    <m/>
    <m/>
    <s v="F3X"/>
    <n v="4.0801201916624399E+18"/>
    <s v="t"/>
    <s v="EARMARKED FOR WARREN FOR PRESIDENT, INC. (C00693234)"/>
    <n v="2020"/>
    <s v="SA"/>
    <m/>
    <n v="4.0828201911246397E+18"/>
    <s v="http://docquery.fec.gov/cgi-bin/fecimg/?201907299156850350"/>
    <s v="Contributions From Individuals/Persons Other Than Political Committees"/>
  </r>
  <r>
    <s v="C00401224"/>
    <x v="3"/>
    <n v="2019"/>
    <s v="MY"/>
    <n v="2.0190729915684998E+17"/>
    <s v="11AI"/>
    <s v="SA11AI_164439835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46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75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52"/>
    <s v="Contributions From Individuals/Persons Other Than Political Committees"/>
  </r>
  <r>
    <s v="C00401224"/>
    <x v="3"/>
    <n v="2019"/>
    <s v="MY"/>
    <n v="2.0190729915684998E+17"/>
    <s v="11AI"/>
    <s v="SA11AI_164441612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46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75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53"/>
    <s v="Contributions From Individuals/Persons Other Than Political Committees"/>
  </r>
  <r>
    <s v="C00401224"/>
    <x v="3"/>
    <n v="2019"/>
    <s v="MY"/>
    <n v="2.0190729915684998E+17"/>
    <s v="11AI"/>
    <s v="SA11AI_164441581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46"/>
    <n v="5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52276886576"/>
    <m/>
    <m/>
    <m/>
    <s v="F3X"/>
    <n v="4.0801201916624399E+18"/>
    <s v="t"/>
    <s v="EARMARKED FOR PETE FOR AMERICA, INC (C00697441)"/>
    <n v="2020"/>
    <s v="SA"/>
    <m/>
    <n v="4.0828201911246397E+18"/>
    <s v="http://docquery.fec.gov/cgi-bin/fecimg/?201907299156850353"/>
    <s v="Contributions From Individuals/Persons Other Than Political Committees"/>
  </r>
  <r>
    <s v="C00401224"/>
    <x v="3"/>
    <n v="2019"/>
    <s v="MY"/>
    <n v="2.0190729915684998E+17"/>
    <s v="11AI"/>
    <s v="SA11AI_160667996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25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46267175928"/>
    <m/>
    <m/>
    <m/>
    <s v="F3X"/>
    <n v="4.0801201916624399E+18"/>
    <s v="t"/>
    <s v="CONTRIBUTION TO ACTBLUE"/>
    <n v="2020"/>
    <s v="SA"/>
    <m/>
    <n v="4.08282019112463E+18"/>
    <s v="http://docquery.fec.gov/cgi-bin/fecimg/?201907299156850345"/>
    <s v="Contributions From Individuals/Persons Other Than Political Committees"/>
  </r>
  <r>
    <s v="C00401224"/>
    <x v="3"/>
    <n v="2019"/>
    <s v="MY"/>
    <n v="2.0190729915684998E+17"/>
    <s v="11AI"/>
    <s v="SA11AI_153175436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59"/>
    <n v="10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61914930554"/>
    <m/>
    <m/>
    <m/>
    <s v="F3X"/>
    <n v="4.0801201916624399E+18"/>
    <s v="t"/>
    <s v="EARMARKED FOR PETE FOR AMERICA, INC (C00697441)"/>
    <n v="2020"/>
    <s v="SA"/>
    <m/>
    <n v="4.08282019112463E+18"/>
    <s v="http://docquery.fec.gov/cgi-bin/fecimg/?201907299156850327"/>
    <s v="Contributions From Individuals/Persons Other Than Political Committees"/>
  </r>
  <r>
    <s v="C00401224"/>
    <x v="3"/>
    <n v="2019"/>
    <s v="MY"/>
    <n v="2.0190729915684998E+17"/>
    <s v="11AI"/>
    <s v="SA11AI_151798275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51"/>
    <n v="27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6196596065"/>
    <m/>
    <m/>
    <m/>
    <s v="F3X"/>
    <n v="4.0801201916624399E+18"/>
    <s v="t"/>
    <s v="EARMARKED FOR ALEXANDRIA OCASIO-CORTEZ FOR CONGRESS (C00639591)"/>
    <n v="2020"/>
    <s v="SA"/>
    <m/>
    <n v="4.08282019112463E+18"/>
    <s v="http://docquery.fec.gov/cgi-bin/fecimg/?201907299156850324"/>
    <s v="Contributions From Individuals/Persons Other Than Political Committees"/>
  </r>
  <r>
    <s v="C00401224"/>
    <x v="3"/>
    <n v="2019"/>
    <s v="MY"/>
    <n v="2.0190729915684998E+17"/>
    <s v="11AI"/>
    <s v="SA11AI_157593231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599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77160266203"/>
    <m/>
    <m/>
    <m/>
    <s v="F3X"/>
    <n v="4.0801201916624399E+18"/>
    <s v="t"/>
    <s v="CONTRIBUTION TO ACTBLUE"/>
    <n v="2020"/>
    <s v="SA"/>
    <m/>
    <n v="4.08282019112463E+18"/>
    <s v="http://docquery.fec.gov/cgi-bin/fecimg/?201907299156850338"/>
    <s v="Contributions From Individuals/Persons Other Than Political Committees"/>
  </r>
  <r>
    <s v="C00401224"/>
    <x v="3"/>
    <n v="2019"/>
    <s v="MY"/>
    <n v="2.0190729915684998E+17"/>
    <s v="11AI"/>
    <s v="SA11AI_164440556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46"/>
    <n v="5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77168553243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52"/>
    <s v="Contributions From Individuals/Persons Other Than Political Committees"/>
  </r>
  <r>
    <s v="C00401224"/>
    <x v="3"/>
    <n v="2019"/>
    <s v="MY"/>
    <n v="2.0190729915684998E+17"/>
    <s v="11AI"/>
    <s v="SA11AI_145696847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487"/>
    <n v="25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792561863425"/>
    <m/>
    <m/>
    <m/>
    <s v="F3X"/>
    <n v="4.0801201916624399E+18"/>
    <s v="t"/>
    <s v="EARMARKED FOR KAMALA HARRIS FOR THE PEOPLE (C00694455)"/>
    <n v="2020"/>
    <s v="SA"/>
    <m/>
    <n v="4.08282019112463E+18"/>
    <s v="http://docquery.fec.gov/cgi-bin/fecimg/?201907299156850315"/>
    <s v="Contributions From Individuals/Persons Other Than Political Committees"/>
  </r>
  <r>
    <s v="C00401224"/>
    <x v="3"/>
    <n v="2019"/>
    <s v="MY"/>
    <n v="2.0190729915684998E+17"/>
    <s v="11AI"/>
    <s v="SA11AI_147329076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10"/>
    <n v="25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08245497683"/>
    <m/>
    <m/>
    <m/>
    <s v="F3X"/>
    <n v="4.0801201916624399E+18"/>
    <s v="t"/>
    <s v="EARMARKED FOR KAMALA HARRIS FOR THE PEOPLE (C00694455)"/>
    <n v="2020"/>
    <s v="SA"/>
    <m/>
    <n v="4.08282019112463E+18"/>
    <s v="http://docquery.fec.gov/cgi-bin/fecimg/?201907299156850319"/>
    <s v="Contributions From Individuals/Persons Other Than Political Committees"/>
  </r>
  <r>
    <s v="C00401224"/>
    <x v="3"/>
    <n v="2019"/>
    <s v="MY"/>
    <n v="2.0190729915684998E+17"/>
    <s v="11AI"/>
    <s v="SA11AI_162964087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643"/>
    <n v="2.7"/>
    <n v="69.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24128993052"/>
    <m/>
    <m/>
    <m/>
    <s v="F3X"/>
    <n v="4.0801201916624399E+18"/>
    <s v="t"/>
    <s v="CONTRIBUTION TO ACTBLUE"/>
    <n v="2020"/>
    <s v="SA"/>
    <m/>
    <n v="4.0828201911246397E+18"/>
    <s v="http://docquery.fec.gov/cgi-bin/fecimg/?201907299156850351"/>
    <s v="Contributions From Individuals/Persons Other Than Political Committees"/>
  </r>
  <r>
    <s v="C00401224"/>
    <x v="3"/>
    <n v="2019"/>
    <s v="MY"/>
    <n v="2.0190729915684998E+17"/>
    <s v="11AI"/>
    <s v="SA11AI_164440535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46"/>
    <n v="50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2410164352"/>
    <m/>
    <m/>
    <m/>
    <s v="F3X"/>
    <n v="4.0801201916624399E+18"/>
    <s v="t"/>
    <s v="EARMARKED FOR ALEXANDRIA OCASIO-CORTEZ FOR CONGRESS (C00639591)"/>
    <n v="2020"/>
    <s v="SA"/>
    <m/>
    <n v="4.0828201911246397E+18"/>
    <s v="http://docquery.fec.gov/cgi-bin/fecimg/?201907299156850353"/>
    <s v="Contributions From Individuals/Persons Other Than Political Committees"/>
  </r>
  <r>
    <s v="C00401224"/>
    <x v="3"/>
    <n v="2019"/>
    <s v="MY"/>
    <n v="2.0190729915684998E+17"/>
    <s v="11AI"/>
    <s v="SA11AI_155688453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582"/>
    <n v="27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39546238429"/>
    <m/>
    <m/>
    <m/>
    <s v="F3X"/>
    <n v="4.0801201916624399E+18"/>
    <s v="t"/>
    <s v="EARMARKED FOR ALEXANDRIA OCASIO-CORTEZ FOR CONGRESS (C00639591)"/>
    <n v="2020"/>
    <s v="SA"/>
    <m/>
    <n v="4.08282019112463E+18"/>
    <s v="http://docquery.fec.gov/cgi-bin/fecimg/?201907299156850333"/>
    <s v="Contributions From Individuals/Persons Other Than Political Committees"/>
  </r>
  <r>
    <s v="C00401224"/>
    <x v="3"/>
    <n v="2019"/>
    <s v="MY"/>
    <n v="2.0190729915684998E+17"/>
    <s v="11AI"/>
    <s v="SA11AI_162964088"/>
    <n v="1344765"/>
    <m/>
    <s v="IND"/>
    <s v="INDIVIDUAL"/>
    <m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43"/>
    <n v="27"/>
    <n v="183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3955931713"/>
    <m/>
    <m/>
    <m/>
    <s v="F3X"/>
    <n v="4.0801201916624399E+18"/>
    <s v="t"/>
    <s v="EARMARKED FOR ALEXANDRIA OCASIO-CORTEZ FOR CONGRESS (C00639591)"/>
    <n v="2020"/>
    <s v="SA"/>
    <m/>
    <n v="4.0828201911246397E+18"/>
    <s v="http://docquery.fec.gov/cgi-bin/fecimg/?201907299156850351"/>
    <s v="Contributions From Individuals/Persons Other Than Political Committees"/>
  </r>
  <r>
    <s v="C00401224"/>
    <x v="3"/>
    <n v="2019"/>
    <s v="MY"/>
    <n v="2.0190729915684998E+17"/>
    <s v="11AI"/>
    <s v="SA11AI_160667992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25"/>
    <n v="5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54908055553"/>
    <m/>
    <m/>
    <m/>
    <s v="F3X"/>
    <n v="4.0801201916624399E+18"/>
    <s v="t"/>
    <s v="EARMARKED FOR WARREN FOR PRESIDENT, INC. (C00693234)"/>
    <n v="2020"/>
    <s v="SA"/>
    <m/>
    <n v="4.0828201911246397E+18"/>
    <s v="http://docquery.fec.gov/cgi-bin/fecimg/?201907299156850346"/>
    <s v="Contributions From Individuals/Persons Other Than Political Committees"/>
  </r>
  <r>
    <s v="C00401224"/>
    <x v="3"/>
    <n v="2019"/>
    <s v="MY"/>
    <n v="2.0190729915684998E+17"/>
    <s v="11AI"/>
    <s v="SA11AI_157593224"/>
    <n v="1344765"/>
    <m/>
    <s v="IND"/>
    <s v="INDIVIDUAL"/>
    <s v="C00693234"/>
    <m/>
    <s v="TAYLOR, DIANA"/>
    <s v="W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599"/>
    <n v="50"/>
    <n v="260"/>
    <s v="P00009621"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868525243059"/>
    <m/>
    <m/>
    <m/>
    <s v="F3X"/>
    <n v="4.0801201916624399E+18"/>
    <s v="t"/>
    <s v="EARMARKED FOR WARREN FOR PRESIDENT, INC. (C00693234)"/>
    <n v="2020"/>
    <s v="SA"/>
    <m/>
    <n v="4.08282019112463E+18"/>
    <s v="http://docquery.fec.gov/cgi-bin/fecimg/?201907299156850339"/>
    <s v="Contributions From Individuals/Persons Other Than Political Committees"/>
  </r>
  <r>
    <s v="C00693234"/>
    <x v="0"/>
    <n v="2019"/>
    <s v="Q2"/>
    <n v="2.0190906916319501E+17"/>
    <s v="17A"/>
    <n v="3080420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599"/>
    <n v="5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57406"/>
    <m/>
    <s v="3080420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2"/>
    <s v="Contributions From Individuals/Persons Other Than Political Committees"/>
  </r>
  <r>
    <s v="C00693234"/>
    <x v="0"/>
    <n v="2019"/>
    <s v="Q2"/>
    <n v="2.0190906916319501E+17"/>
    <s v="17A"/>
    <n v="3526780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46"/>
    <n v="5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68982"/>
    <m/>
    <s v="3526780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5"/>
    <s v="Contributions From Individuals/Persons Other Than Political Committees"/>
  </r>
  <r>
    <s v="C00693234"/>
    <x v="0"/>
    <n v="2019"/>
    <s v="Q2"/>
    <n v="2.0190906916319501E+17"/>
    <s v="17A"/>
    <n v="3103432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02"/>
    <n v="5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57406"/>
    <m/>
    <s v="3103432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3"/>
    <s v="Contributions From Individuals/Persons Other Than Political Committees"/>
  </r>
  <r>
    <s v="C00693234"/>
    <x v="0"/>
    <n v="2019"/>
    <s v="Q2"/>
    <n v="2.0190906916319501E+17"/>
    <s v="17A"/>
    <n v="3239822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25"/>
    <n v="5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57406"/>
    <m/>
    <s v="3239822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3"/>
    <s v="Contributions From Individuals/Persons Other Than Political Committees"/>
  </r>
  <r>
    <s v="C00693234"/>
    <x v="0"/>
    <n v="2019"/>
    <s v="Q2"/>
    <n v="2.0190906916319501E+17"/>
    <s v="17A"/>
    <n v="3308067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33"/>
    <n v="1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57406"/>
    <m/>
    <s v="3308067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4"/>
    <s v="Contributions From Individuals/Persons Other Than Political Committees"/>
  </r>
  <r>
    <s v="C00693234"/>
    <x v="0"/>
    <n v="2019"/>
    <s v="Q2"/>
    <n v="2.0190906916319501E+17"/>
    <s v="17A"/>
    <n v="3385626"/>
    <n v="135087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641"/>
    <n v="50"/>
    <n v="26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0.113086157406"/>
    <m/>
    <s v="3385626E"/>
    <s v="SA17A"/>
    <s v="F3P"/>
    <n v="4.0906201916723098E+18"/>
    <s v="t"/>
    <s v="* EARMARKED CONTRIBUTION: SEE BELOW"/>
    <n v="2020"/>
    <s v="SA"/>
    <m/>
    <n v="4.0911201916726098E+18"/>
    <s v="http://docquery.fec.gov/cgi-bin/fecimg/?201909069163195375"/>
    <s v="Contributions From Individuals/Persons Other Than Political Committees"/>
  </r>
  <r>
    <s v="C00693234"/>
    <x v="0"/>
    <n v="2020"/>
    <s v="M3"/>
    <n v="2.02003209210196E+17"/>
    <s v="17A"/>
    <n v="5828532"/>
    <n v="1391678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864"/>
    <n v="50"/>
    <n v="104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17.117658564814"/>
    <m/>
    <s v="5828532E"/>
    <s v="SA17A"/>
    <s v="F3P"/>
    <n v="4.0321202017040799E+18"/>
    <s v="t"/>
    <s v="* EARMARKED CONTRIBUTION: SEE BELOW"/>
    <n v="2020"/>
    <s v="SA"/>
    <m/>
    <n v="4.03262020171601E+18"/>
    <s v="http://docquery.fec.gov/cgi-bin/fecimg/?202003209210196741"/>
    <s v="Contributions From Individuals/Persons Other Than Political Committees"/>
  </r>
  <r>
    <s v="C00213512"/>
    <x v="4"/>
    <n v="2019"/>
    <s v="YE"/>
    <n v="2.02001319184152E+17"/>
    <s v="11AI"/>
    <s v="VSHCDJM34Q4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70"/>
    <n v="5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647106481"/>
    <m/>
    <s v="VSHCDJM34Q4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2175"/>
    <s v="Contributions From Individuals/Persons Other Than Political Committees"/>
  </r>
  <r>
    <s v="C00693234"/>
    <x v="0"/>
    <n v="2020"/>
    <s v="M3"/>
    <n v="2.02003209210196E+17"/>
    <s v="17A"/>
    <n v="6508310"/>
    <n v="1391678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885"/>
    <n v="100"/>
    <n v="104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17.131431597219"/>
    <m/>
    <s v="6508310E"/>
    <s v="SA17A"/>
    <s v="F3P"/>
    <n v="4.0321202017040799E+18"/>
    <s v="t"/>
    <s v="* EARMARKED CONTRIBUTION: SEE BELOW"/>
    <n v="2020"/>
    <s v="SA"/>
    <m/>
    <n v="4.03262020171601E+18"/>
    <s v="http://docquery.fec.gov/cgi-bin/fecimg/?202003209210196743"/>
    <s v="Contributions From Individuals/Persons Other Than Political Committees"/>
  </r>
  <r>
    <s v="C00213512"/>
    <x v="4"/>
    <n v="2019"/>
    <s v="YE"/>
    <n v="2.0200131918415002E+17"/>
    <s v="11AI"/>
    <s v="VSHCDJSX1E2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12"/>
    <n v="5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439861109"/>
    <m/>
    <s v="VSHCDJSX1E2E"/>
    <s v="SA11AI"/>
    <s v="F3"/>
    <n v="4.0131202016861798E+18"/>
    <s v="t"/>
    <s v="* EARMARKED CONTRIBUTION: SEE BELOW"/>
    <n v="2020"/>
    <s v="SA"/>
    <m/>
    <n v="4.0131202016863299E+18"/>
    <s v="http://docquery.fec.gov/cgi-bin/fecimg/?202001319184150622"/>
    <s v="Contributions From Individuals/Persons Other Than Political Committees"/>
  </r>
  <r>
    <s v="C00213512"/>
    <x v="4"/>
    <n v="2019"/>
    <s v="YE"/>
    <n v="2.02001319184152E+17"/>
    <s v="11AI"/>
    <s v="VSHCDJJPTX4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65"/>
    <n v="10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647569443"/>
    <m/>
    <s v="VSHCDJJPTX4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2318"/>
    <s v="Contributions From Individuals/Persons Other Than Political Committees"/>
  </r>
  <r>
    <s v="C00213512"/>
    <x v="4"/>
    <n v="2019"/>
    <s v="YE"/>
    <n v="2.02001319184152E+17"/>
    <s v="11AI"/>
    <s v="VSHCDJMHP85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79"/>
    <n v="10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668425925"/>
    <m/>
    <s v="VSHCDJMHP85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2551"/>
    <s v="Contributions From Individuals/Persons Other Than Political Committees"/>
  </r>
  <r>
    <s v="C00213512"/>
    <x v="4"/>
    <n v="2019"/>
    <s v="YE"/>
    <n v="2.0200131918415299E+17"/>
    <s v="11AI"/>
    <s v="VSHCDJM30D6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67"/>
    <n v="10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731689816"/>
    <m/>
    <s v="VSHCDJM30D6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3354"/>
    <s v="Contributions From Individuals/Persons Other Than Political Committees"/>
  </r>
  <r>
    <s v="C00213512"/>
    <x v="4"/>
    <n v="2019"/>
    <s v="YE"/>
    <n v="2.0200131918415299E+17"/>
    <s v="11AI"/>
    <s v="VSHCDJJPTW6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62"/>
    <n v="10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752997683"/>
    <m/>
    <s v="VSHCDJJPTW6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3683"/>
    <s v="Contributions From Individuals/Persons Other Than Political Committees"/>
  </r>
  <r>
    <s v="C00213512"/>
    <x v="4"/>
    <n v="2019"/>
    <s v="YE"/>
    <n v="2.0200131918415299E+17"/>
    <s v="11AI"/>
    <s v="VSHCDJM34P6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70"/>
    <n v="5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732314813"/>
    <m/>
    <s v="VSHCDJM34P6E"/>
    <s v="SA11AI"/>
    <s v="F3"/>
    <n v="4.0131202016861798E+18"/>
    <s v="t"/>
    <s v="* EARMARKED CONTRIBUTION: SEE BELOW"/>
    <n v="2020"/>
    <s v="SA"/>
    <m/>
    <n v="4.0131202016863401E+18"/>
    <s v="http://docquery.fec.gov/cgi-bin/fecimg/?202001319184153546"/>
    <s v="Contributions From Individuals/Persons Other Than Political Committees"/>
  </r>
  <r>
    <s v="C00693234"/>
    <x v="0"/>
    <n v="2020"/>
    <s v="M3"/>
    <n v="2.02003209210196E+17"/>
    <s v="17A"/>
    <n v="5842306"/>
    <n v="1391678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865"/>
    <n v="30"/>
    <n v="104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17.132258912039"/>
    <m/>
    <s v="5842306E"/>
    <s v="SA17A"/>
    <s v="F3P"/>
    <n v="4.0321202017040799E+18"/>
    <s v="t"/>
    <s v="* EARMARKED CONTRIBUTION: SEE BELOW"/>
    <n v="2020"/>
    <s v="SA"/>
    <m/>
    <n v="4.03262020171601E+18"/>
    <s v="http://docquery.fec.gov/cgi-bin/fecimg/?202003209210196742"/>
    <s v="Contributions From Individuals/Persons Other Than Political Committees"/>
  </r>
  <r>
    <s v="C00213512"/>
    <x v="4"/>
    <n v="2019"/>
    <s v="YE"/>
    <n v="2.0200131918415501E+17"/>
    <s v="11AI"/>
    <s v="VSHCDJPMK79"/>
    <n v="137675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788"/>
    <n v="5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3834675924"/>
    <m/>
    <s v="VSHCDJPMK79E"/>
    <s v="SA11AI"/>
    <s v="F3"/>
    <n v="4.0131202016861798E+18"/>
    <s v="t"/>
    <s v="* EARMARKED CONTRIBUTION: SEE BELOW"/>
    <n v="2020"/>
    <s v="SA"/>
    <m/>
    <n v="4.0131202016863498E+18"/>
    <s v="http://docquery.fec.gov/cgi-bin/fecimg/?202001319184155231"/>
    <s v="Contributions From Individuals/Persons Other Than Political Committees"/>
  </r>
  <r>
    <s v="C00693234"/>
    <x v="0"/>
    <n v="2020"/>
    <s v="M3"/>
    <n v="2.02003209210196E+17"/>
    <s v="17A"/>
    <n v="6291069"/>
    <n v="1391678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881"/>
    <n v="100"/>
    <n v="104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17.131855196756"/>
    <m/>
    <s v="6291069E"/>
    <s v="SA17A"/>
    <s v="F3P"/>
    <n v="4.0321202017040799E+18"/>
    <s v="t"/>
    <s v="* EARMARKED CONTRIBUTION: SEE BELOW"/>
    <n v="2020"/>
    <s v="SA"/>
    <m/>
    <n v="4.03262020171601E+18"/>
    <s v="http://docquery.fec.gov/cgi-bin/fecimg/?202003209210196742"/>
    <s v="Contributions From Individuals/Persons Other Than Political Committees"/>
  </r>
  <r>
    <s v="C00341396"/>
    <x v="5"/>
    <n v="2019"/>
    <s v="YE"/>
    <n v="2.020013191858E+17"/>
    <s v="11AI"/>
    <n v="2039371"/>
    <n v="1379421"/>
    <m/>
    <s v="IND"/>
    <s v="INDIVIDUAL"/>
    <m/>
    <m/>
    <s v="TAYLOR, DIANA"/>
    <s v="W"/>
    <m/>
    <s v="U"/>
    <s v="DIANA"/>
    <m/>
    <s v="TAYLOR"/>
    <m/>
    <s v="75 CAMBRIDGE PKWY"/>
    <s v="UNIT E708"/>
    <s v="CAMBRIDGE"/>
    <s v="MA"/>
    <n v="21421239"/>
    <s v="NOT EMPLOYED"/>
    <s v="NOT EMPLOYED"/>
    <m/>
    <n v="15"/>
    <s v="CONTRIBUTION"/>
    <m/>
    <m/>
    <m/>
    <n v="43785"/>
    <n v="50"/>
    <n v="2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72.069841886572"/>
    <m/>
    <m/>
    <m/>
    <s v="F3X"/>
    <n v="4.02012020168638E+18"/>
    <s v="t"/>
    <m/>
    <n v="2020"/>
    <s v="SA"/>
    <m/>
    <n v="4.0210202016880799E+18"/>
    <s v="http://docquery.fec.gov/cgi-bin/fecimg/?202001319185800868"/>
    <s v="Contributions From Individuals/Persons Other Than Political Committees"/>
  </r>
  <r>
    <s v="C00341396"/>
    <x v="5"/>
    <n v="2019"/>
    <s v="YE"/>
    <n v="2.020013191858E+17"/>
    <s v="11AI"/>
    <n v="1955238"/>
    <n v="1379421"/>
    <m/>
    <s v="IND"/>
    <s v="INDIVIDUAL"/>
    <m/>
    <m/>
    <s v="TAYLOR, DIANA"/>
    <s v="W"/>
    <m/>
    <s v="U"/>
    <s v="DIANA"/>
    <m/>
    <s v="TAYLOR"/>
    <m/>
    <s v="75 CAMBRIDGE PKWY"/>
    <s v="UNIT E708"/>
    <s v="CAMBRIDGE"/>
    <s v="MA"/>
    <n v="21421239"/>
    <s v="NOT EMPLOYED"/>
    <s v="NOT EMPLOYED"/>
    <m/>
    <n v="15"/>
    <s v="CONTRIBUTION"/>
    <m/>
    <m/>
    <m/>
    <n v="43815"/>
    <n v="5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72.069841886572"/>
    <m/>
    <m/>
    <m/>
    <s v="F3X"/>
    <n v="4.02012020168638E+18"/>
    <s v="t"/>
    <m/>
    <n v="2020"/>
    <s v="SA"/>
    <m/>
    <n v="4.0210202016880799E+18"/>
    <s v="http://docquery.fec.gov/cgi-bin/fecimg/?202001319185800868"/>
    <s v="Contributions From Individuals/Persons Other Than Political Committees"/>
  </r>
  <r>
    <s v="C00639591"/>
    <x v="6"/>
    <n v="2019"/>
    <s v="Q3"/>
    <n v="2.0200131918412E+17"/>
    <s v="11AI"/>
    <s v="VTQX5JGF9F8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704"/>
    <n v="27"/>
    <n v="41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5011573"/>
    <m/>
    <s v="VTQX5JGF9F8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8"/>
    <s v="Contributions From Individuals/Persons Other Than Political Committees"/>
  </r>
  <r>
    <s v="C00693234"/>
    <x v="0"/>
    <n v="2019"/>
    <s v="YE"/>
    <n v="2.02001319184988E+17"/>
    <s v="17A"/>
    <n v="4611850"/>
    <n v="137866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53"/>
    <n v="50"/>
    <n v="71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75.067599386573"/>
    <m/>
    <s v="4611850E"/>
    <s v="SA17A"/>
    <s v="F3P"/>
    <n v="4.0131202016861901E+18"/>
    <s v="t"/>
    <s v="* EARMARKED CONTRIBUTION: SEE BELOW"/>
    <n v="2020"/>
    <s v="SA"/>
    <m/>
    <n v="4.0213202016906701E+18"/>
    <s v="http://docquery.fec.gov/cgi-bin/fecimg/?202001319184988334"/>
    <s v="Contributions From Individuals/Persons Other Than Political Committees"/>
  </r>
  <r>
    <s v="C00693234"/>
    <x v="0"/>
    <n v="2019"/>
    <s v="YE"/>
    <n v="2.02001319184988E+17"/>
    <s v="17A"/>
    <n v="4921395"/>
    <n v="1378669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789"/>
    <n v="50"/>
    <n v="71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75.067599386573"/>
    <m/>
    <s v="4921395E"/>
    <s v="SA17A"/>
    <s v="F3P"/>
    <n v="4.0131202016861901E+18"/>
    <s v="t"/>
    <s v="* EARMARKED CONTRIBUTION: SEE BELOW"/>
    <n v="2020"/>
    <s v="SA"/>
    <m/>
    <n v="4.0213202016906701E+18"/>
    <s v="http://docquery.fec.gov/cgi-bin/fecimg/?202001319184988334"/>
    <s v="Contributions From Individuals/Persons Other Than Political Committees"/>
  </r>
  <r>
    <s v="C00639591"/>
    <x v="6"/>
    <n v="2019"/>
    <s v="Q3"/>
    <n v="2.0200131918412E+17"/>
    <s v="11AI"/>
    <s v="VTQX5J5X6Z4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661"/>
    <n v="50"/>
    <n v="258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4999997"/>
    <m/>
    <s v="VTQX5J5X6Z4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5"/>
    <s v="Contributions From Individuals/Persons Other Than Political Committees"/>
  </r>
  <r>
    <s v="C00639591"/>
    <x v="6"/>
    <n v="2019"/>
    <s v="Q3"/>
    <n v="2.0200131918412E+17"/>
    <s v="11AI"/>
    <s v="VTQX5J67906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662"/>
    <n v="25"/>
    <n v="258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4999997"/>
    <m/>
    <s v="VTQX5J67906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6"/>
    <s v="Contributions From Individuals/Persons Other Than Political Committees"/>
  </r>
  <r>
    <s v="C00639591"/>
    <x v="6"/>
    <n v="2019"/>
    <s v="Q3"/>
    <n v="2.0200131918412E+17"/>
    <s v="11AI"/>
    <s v="VTQX5J827C2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667"/>
    <n v="100"/>
    <n v="358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4999997"/>
    <m/>
    <s v="VTQX5J827C2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6"/>
    <s v="Contributions From Individuals/Persons Other Than Political Committees"/>
  </r>
  <r>
    <s v="C00639591"/>
    <x v="6"/>
    <n v="2019"/>
    <s v="Q3"/>
    <n v="2.0200131918412E+17"/>
    <s v="11AI"/>
    <s v="VTQX5J93161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673"/>
    <n v="27"/>
    <n v="385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4999997"/>
    <m/>
    <s v="VTQX5J93161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7"/>
    <s v="Contributions From Individuals/Persons Other Than Political Committees"/>
  </r>
  <r>
    <s v="C00639591"/>
    <x v="6"/>
    <n v="2019"/>
    <s v="Q3"/>
    <n v="2.0200131918412E+17"/>
    <s v="11AI"/>
    <s v="VTQX5JNPXW0"/>
    <n v="1376589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735"/>
    <n v="27"/>
    <n v="439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883.085165011573"/>
    <m/>
    <s v="VTQX5JNPXW0E"/>
    <s v="SA11AI"/>
    <s v="F3"/>
    <n v="4.0131202016861798E+18"/>
    <s v="t"/>
    <s v="* EARMARKED CONTRIBUTION: SEE BELOW"/>
    <n v="2020"/>
    <s v="SA"/>
    <m/>
    <n v="4.02212020169346E+18"/>
    <s v="http://docquery.fec.gov/cgi-bin/fecimg/?202001319184120228"/>
    <s v="Contributions From Individuals/Persons Other Than Political Committees"/>
  </r>
  <r>
    <s v="C00213512"/>
    <x v="4"/>
    <n v="2020"/>
    <s v="12P"/>
    <n v="2.02002209186608E+17"/>
    <s v="11AI"/>
    <s v="VSHCDJX25Y4"/>
    <n v="138434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35"/>
    <n v="25"/>
    <n v="74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89.188153657407"/>
    <m/>
    <s v="VSHCDJX25Y4E"/>
    <s v="SA11AI"/>
    <s v="F3"/>
    <n v="4.0220202016931901E+18"/>
    <s v="t"/>
    <s v="* EARMARKED CONTRIBUTION: SEE BELOW"/>
    <n v="2020"/>
    <s v="SA"/>
    <m/>
    <n v="4.02272020169965E+18"/>
    <s v="http://docquery.fec.gov/cgi-bin/fecimg/?202002209186608221"/>
    <s v="Contributions From Individuals/Persons Other Than Political Committees"/>
  </r>
  <r>
    <s v="C00213512"/>
    <x v="4"/>
    <n v="2020"/>
    <s v="12P"/>
    <n v="2.02002209186608E+17"/>
    <s v="11AI"/>
    <s v="VSHCDK044X7"/>
    <n v="138434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43"/>
    <n v="50"/>
    <n v="74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89.188153657407"/>
    <m/>
    <s v="VSHCDK044X7E"/>
    <s v="SA11AI"/>
    <s v="F3"/>
    <n v="4.0220202016931901E+18"/>
    <s v="t"/>
    <s v="* EARMARKED CONTRIBUTION: SEE BELOW"/>
    <n v="2020"/>
    <s v="SA"/>
    <m/>
    <n v="4.02272020169965E+18"/>
    <s v="http://docquery.fec.gov/cgi-bin/fecimg/?202002209186608222"/>
    <s v="Contributions From Individuals/Persons Other Than Political Committees"/>
  </r>
  <r>
    <s v="C00213512"/>
    <x v="4"/>
    <n v="2020"/>
    <s v="12P"/>
    <n v="2.02002209186608E+17"/>
    <s v="11AI"/>
    <s v="VSHCDK4MH23"/>
    <n v="1384345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65"/>
    <n v="70"/>
    <n v="74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89.188153657407"/>
    <m/>
    <s v="VSHCDK4MH23E"/>
    <s v="SA11AI"/>
    <s v="F3"/>
    <n v="4.0220202016931901E+18"/>
    <s v="t"/>
    <s v="* EARMARKED CONTRIBUTION: SEE BELOW"/>
    <n v="2020"/>
    <s v="SA"/>
    <m/>
    <n v="4.02272020169965E+18"/>
    <s v="http://docquery.fec.gov/cgi-bin/fecimg/?202002209186608222"/>
    <s v="Contributions From Individuals/Persons Other Than Political Committees"/>
  </r>
  <r>
    <s v="C00401224"/>
    <x v="3"/>
    <n v="2019"/>
    <s v="YE"/>
    <n v="2.0200129917472301E+17"/>
    <s v="11AI"/>
    <s v="SA11AI_17398655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04"/>
    <n v="20"/>
    <n v="5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1711273145"/>
    <m/>
    <m/>
    <m/>
    <s v="F3X"/>
    <n v="4.02012020168638E+18"/>
    <s v="t"/>
    <s v="EARMARKED FOR MARK KELLY FOR SENATE (C00696526)"/>
    <n v="2020"/>
    <s v="SA"/>
    <m/>
    <n v="4.0302202012160799E+18"/>
    <s v="http://docquery.fec.gov/cgi-bin/fecimg/?202001299174723197"/>
    <s v="Contributions From Individuals/Persons Other Than Political Committees"/>
  </r>
  <r>
    <s v="C00401224"/>
    <x v="3"/>
    <n v="2019"/>
    <s v="YE"/>
    <n v="2.0200129917472301E+17"/>
    <s v="11AI"/>
    <s v="SA11AI_17576759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15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4445694446"/>
    <m/>
    <m/>
    <m/>
    <s v="F3X"/>
    <n v="4.02012020168638E+18"/>
    <s v="t"/>
    <s v="CONTRIBUTION TO ACTBLUE"/>
    <n v="2020"/>
    <s v="SA"/>
    <m/>
    <n v="4.0302202012218102E+18"/>
    <s v="http://docquery.fec.gov/cgi-bin/fecimg/?202001299174723202"/>
    <s v="Contributions From Individuals/Persons Other Than Political Committees"/>
  </r>
  <r>
    <s v="C00401224"/>
    <x v="3"/>
    <n v="2019"/>
    <s v="YE"/>
    <n v="2.0200129917472301E+17"/>
    <s v="11AI"/>
    <s v="SA11AI_179133072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735"/>
    <n v="27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5794201389"/>
    <m/>
    <m/>
    <m/>
    <s v="F3X"/>
    <n v="4.02012020168638E+18"/>
    <s v="t"/>
    <s v="EARMARKED FOR ALEXANDRIA OCASIO-CORTEZ FOR CONGRESS (C00639591)"/>
    <n v="2020"/>
    <s v="SA"/>
    <m/>
    <n v="4.0302202012221199E+18"/>
    <s v="http://docquery.fec.gov/cgi-bin/fecimg/?202001299174723210"/>
    <s v="Contributions From Individuals/Persons Other Than Political Committees"/>
  </r>
  <r>
    <s v="C00401224"/>
    <x v="3"/>
    <n v="2019"/>
    <s v="YE"/>
    <n v="2.0200129917472301E+17"/>
    <s v="11AI"/>
    <s v="SA11AI_184364401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62"/>
    <n v="10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6063090274"/>
    <m/>
    <m/>
    <m/>
    <s v="F3X"/>
    <n v="4.02012020168638E+18"/>
    <s v="t"/>
    <s v="EARMARKED FOR NANCY PELOSI FOR CONGRESS (C00213512)"/>
    <n v="2020"/>
    <s v="SA"/>
    <m/>
    <n v="4.0302202012226099E+18"/>
    <s v="http://docquery.fec.gov/cgi-bin/fecimg/?202001299174723228"/>
    <s v="Contributions From Individuals/Persons Other Than Political Committees"/>
  </r>
  <r>
    <s v="C00401224"/>
    <x v="3"/>
    <n v="2019"/>
    <s v="YE"/>
    <n v="2.0200129917472301E+17"/>
    <s v="11AI"/>
    <s v="SA11AI_168517676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75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6755023148"/>
    <m/>
    <m/>
    <m/>
    <s v="F3X"/>
    <n v="4.02012020168638E+18"/>
    <s v="t"/>
    <s v="EARMARKED FOR WARREN FOR PRESIDENT, INC. (C00693234)"/>
    <n v="2020"/>
    <s v="SA"/>
    <m/>
    <n v="4.0302202012242299E+18"/>
    <s v="http://docquery.fec.gov/cgi-bin/fecimg/?202001299174723181"/>
    <s v="Contributions From Individuals/Persons Other Than Political Committees"/>
  </r>
  <r>
    <s v="C00401224"/>
    <x v="3"/>
    <n v="2019"/>
    <s v="YE"/>
    <n v="2.0200129917472301E+17"/>
    <s v="11AI"/>
    <s v="SA11AI_192355668"/>
    <n v="1378435"/>
    <m/>
    <s v="IND"/>
    <s v="INDIVIDUAL"/>
    <s v="C00688739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88739"/>
    <s v="24T"/>
    <s v="EARMARKED INTERMEDIARY TREASURY OUT"/>
    <s v="EARMARK"/>
    <m/>
    <m/>
    <n v="43807"/>
    <n v="100"/>
    <n v="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9902511571"/>
    <m/>
    <m/>
    <m/>
    <s v="F3X"/>
    <n v="4.02012020168638E+18"/>
    <s v="t"/>
    <s v="EARMARKED FOR DITCH FUND (C00688739)"/>
    <n v="2020"/>
    <s v="SA"/>
    <m/>
    <n v="4.03022020123571E+18"/>
    <s v="http://docquery.fec.gov/cgi-bin/fecimg/?202001299174723254"/>
    <s v="Contributions From Individuals/Persons Other Than Political Committees"/>
  </r>
  <r>
    <s v="C00401224"/>
    <x v="3"/>
    <n v="2019"/>
    <s v="YE"/>
    <n v="2.0200129917472301E+17"/>
    <s v="11AI"/>
    <s v="SA11AI_19576380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26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1540775465"/>
    <m/>
    <m/>
    <m/>
    <s v="F3X"/>
    <n v="4.02012020168638E+18"/>
    <s v="t"/>
    <s v="CONTRIBUTION TO ACTBLUE"/>
    <n v="2020"/>
    <s v="SA"/>
    <m/>
    <n v="4.0302202012391301E+18"/>
    <s v="http://docquery.fec.gov/cgi-bin/fecimg/?202001299174723262"/>
    <s v="Contributions From Individuals/Persons Other Than Political Committees"/>
  </r>
  <r>
    <s v="C00401224"/>
    <x v="3"/>
    <n v="2019"/>
    <s v="YE"/>
    <n v="2.0200129917472301E+17"/>
    <s v="11AI"/>
    <s v="SA11AI_168438553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74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4468530092"/>
    <m/>
    <m/>
    <m/>
    <s v="F3X"/>
    <n v="4.02012020168638E+18"/>
    <s v="t"/>
    <s v="EARMARKED FOR WARREN FOR PRESIDENT, INC. (C00693234)"/>
    <n v="2020"/>
    <s v="SA"/>
    <m/>
    <n v="4.0302202012151101E+18"/>
    <s v="http://docquery.fec.gov/cgi-bin/fecimg/?202001299174723181"/>
    <s v="Contributions From Individuals/Persons Other Than Political Committees"/>
  </r>
  <r>
    <s v="C00401224"/>
    <x v="3"/>
    <n v="2019"/>
    <s v="YE"/>
    <n v="2.0200129917472301E+17"/>
    <s v="11AI"/>
    <s v="SA11AI_193108344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812"/>
    <n v="5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4472048614"/>
    <m/>
    <m/>
    <m/>
    <s v="F3X"/>
    <n v="4.02012020168638E+18"/>
    <s v="t"/>
    <s v="EARMARKED FOR NANCY PELOSI FOR CONGRESS (C00213512)"/>
    <n v="2020"/>
    <s v="SA"/>
    <m/>
    <n v="4.0302202012151199E+18"/>
    <s v="http://docquery.fec.gov/cgi-bin/fecimg/?202001299174723257"/>
    <s v="Contributions From Individuals/Persons Other Than Political Committees"/>
  </r>
  <r>
    <s v="C00401224"/>
    <x v="3"/>
    <n v="2019"/>
    <s v="YE"/>
    <n v="2.0200129917472301E+17"/>
    <s v="11AI"/>
    <s v="SA11AI_16880740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6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4651874998"/>
    <m/>
    <m/>
    <m/>
    <s v="F3X"/>
    <n v="4.02012020168638E+18"/>
    <s v="t"/>
    <s v="CONTRIBUTION TO ACTBLUE"/>
    <n v="2020"/>
    <s v="SA"/>
    <m/>
    <n v="4.0302202012150902E+18"/>
    <s v="http://docquery.fec.gov/cgi-bin/fecimg/?202001299174723182"/>
    <s v="Contributions From Individuals/Persons Other Than Political Committees"/>
  </r>
  <r>
    <s v="C00401224"/>
    <x v="3"/>
    <n v="2019"/>
    <s v="YE"/>
    <n v="2.0200129917472301E+17"/>
    <s v="11AI"/>
    <s v="SA11AI_18400618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60"/>
    <n v="27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8632627311"/>
    <m/>
    <m/>
    <m/>
    <s v="F3X"/>
    <n v="4.02012020168638E+18"/>
    <s v="t"/>
    <s v="EARMARKED FOR THE COMMITTEE TO ELECT AYANNA PRESSLEY (C00667741)"/>
    <n v="2020"/>
    <s v="SA"/>
    <m/>
    <n v="4.0302202012225802E+18"/>
    <s v="http://docquery.fec.gov/cgi-bin/fecimg/?202001299174723225"/>
    <s v="Contributions From Individuals/Persons Other Than Political Committees"/>
  </r>
  <r>
    <s v="C00401224"/>
    <x v="3"/>
    <n v="2019"/>
    <s v="YE"/>
    <n v="2.0200129917472301E+17"/>
    <s v="11AI"/>
    <s v="SA11AI_195763795"/>
    <n v="1378435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826"/>
    <n v="50"/>
    <n v="3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10545289351"/>
    <m/>
    <m/>
    <m/>
    <s v="F3X"/>
    <n v="4.02012020168638E+18"/>
    <s v="t"/>
    <s v="EARMARKED FOR DCCC (C00000935)"/>
    <n v="2020"/>
    <s v="SA"/>
    <m/>
    <n v="4.0302202012267602E+18"/>
    <s v="http://docquery.fec.gov/cgi-bin/fecimg/?202001299174723261"/>
    <s v="Contributions From Individuals/Persons Other Than Political Committees"/>
  </r>
  <r>
    <s v="C00401224"/>
    <x v="3"/>
    <n v="2019"/>
    <s v="YE"/>
    <n v="2.0200129917472301E+17"/>
    <s v="11AI"/>
    <s v="SA11AI_17257079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5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08819513892"/>
    <m/>
    <m/>
    <m/>
    <s v="F3X"/>
    <n v="4.02012020168638E+18"/>
    <s v="t"/>
    <s v="CONTRIBUTION TO ACTBLUE"/>
    <n v="2020"/>
    <s v="SA"/>
    <m/>
    <n v="4.0302202012215199E+18"/>
    <s v="http://docquery.fec.gov/cgi-bin/fecimg/?202001299174723194"/>
    <s v="Contributions From Individuals/Persons Other Than Political Committees"/>
  </r>
  <r>
    <s v="C00401224"/>
    <x v="3"/>
    <n v="2019"/>
    <s v="YE"/>
    <n v="2.0200129917472301E+17"/>
    <s v="11AI"/>
    <s v="SA11AI_17987454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7"/>
    <n v="2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10217488426"/>
    <m/>
    <m/>
    <m/>
    <s v="F3X"/>
    <n v="4.02012020168638E+18"/>
    <s v="t"/>
    <s v="CONTRIBUTION TO ACTBLUE"/>
    <n v="2020"/>
    <s v="SA"/>
    <m/>
    <n v="4.03022020122528E+18"/>
    <s v="http://docquery.fec.gov/cgi-bin/fecimg/?202001299174723214"/>
    <s v="Contributions From Individuals/Persons Other Than Political Committees"/>
  </r>
  <r>
    <s v="C00401224"/>
    <x v="3"/>
    <n v="2019"/>
    <s v="YE"/>
    <n v="2.0200129917472301E+17"/>
    <s v="11AI"/>
    <s v="SA11AI_166648554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662"/>
    <n v="25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14189722223"/>
    <m/>
    <m/>
    <m/>
    <s v="F3X"/>
    <n v="4.02012020168638E+18"/>
    <s v="t"/>
    <s v="EARMARKED FOR ALEXANDRIA OCASIO-CORTEZ FOR CONGRESS (C00639591)"/>
    <n v="2020"/>
    <s v="SA"/>
    <m/>
    <n v="4.0302202012333302E+18"/>
    <s v="http://docquery.fec.gov/cgi-bin/fecimg/?202001299174723170"/>
    <s v="Contributions From Individuals/Persons Other Than Political Committees"/>
  </r>
  <r>
    <s v="C00401224"/>
    <x v="3"/>
    <n v="2019"/>
    <s v="YE"/>
    <n v="2.0200129917472301E+17"/>
    <s v="11AI"/>
    <s v="SA11AI_17455033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07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13336388892"/>
    <m/>
    <m/>
    <m/>
    <s v="F3X"/>
    <n v="4.02012020168638E+18"/>
    <s v="t"/>
    <s v="CONTRIBUTION TO ACTBLUE"/>
    <n v="2020"/>
    <s v="SA"/>
    <m/>
    <n v="4.0302202012278799E+18"/>
    <s v="http://docquery.fec.gov/cgi-bin/fecimg/?202001299174723200"/>
    <s v="Contributions From Individuals/Persons Other Than Political Committees"/>
  </r>
  <r>
    <s v="C00401224"/>
    <x v="3"/>
    <n v="2019"/>
    <s v="YE"/>
    <n v="2.0200129917472301E+17"/>
    <s v="11AI"/>
    <s v="SA11AI_18260103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53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16814583333"/>
    <m/>
    <m/>
    <m/>
    <s v="F3X"/>
    <n v="4.02012020168638E+18"/>
    <s v="t"/>
    <s v="CONTRIBUTION TO ACTBLUE"/>
    <n v="2020"/>
    <s v="SA"/>
    <m/>
    <n v="4.0302202012378998E+18"/>
    <s v="http://docquery.fec.gov/cgi-bin/fecimg/?202001299174723222"/>
    <s v="Contributions From Individuals/Persons Other Than Political Committees"/>
  </r>
  <r>
    <s v="C00401224"/>
    <x v="3"/>
    <n v="2019"/>
    <s v="YE"/>
    <n v="2.0200129917472301E+17"/>
    <s v="11AI"/>
    <s v="SA11AI_167482436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667"/>
    <n v="100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36503877312"/>
    <m/>
    <m/>
    <m/>
    <s v="F3X"/>
    <n v="4.02012020168638E+18"/>
    <s v="t"/>
    <s v="EARMARKED FOR ALEXANDRIA OCASIO-CORTEZ FOR CONGRESS (C00639591)"/>
    <n v="2020"/>
    <s v="SA"/>
    <m/>
    <n v="4.0302202012151199E+18"/>
    <s v="http://docquery.fec.gov/cgi-bin/fecimg/?202001299174723175"/>
    <s v="Contributions From Individuals/Persons Other Than Political Committees"/>
  </r>
  <r>
    <s v="C00401224"/>
    <x v="3"/>
    <n v="2019"/>
    <s v="YE"/>
    <n v="2.0200129917472301E+17"/>
    <s v="11AI"/>
    <s v="SA11AI_186022953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70"/>
    <n v="5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37872627315"/>
    <m/>
    <m/>
    <m/>
    <s v="F3X"/>
    <n v="4.02012020168638E+18"/>
    <s v="t"/>
    <s v="EARMARKED FOR NANCY PELOSI FOR CONGRESS (C00213512)"/>
    <n v="2020"/>
    <s v="SA"/>
    <m/>
    <n v="4.03022020121967E+18"/>
    <s v="http://docquery.fec.gov/cgi-bin/fecimg/?202001299174723234"/>
    <s v="Contributions From Individuals/Persons Other Than Political Committees"/>
  </r>
  <r>
    <s v="C00401224"/>
    <x v="3"/>
    <n v="2019"/>
    <s v="YE"/>
    <n v="2.0200129917472301E+17"/>
    <s v="11AI"/>
    <s v="SA11AI_16840318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4"/>
    <n v="25"/>
    <n v="1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38213194445"/>
    <m/>
    <m/>
    <m/>
    <s v="F3X"/>
    <n v="4.02012020168638E+18"/>
    <s v="t"/>
    <s v="EARMARKED FOR KAMALA HARRIS FOR THE PEOPLE (C00694455)"/>
    <n v="2020"/>
    <s v="SA"/>
    <m/>
    <n v="4.0302202012180398E+18"/>
    <s v="http://docquery.fec.gov/cgi-bin/fecimg/?202001299174723180"/>
    <s v="Contributions From Individuals/Persons Other Than Political Committees"/>
  </r>
  <r>
    <s v="C00401224"/>
    <x v="3"/>
    <n v="2019"/>
    <s v="YE"/>
    <n v="2.0200129917472301E+17"/>
    <s v="11AI"/>
    <s v="SA11AI_173799083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03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38711377313"/>
    <m/>
    <m/>
    <m/>
    <s v="F3X"/>
    <n v="4.02012020168638E+18"/>
    <s v="t"/>
    <s v="CONTRIBUTION TO ACTBLUE"/>
    <n v="2020"/>
    <s v="SA"/>
    <m/>
    <n v="4.03022020121854E+18"/>
    <s v="http://docquery.fec.gov/cgi-bin/fecimg/?202001299174723195"/>
    <s v="Contributions From Individuals/Persons Other Than Political Committees"/>
  </r>
  <r>
    <s v="C00401224"/>
    <x v="3"/>
    <n v="2019"/>
    <s v="YE"/>
    <n v="2.0200129917472301E+17"/>
    <s v="11AI"/>
    <s v="SA11AI_194434218"/>
    <n v="1378435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818"/>
    <n v="100"/>
    <n v="3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47598159722"/>
    <m/>
    <m/>
    <m/>
    <s v="F3X"/>
    <n v="4.02012020168638E+18"/>
    <s v="t"/>
    <s v="EARMARKED FOR DCCC (C00000935)"/>
    <n v="2020"/>
    <s v="SA"/>
    <m/>
    <n v="4.0302202012297298E+18"/>
    <s v="http://docquery.fec.gov/cgi-bin/fecimg/?202001299174723259"/>
    <s v="Contributions From Individuals/Persons Other Than Political Committees"/>
  </r>
  <r>
    <s v="C00401224"/>
    <x v="3"/>
    <n v="2019"/>
    <s v="YE"/>
    <n v="2.0200129917472301E+17"/>
    <s v="11AI"/>
    <s v="SA11AI_16819011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3"/>
    <n v="2.7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48421249997"/>
    <m/>
    <m/>
    <m/>
    <s v="F3X"/>
    <n v="4.02012020168638E+18"/>
    <s v="t"/>
    <s v="CONTRIBUTION TO ACTBLUE"/>
    <n v="2020"/>
    <s v="SA"/>
    <m/>
    <n v="4.0302202012272901E+18"/>
    <s v="http://docquery.fec.gov/cgi-bin/fecimg/?202001299174723180"/>
    <s v="Contributions From Individuals/Persons Other Than Political Committees"/>
  </r>
  <r>
    <s v="C00401224"/>
    <x v="3"/>
    <n v="2019"/>
    <s v="YE"/>
    <n v="2.0200129917472301E+17"/>
    <s v="11AI"/>
    <s v="SA11AI_185237076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67"/>
    <n v="10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49626296294"/>
    <m/>
    <m/>
    <m/>
    <s v="F3X"/>
    <n v="4.02012020168638E+18"/>
    <s v="t"/>
    <s v="EARMARKED FOR NANCY PELOSI FOR CONGRESS (C00213512)"/>
    <n v="2020"/>
    <s v="SA"/>
    <m/>
    <n v="4.03022020123505E+18"/>
    <s v="http://docquery.fec.gov/cgi-bin/fecimg/?202001299174723231"/>
    <s v="Contributions From Individuals/Persons Other Than Political Committees"/>
  </r>
  <r>
    <s v="C00401224"/>
    <x v="3"/>
    <n v="2019"/>
    <s v="YE"/>
    <n v="2.0200129917472301E+17"/>
    <s v="11AI"/>
    <s v="SA11AI_19179482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04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0507395837"/>
    <m/>
    <m/>
    <m/>
    <s v="F3X"/>
    <n v="4.02012020168638E+18"/>
    <s v="t"/>
    <s v="CONTRIBUTION TO ACTBLUE"/>
    <n v="2020"/>
    <s v="SA"/>
    <m/>
    <n v="4.0302202012356598E+18"/>
    <s v="http://docquery.fec.gov/cgi-bin/fecimg/?202001299174723252"/>
    <s v="Contributions From Individuals/Persons Other Than Political Committees"/>
  </r>
  <r>
    <s v="C00401224"/>
    <x v="3"/>
    <n v="2019"/>
    <s v="YE"/>
    <n v="2.0200129917472301E+17"/>
    <s v="11AI"/>
    <s v="SA11AI_166416034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661"/>
    <n v="50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0515682869"/>
    <m/>
    <m/>
    <m/>
    <s v="F3X"/>
    <n v="4.02012020168638E+18"/>
    <s v="t"/>
    <s v="EARMARKED FOR ALEXANDRIA OCASIO-CORTEZ FOR CONGRESS (C00639591)"/>
    <n v="2020"/>
    <s v="SA"/>
    <m/>
    <n v="4.0302202012151301E+18"/>
    <s v="http://docquery.fec.gov/cgi-bin/fecimg/?202001299174723169"/>
    <s v="Contributions From Individuals/Persons Other Than Political Committees"/>
  </r>
  <r>
    <s v="C00401224"/>
    <x v="3"/>
    <n v="2019"/>
    <s v="YE"/>
    <n v="2.0200129917472301E+17"/>
    <s v="11AI"/>
    <s v="SA11AI_16664855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2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2944375001"/>
    <m/>
    <m/>
    <m/>
    <s v="F3X"/>
    <n v="4.02012020168638E+18"/>
    <s v="t"/>
    <s v="EARMARKED FOR RASHIDA TLAIB FOR CONGRESS (C00668608)"/>
    <n v="2020"/>
    <s v="SA"/>
    <m/>
    <n v="4.0302202012178801E+18"/>
    <s v="http://docquery.fec.gov/cgi-bin/fecimg/?202001299174723172"/>
    <s v="Contributions From Individuals/Persons Other Than Political Committees"/>
  </r>
  <r>
    <s v="C00401224"/>
    <x v="3"/>
    <n v="2019"/>
    <s v="YE"/>
    <n v="2.0200129917472301E+17"/>
    <s v="11AI"/>
    <s v="SA11AI_18602311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70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3111296296"/>
    <m/>
    <m/>
    <m/>
    <s v="F3X"/>
    <n v="4.02012020168638E+18"/>
    <s v="t"/>
    <s v="CONTRIBUTION TO ACTBLUE"/>
    <n v="2020"/>
    <s v="SA"/>
    <m/>
    <n v="4.0302202012351201E+18"/>
    <s v="http://docquery.fec.gov/cgi-bin/fecimg/?202001299174723234"/>
    <s v="Contributions From Individuals/Persons Other Than Political Committees"/>
  </r>
  <r>
    <s v="C00401224"/>
    <x v="3"/>
    <n v="2019"/>
    <s v="YE"/>
    <n v="2.0200129917472301E+17"/>
    <s v="11AI"/>
    <s v="SA11AI_16748244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7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3373090278"/>
    <m/>
    <m/>
    <m/>
    <s v="F3X"/>
    <n v="4.02012020168638E+18"/>
    <s v="t"/>
    <s v="CONTRIBUTION TO ACTBLUE"/>
    <n v="2020"/>
    <s v="SA"/>
    <m/>
    <n v="4.0302202012365E+18"/>
    <s v="http://docquery.fec.gov/cgi-bin/fecimg/?202001299174723174"/>
    <s v="Contributions From Individuals/Persons Other Than Political Committees"/>
  </r>
  <r>
    <s v="C00401224"/>
    <x v="3"/>
    <n v="2019"/>
    <s v="YE"/>
    <n v="2.0200129917472301E+17"/>
    <s v="11AI"/>
    <s v="SA11AI_17232052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3"/>
    <n v="12.5"/>
    <n v="6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3804814818"/>
    <m/>
    <m/>
    <m/>
    <s v="F3X"/>
    <n v="4.02012020168638E+18"/>
    <s v="t"/>
    <s v="EARMARKED FOR NATIONAL DEMOCRATIC TRAINING COMMITTEE PAC (C00603084)"/>
    <n v="2020"/>
    <s v="SA"/>
    <m/>
    <n v="4.03022020123695E+18"/>
    <s v="http://docquery.fec.gov/cgi-bin/fecimg/?202001299174723192"/>
    <s v="Contributions From Individuals/Persons Other Than Political Committees"/>
  </r>
  <r>
    <s v="C00401224"/>
    <x v="3"/>
    <n v="2019"/>
    <s v="YE"/>
    <n v="2.0200129917472301E+17"/>
    <s v="11AI"/>
    <s v="SA11AI_17237173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4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3868645834"/>
    <m/>
    <m/>
    <m/>
    <s v="F3X"/>
    <n v="4.02012020168638E+18"/>
    <s v="t"/>
    <s v="CONTRIBUTION TO ACTBLUE"/>
    <n v="2020"/>
    <s v="SA"/>
    <m/>
    <n v="4.0302202012369603E+18"/>
    <s v="http://docquery.fec.gov/cgi-bin/fecimg/?202001299174723193"/>
    <s v="Contributions From Individuals/Persons Other Than Political Committees"/>
  </r>
  <r>
    <s v="C00401224"/>
    <x v="3"/>
    <n v="2019"/>
    <s v="YE"/>
    <n v="2.0200129917472301E+17"/>
    <s v="11AI"/>
    <s v="SA11AI_18808241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84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6625729168"/>
    <m/>
    <m/>
    <m/>
    <s v="F3X"/>
    <n v="4.02012020168638E+18"/>
    <s v="t"/>
    <s v="CONTRIBUTION TO ACTBLUE"/>
    <n v="2020"/>
    <s v="SA"/>
    <m/>
    <n v="4.0302202012260301E+18"/>
    <s v="http://docquery.fec.gov/cgi-bin/fecimg/?202001299174723241"/>
    <s v="Contributions From Individuals/Persons Other Than Political Committees"/>
  </r>
  <r>
    <s v="C00401224"/>
    <x v="3"/>
    <n v="2019"/>
    <s v="YE"/>
    <n v="2.0200129917472301E+17"/>
    <s v="11AI"/>
    <s v="SA11AI_19342006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14"/>
    <n v="10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7025694444"/>
    <m/>
    <m/>
    <m/>
    <s v="F3X"/>
    <n v="4.02012020168638E+18"/>
    <s v="t"/>
    <s v="EARMARKED FOR THE COMMITTEE TO ELECT AYANNA PRESSLEY (C00667741)"/>
    <n v="2020"/>
    <s v="SA"/>
    <m/>
    <n v="4.0302202012234501E+18"/>
    <s v="http://docquery.fec.gov/cgi-bin/fecimg/?202001299174723257"/>
    <s v="Contributions From Individuals/Persons Other Than Political Committees"/>
  </r>
  <r>
    <s v="C00401224"/>
    <x v="3"/>
    <n v="2019"/>
    <s v="YE"/>
    <n v="2.0200129917472301E+17"/>
    <s v="11AI"/>
    <s v="SA11AI_16641603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1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8650069444"/>
    <m/>
    <m/>
    <m/>
    <s v="F3X"/>
    <n v="4.02012020168638E+18"/>
    <s v="t"/>
    <s v="CONTRIBUTION TO ACTBLUE"/>
    <n v="2020"/>
    <s v="SA"/>
    <m/>
    <n v="4.0302202012271299E+18"/>
    <s v="http://docquery.fec.gov/cgi-bin/fecimg/?202001299174723169"/>
    <s v="Contributions From Individuals/Persons Other Than Political Committees"/>
  </r>
  <r>
    <s v="C00401224"/>
    <x v="3"/>
    <n v="2019"/>
    <s v="YE"/>
    <n v="2.0200129917472301E+17"/>
    <s v="11AI"/>
    <s v="SA11AI_177405055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25"/>
    <n v="1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59154907404"/>
    <m/>
    <m/>
    <m/>
    <s v="F3X"/>
    <n v="4.02012020168638E+18"/>
    <s v="t"/>
    <s v="EARMARKED FOR WARREN FOR PRESIDENT, INC. (C00693234)"/>
    <n v="2020"/>
    <s v="SA"/>
    <m/>
    <n v="4.0302202012343199E+18"/>
    <s v="http://docquery.fec.gov/cgi-bin/fecimg/?202001299174723206"/>
    <s v="Contributions From Individuals/Persons Other Than Political Committees"/>
  </r>
  <r>
    <s v="C00401224"/>
    <x v="3"/>
    <n v="2019"/>
    <s v="YE"/>
    <n v="2.0200129917472301E+17"/>
    <s v="11AI"/>
    <s v="SA11AI_16811429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2"/>
    <n v="50"/>
    <n v="170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68336435182"/>
    <m/>
    <m/>
    <m/>
    <s v="F3X"/>
    <n v="4.02012020168638E+18"/>
    <s v="t"/>
    <s v="EARMARKED FOR DEMOCRATIC PARTY OF WISCONSIN - FEDERAL ACCOUNT (C00019331)"/>
    <n v="2020"/>
    <s v="SA"/>
    <m/>
    <n v="4.03022020121585E+18"/>
    <s v="http://docquery.fec.gov/cgi-bin/fecimg/?202001299174723179"/>
    <s v="Contributions From Individuals/Persons Other Than Political Committees"/>
  </r>
  <r>
    <s v="C00401224"/>
    <x v="3"/>
    <n v="2019"/>
    <s v="YE"/>
    <n v="2.0200129917472301E+17"/>
    <s v="11AI"/>
    <s v="SA11AI_18779253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82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72009965278"/>
    <m/>
    <m/>
    <m/>
    <s v="F3X"/>
    <n v="4.02012020168638E+18"/>
    <s v="t"/>
    <s v="CONTRIBUTION TO ACTBLUE"/>
    <n v="2020"/>
    <s v="SA"/>
    <m/>
    <n v="4.0302202012229202E+18"/>
    <s v="http://docquery.fec.gov/cgi-bin/fecimg/?202001299174723239"/>
    <s v="Contributions From Individuals/Persons Other Than Political Committees"/>
  </r>
  <r>
    <s v="C00401224"/>
    <x v="3"/>
    <n v="2019"/>
    <s v="YE"/>
    <n v="2.0200129917472301E+17"/>
    <s v="11AI"/>
    <s v="SA11AI_188925885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88"/>
    <n v="5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71915254633"/>
    <m/>
    <m/>
    <m/>
    <s v="F3X"/>
    <n v="4.02012020168638E+18"/>
    <s v="t"/>
    <s v="EARMARKED FOR NANCY PELOSI FOR CONGRESS (C00213512)"/>
    <n v="2020"/>
    <s v="SA"/>
    <m/>
    <n v="4.0302202012230298E+18"/>
    <s v="http://docquery.fec.gov/cgi-bin/fecimg/?202001299174723245"/>
    <s v="Contributions From Individuals/Persons Other Than Political Committees"/>
  </r>
  <r>
    <s v="C00401224"/>
    <x v="3"/>
    <n v="2019"/>
    <s v="YE"/>
    <n v="2.0200129917472301E+17"/>
    <s v="11AI"/>
    <s v="SA11AI_179173588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35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1875370367"/>
    <m/>
    <m/>
    <m/>
    <s v="F3X"/>
    <n v="4.02012020168638E+18"/>
    <s v="t"/>
    <s v="EARMARKED FOR WARREN FOR PRESIDENT, INC. (C00693234)"/>
    <n v="2020"/>
    <s v="SA"/>
    <m/>
    <n v="4.0302202012151301E+18"/>
    <s v="http://docquery.fec.gov/cgi-bin/fecimg/?202001299174723210"/>
    <s v="Contributions From Individuals/Persons Other Than Political Committees"/>
  </r>
  <r>
    <s v="C00401224"/>
    <x v="3"/>
    <n v="2019"/>
    <s v="YE"/>
    <n v="2.0200129917472301E+17"/>
    <s v="11AI"/>
    <s v="SA11AI_16914804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7"/>
    <n v="12.5"/>
    <n v="1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2321157405"/>
    <m/>
    <m/>
    <m/>
    <s v="F3X"/>
    <n v="4.02012020168638E+18"/>
    <s v="t"/>
    <s v="EARMARKED FOR CATHERINE CORTEZ MASTO FOR SENATE (C00575548)"/>
    <n v="2020"/>
    <s v="SA"/>
    <m/>
    <n v="4.0302202012162202E+18"/>
    <s v="http://docquery.fec.gov/cgi-bin/fecimg/?202001299174723185"/>
    <s v="Contributions From Individuals/Persons Other Than Political Committees"/>
  </r>
  <r>
    <s v="C00401224"/>
    <x v="3"/>
    <n v="2019"/>
    <s v="YE"/>
    <n v="2.0200129917472301E+17"/>
    <s v="11AI"/>
    <s v="SA11AI_17709932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23"/>
    <n v="10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2907268518"/>
    <m/>
    <m/>
    <m/>
    <s v="F3X"/>
    <n v="4.02012020168638E+18"/>
    <s v="t"/>
    <s v="EARMARKED FOR THE COMMITTEE TO ELECT AYANNA PRESSLEY (C00667741)"/>
    <n v="2020"/>
    <s v="SA"/>
    <m/>
    <n v="4.0302202012166098E+18"/>
    <s v="http://docquery.fec.gov/cgi-bin/fecimg/?202001299174723205"/>
    <s v="Contributions From Individuals/Persons Other Than Political Committees"/>
  </r>
  <r>
    <s v="C00401224"/>
    <x v="3"/>
    <n v="2019"/>
    <s v="YE"/>
    <n v="2.0200129917472301E+17"/>
    <s v="11AI"/>
    <s v="SA11AI_17974696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37"/>
    <n v="20"/>
    <n v="5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6989965278"/>
    <m/>
    <m/>
    <m/>
    <s v="F3X"/>
    <n v="4.02012020168638E+18"/>
    <s v="t"/>
    <s v="EARMARKED FOR MARK KELLY FOR SENATE (C00696526)"/>
    <n v="2020"/>
    <s v="SA"/>
    <m/>
    <n v="4.0302202012190899E+18"/>
    <s v="http://docquery.fec.gov/cgi-bin/fecimg/?202001299174723213"/>
    <s v="Contributions From Individuals/Persons Other Than Political Committees"/>
  </r>
  <r>
    <s v="C00401224"/>
    <x v="3"/>
    <n v="2019"/>
    <s v="YE"/>
    <n v="2.0200129917472301E+17"/>
    <s v="11AI"/>
    <s v="SA11AI_16811400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2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844116898"/>
    <m/>
    <m/>
    <m/>
    <s v="F3X"/>
    <n v="4.02012020168638E+18"/>
    <s v="t"/>
    <s v="CONTRIBUTION TO ACTBLUE"/>
    <n v="2020"/>
    <s v="SA"/>
    <m/>
    <n v="4.0302202012211098E+18"/>
    <s v="http://docquery.fec.gov/cgi-bin/fecimg/?202001299174723179"/>
    <s v="Contributions From Individuals/Persons Other Than Political Committees"/>
  </r>
  <r>
    <s v="C00401224"/>
    <x v="3"/>
    <n v="2019"/>
    <s v="YE"/>
    <n v="2.0200129917472301E+17"/>
    <s v="11AI"/>
    <s v="SA11AI_16811446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2"/>
    <n v="25"/>
    <n v="1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8441180556"/>
    <m/>
    <m/>
    <m/>
    <s v="F3X"/>
    <n v="4.02012020168638E+18"/>
    <s v="t"/>
    <s v="EARMARKED FOR KAMALA HARRIS FOR THE PEOPLE (C00694455)"/>
    <n v="2020"/>
    <s v="SA"/>
    <m/>
    <n v="4.0302202012211098E+18"/>
    <s v="http://docquery.fec.gov/cgi-bin/fecimg/?202001299174723178"/>
    <s v="Contributions From Individuals/Persons Other Than Political Committees"/>
  </r>
  <r>
    <s v="C00401224"/>
    <x v="3"/>
    <n v="2019"/>
    <s v="YE"/>
    <n v="2.0200129917472301E+17"/>
    <s v="11AI"/>
    <s v="SA11AI_16665362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2"/>
    <n v="25"/>
    <n v="13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9288020837"/>
    <m/>
    <m/>
    <m/>
    <s v="F3X"/>
    <n v="4.02012020168638E+18"/>
    <s v="t"/>
    <s v="EARMARKED FOR JEANNE SHAHEEN FOR SENATE (C00457325)"/>
    <n v="2020"/>
    <s v="SA"/>
    <m/>
    <n v="4.03022020122097E+18"/>
    <s v="http://docquery.fec.gov/cgi-bin/fecimg/?202001299174723170"/>
    <s v="Contributions From Individuals/Persons Other Than Political Committees"/>
  </r>
  <r>
    <s v="C00401224"/>
    <x v="3"/>
    <n v="2019"/>
    <s v="YE"/>
    <n v="2.0200129917472301E+17"/>
    <s v="11AI"/>
    <s v="SA11AI_17286105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7"/>
    <n v="25"/>
    <n v="37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9319456015"/>
    <m/>
    <m/>
    <m/>
    <s v="F3X"/>
    <n v="4.02012020168638E+18"/>
    <s v="t"/>
    <s v="EARMARKED FOR JAIME HARRISON FOR US SENATE (C00696153)"/>
    <n v="2020"/>
    <s v="SA"/>
    <m/>
    <n v="4.0302202012215501E+18"/>
    <s v="http://docquery.fec.gov/cgi-bin/fecimg/?202001299174723195"/>
    <s v="Contributions From Individuals/Persons Other Than Political Committees"/>
  </r>
  <r>
    <s v="C00401224"/>
    <x v="3"/>
    <n v="2019"/>
    <s v="YE"/>
    <n v="2.0200129917472301E+17"/>
    <s v="11AI"/>
    <s v="SA11AI_173986563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04"/>
    <n v="2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89715590281"/>
    <m/>
    <m/>
    <m/>
    <s v="F3X"/>
    <n v="4.02012020168638E+18"/>
    <s v="t"/>
    <s v="CONTRIBUTION TO ACTBLUE"/>
    <n v="2020"/>
    <s v="SA"/>
    <m/>
    <n v="4.0302202012216499E+18"/>
    <s v="http://docquery.fec.gov/cgi-bin/fecimg/?202001299174723198"/>
    <s v="Contributions From Individuals/Persons Other Than Political Committees"/>
  </r>
  <r>
    <s v="C00401224"/>
    <x v="3"/>
    <n v="2019"/>
    <s v="YE"/>
    <n v="2.0200129917472301E+17"/>
    <s v="11AI"/>
    <s v="SA11AI_19310834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12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2122511577"/>
    <m/>
    <m/>
    <m/>
    <s v="F3X"/>
    <n v="4.02012020168638E+18"/>
    <s v="t"/>
    <s v="CONTRIBUTION TO ACTBLUE"/>
    <n v="2020"/>
    <s v="SA"/>
    <m/>
    <n v="4.0302202012234199E+18"/>
    <s v="http://docquery.fec.gov/cgi-bin/fecimg/?202001299174723257"/>
    <s v="Contributions From Individuals/Persons Other Than Political Committees"/>
  </r>
  <r>
    <s v="C00401224"/>
    <x v="3"/>
    <n v="2019"/>
    <s v="YE"/>
    <n v="2.0200129917472301E+17"/>
    <s v="11AI"/>
    <s v="SA11AI_184838503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5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2938518518"/>
    <m/>
    <m/>
    <m/>
    <s v="F3X"/>
    <n v="4.02012020168638E+18"/>
    <s v="t"/>
    <s v="CONTRIBUTION TO ACTBLUE"/>
    <n v="2020"/>
    <s v="SA"/>
    <m/>
    <n v="4.0302202012288302E+18"/>
    <s v="http://docquery.fec.gov/cgi-bin/fecimg/?202001299174723230"/>
    <s v="Contributions From Individuals/Persons Other Than Political Committees"/>
  </r>
  <r>
    <s v="C00401224"/>
    <x v="3"/>
    <n v="2019"/>
    <s v="YE"/>
    <n v="2.0200129917472301E+17"/>
    <s v="11AI"/>
    <s v="SA11AI_16771473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9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4823472219"/>
    <m/>
    <m/>
    <m/>
    <s v="F3X"/>
    <n v="4.02012020168638E+18"/>
    <s v="t"/>
    <s v="EARMARKED FOR DEMOCRATIC NOMINEE FOR KY-. HELD PURSUANT TO AOS 1977-16 AND 1982-23"/>
    <n v="2020"/>
    <s v="SA"/>
    <m/>
    <n v="4.0302202012272502E+18"/>
    <s v="http://docquery.fec.gov/cgi-bin/fecimg/?202001299174723176"/>
    <s v="Contributions From Individuals/Persons Other Than Political Committees"/>
  </r>
  <r>
    <s v="C00401224"/>
    <x v="3"/>
    <n v="2019"/>
    <s v="YE"/>
    <n v="2.0200129917472301E+17"/>
    <s v="11AI"/>
    <s v="SA11AI_17225536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3"/>
    <n v="25"/>
    <n v="1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6087731482"/>
    <m/>
    <m/>
    <m/>
    <s v="F3X"/>
    <n v="4.02012020168638E+18"/>
    <s v="t"/>
    <s v="EARMARKED FOR CAL FOR NC (C00709410)"/>
    <n v="2020"/>
    <s v="SA"/>
    <m/>
    <n v="4.0302202012307599E+18"/>
    <s v="http://docquery.fec.gov/cgi-bin/fecimg/?202001299174723191"/>
    <s v="Contributions From Individuals/Persons Other Than Political Committees"/>
  </r>
  <r>
    <s v="C00401224"/>
    <x v="3"/>
    <n v="2019"/>
    <s v="YE"/>
    <n v="2.0200129917472301E+17"/>
    <s v="11AI"/>
    <s v="SA11AI_17226003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3"/>
    <n v="3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7550613423"/>
    <m/>
    <m/>
    <m/>
    <s v="F3X"/>
    <n v="4.02012020168638E+18"/>
    <s v="t"/>
    <s v="CONTRIBUTION TO ACTBLUE"/>
    <n v="2020"/>
    <s v="SA"/>
    <m/>
    <n v="4.0302202012338499E+18"/>
    <s v="http://docquery.fec.gov/cgi-bin/fecimg/?202001299174723192"/>
    <s v="Contributions From Individuals/Persons Other Than Political Committees"/>
  </r>
  <r>
    <s v="C00401224"/>
    <x v="3"/>
    <n v="2019"/>
    <s v="YE"/>
    <n v="2.0200129917472301E+17"/>
    <s v="11AI"/>
    <s v="SA11AI_16694586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4"/>
    <n v="50"/>
    <n v="13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7594571761"/>
    <m/>
    <m/>
    <m/>
    <s v="F3X"/>
    <n v="4.02012020168638E+18"/>
    <s v="t"/>
    <s v="EARMARKED FOR JEANNE SHAHEEN FOR SENATE (C00457325)"/>
    <n v="2020"/>
    <s v="SA"/>
    <m/>
    <n v="4.0302202012333599E+18"/>
    <s v="http://docquery.fec.gov/cgi-bin/fecimg/?202001299174723174"/>
    <s v="Contributions From Individuals/Persons Other Than Political Committees"/>
  </r>
  <r>
    <s v="C00401224"/>
    <x v="3"/>
    <n v="2019"/>
    <s v="YE"/>
    <n v="2.0200129917472301E+17"/>
    <s v="11AI"/>
    <s v="SA11AI_18256257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53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8398564816"/>
    <m/>
    <m/>
    <m/>
    <s v="F3X"/>
    <n v="4.02012020168638E+18"/>
    <s v="t"/>
    <s v="CONTRIBUTION TO ACTBLUE"/>
    <n v="2020"/>
    <s v="SA"/>
    <m/>
    <n v="4.0302202012317102E+18"/>
    <s v="http://docquery.fec.gov/cgi-bin/fecimg/?202001299174723223"/>
    <s v="Contributions From Individuals/Persons Other Than Political Committees"/>
  </r>
  <r>
    <s v="C00401224"/>
    <x v="3"/>
    <n v="2019"/>
    <s v="YE"/>
    <n v="2.0200129917472301E+17"/>
    <s v="11AI"/>
    <s v="SA11AI_168713776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76"/>
    <n v="1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399852233793"/>
    <m/>
    <m/>
    <m/>
    <s v="F3X"/>
    <n v="4.02012020168638E+18"/>
    <s v="t"/>
    <s v="EARMARKED FOR WARREN FOR PRESIDENT, INC. (C00693234)"/>
    <n v="2020"/>
    <s v="SA"/>
    <m/>
    <n v="4.0302202012366198E+18"/>
    <s v="http://docquery.fec.gov/cgi-bin/fecimg/?202001299174723183"/>
    <s v="Contributions From Individuals/Persons Other Than Political Committees"/>
  </r>
  <r>
    <s v="C00401224"/>
    <x v="3"/>
    <n v="2019"/>
    <s v="YE"/>
    <n v="2.0200129917472301E+17"/>
    <s v="11AI"/>
    <s v="SA11AI_184838450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65"/>
    <n v="10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13542766204"/>
    <m/>
    <m/>
    <m/>
    <s v="F3X"/>
    <n v="4.02012020168638E+18"/>
    <s v="t"/>
    <s v="EARMARKED FOR NANCY PELOSI FOR CONGRESS (C00213512)"/>
    <n v="2020"/>
    <s v="SA"/>
    <m/>
    <n v="4.0302202012151101E+18"/>
    <s v="http://docquery.fec.gov/cgi-bin/fecimg/?202001299174723229"/>
    <s v="Contributions From Individuals/Persons Other Than Political Committees"/>
  </r>
  <r>
    <s v="C00401224"/>
    <x v="3"/>
    <n v="2019"/>
    <s v="YE"/>
    <n v="2.0200129917472301E+17"/>
    <s v="11AI"/>
    <s v="SA11AI_16672532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3"/>
    <n v="20.2"/>
    <n v="170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12784178239"/>
    <m/>
    <m/>
    <m/>
    <s v="F3X"/>
    <n v="4.02012020168638E+18"/>
    <s v="t"/>
    <s v="EARMARKED FOR DEMOCRATIC PARTY OF WISCONSIN - OPERATING ACCOUNT (C00019331)"/>
    <n v="2020"/>
    <s v="SA"/>
    <m/>
    <n v="4.03022020121551E+18"/>
    <s v="http://docquery.fec.gov/cgi-bin/fecimg/?202001299174723173"/>
    <s v="Contributions From Individuals/Persons Other Than Political Committees"/>
  </r>
  <r>
    <s v="C00401224"/>
    <x v="3"/>
    <n v="2019"/>
    <s v="YE"/>
    <n v="2.0200129917472301E+17"/>
    <s v="11AI"/>
    <s v="SA11AI_170725232"/>
    <n v="1378435"/>
    <m/>
    <s v="IND"/>
    <s v="INDIVIDUAL"/>
    <s v="C00688739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88739"/>
    <s v="24T"/>
    <s v="EARMARKED INTERMEDIARY TREASURY OUT"/>
    <s v="EARMARK"/>
    <m/>
    <m/>
    <n v="43684"/>
    <n v="100"/>
    <n v="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17989074071"/>
    <m/>
    <m/>
    <m/>
    <s v="F3X"/>
    <n v="4.02012020168638E+18"/>
    <s v="t"/>
    <s v="EARMARKED FOR DITCH FUND (C00688739)"/>
    <n v="2020"/>
    <s v="SA"/>
    <m/>
    <n v="4.0302202012182702E+18"/>
    <s v="http://docquery.fec.gov/cgi-bin/fecimg/?202001299174723186"/>
    <s v="Contributions From Individuals/Persons Other Than Political Committees"/>
  </r>
  <r>
    <s v="C00401224"/>
    <x v="3"/>
    <n v="2019"/>
    <s v="YE"/>
    <n v="2.0200129917472301E+17"/>
    <s v="11AI"/>
    <s v="SA11AI_17207946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2"/>
    <n v="50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19055775463"/>
    <m/>
    <m/>
    <m/>
    <s v="F3X"/>
    <n v="4.02012020168638E+18"/>
    <s v="t"/>
    <s v="EARMARKED FOR THE COMMITTEE TO ELECT AYANNA PRESSLEY (C00667741)"/>
    <n v="2020"/>
    <s v="SA"/>
    <m/>
    <n v="4.0302202012183798E+18"/>
    <s v="http://docquery.fec.gov/cgi-bin/fecimg/?202001299174723189"/>
    <s v="Contributions From Individuals/Persons Other Than Political Committees"/>
  </r>
  <r>
    <s v="C00401224"/>
    <x v="3"/>
    <n v="2019"/>
    <s v="YE"/>
    <n v="2.0200129917472301E+17"/>
    <s v="11AI"/>
    <s v="SA11AI_18436462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2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25977430554"/>
    <m/>
    <m/>
    <m/>
    <s v="F3X"/>
    <n v="4.02012020168638E+18"/>
    <s v="t"/>
    <s v="CONTRIBUTION TO ACTBLUE"/>
    <n v="2020"/>
    <s v="SA"/>
    <m/>
    <n v="4.0302202012256998E+18"/>
    <s v="http://docquery.fec.gov/cgi-bin/fecimg/?202001299174723227"/>
    <s v="Contributions From Individuals/Persons Other Than Political Committees"/>
  </r>
  <r>
    <s v="C00401224"/>
    <x v="3"/>
    <n v="2019"/>
    <s v="YE"/>
    <n v="2.0200129917472301E+17"/>
    <s v="11AI"/>
    <s v="SA11AI_19091003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99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28857685183"/>
    <m/>
    <m/>
    <m/>
    <s v="F3X"/>
    <n v="4.02012020168638E+18"/>
    <s v="t"/>
    <s v="CONTRIBUTION TO ACTBLUE"/>
    <n v="2020"/>
    <s v="SA"/>
    <m/>
    <n v="4.0302202012232202E+18"/>
    <s v="http://docquery.fec.gov/cgi-bin/fecimg/?202001299174723249"/>
    <s v="Contributions From Individuals/Persons Other Than Political Committees"/>
  </r>
  <r>
    <s v="C00401224"/>
    <x v="3"/>
    <n v="2019"/>
    <s v="YE"/>
    <n v="2.0200129917472301E+17"/>
    <s v="11AI"/>
    <s v="SA11AI_19342006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14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27782951389"/>
    <m/>
    <m/>
    <m/>
    <s v="F3X"/>
    <n v="4.02012020168638E+18"/>
    <s v="t"/>
    <s v="CONTRIBUTION TO ACTBLUE"/>
    <n v="2020"/>
    <s v="SA"/>
    <m/>
    <n v="4.03022020122654E+18"/>
    <s v="http://docquery.fec.gov/cgi-bin/fecimg/?202001299174723258"/>
    <s v="Contributions From Individuals/Persons Other Than Political Committees"/>
  </r>
  <r>
    <s v="C00401224"/>
    <x v="3"/>
    <n v="2019"/>
    <s v="YE"/>
    <n v="2.0200129917472301E+17"/>
    <s v="11AI"/>
    <s v="SA11AI_18916663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89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28783611111"/>
    <m/>
    <m/>
    <m/>
    <s v="F3X"/>
    <n v="4.02012020168638E+18"/>
    <s v="t"/>
    <s v="CONTRIBUTION TO ACTBLUE"/>
    <n v="2020"/>
    <s v="SA"/>
    <m/>
    <n v="4.0302202012261402E+18"/>
    <s v="http://docquery.fec.gov/cgi-bin/fecimg/?202001299174723246"/>
    <s v="Contributions From Individuals/Persons Other Than Political Committees"/>
  </r>
  <r>
    <s v="C00401224"/>
    <x v="3"/>
    <n v="2019"/>
    <s v="YE"/>
    <n v="2.0200129917472301E+17"/>
    <s v="11AI"/>
    <s v="SA11AI_18436456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2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0197118054"/>
    <m/>
    <m/>
    <m/>
    <s v="F3X"/>
    <n v="4.02012020168638E+18"/>
    <s v="t"/>
    <s v="CONTRIBUTION TO ACTBLUE"/>
    <n v="2020"/>
    <s v="SA"/>
    <m/>
    <n v="4.0302202012287898E+18"/>
    <s v="http://docquery.fec.gov/cgi-bin/fecimg/?202001299174723227"/>
    <s v="Contributions From Individuals/Persons Other Than Political Committees"/>
  </r>
  <r>
    <s v="C00401224"/>
    <x v="3"/>
    <n v="2019"/>
    <s v="YE"/>
    <n v="2.0200129917472301E+17"/>
    <s v="11AI"/>
    <s v="SA11AI_18832659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85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0408935186"/>
    <m/>
    <m/>
    <m/>
    <s v="F3X"/>
    <n v="4.02012020168638E+18"/>
    <s v="t"/>
    <s v="CONTRIBUTION TO ACTBLUE"/>
    <n v="2020"/>
    <s v="SA"/>
    <m/>
    <n v="4.0302202012260598E+18"/>
    <s v="http://docquery.fec.gov/cgi-bin/fecimg/?202001299174723242"/>
    <s v="Contributions From Individuals/Persons Other Than Political Committees"/>
  </r>
  <r>
    <s v="C00401224"/>
    <x v="3"/>
    <n v="2019"/>
    <s v="YE"/>
    <n v="2.0200129917472301E+17"/>
    <s v="11AI"/>
    <s v="SA11AI_16871377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6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0461087963"/>
    <m/>
    <m/>
    <m/>
    <s v="F3X"/>
    <n v="4.02012020168638E+18"/>
    <s v="t"/>
    <s v="CONTRIBUTION TO ACTBLUE"/>
    <n v="2020"/>
    <s v="SA"/>
    <m/>
    <n v="4.0302202012304302E+18"/>
    <s v="http://docquery.fec.gov/cgi-bin/fecimg/?202001299174723182"/>
    <s v="Contributions From Individuals/Persons Other Than Political Committees"/>
  </r>
  <r>
    <s v="C00401224"/>
    <x v="3"/>
    <n v="2019"/>
    <s v="YE"/>
    <n v="2.0200129917472301E+17"/>
    <s v="11AI"/>
    <s v="SA11AI_174550328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07"/>
    <n v="1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262521991"/>
    <m/>
    <m/>
    <m/>
    <s v="F3X"/>
    <n v="4.02012020168638E+18"/>
    <s v="t"/>
    <s v="EARMARKED FOR WARREN FOR PRESIDENT, INC. (C00693234)"/>
    <n v="2020"/>
    <s v="SA"/>
    <m/>
    <n v="4.0302202012309699E+18"/>
    <s v="http://docquery.fec.gov/cgi-bin/fecimg/?202001299174723199"/>
    <s v="Contributions From Individuals/Persons Other Than Political Committees"/>
  </r>
  <r>
    <s v="C00401224"/>
    <x v="3"/>
    <n v="2019"/>
    <s v="YE"/>
    <n v="2.0200129917472301E+17"/>
    <s v="11AI"/>
    <s v="SA11AI_18808241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84"/>
    <n v="10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4145057872"/>
    <m/>
    <m/>
    <m/>
    <s v="F3X"/>
    <n v="4.02012020168638E+18"/>
    <s v="t"/>
    <s v="EARMARKED FOR THE COMMITTEE TO ELECT AYANNA PRESSLEY (C00667741)"/>
    <n v="2020"/>
    <s v="SA"/>
    <m/>
    <n v="4.03022020122912E+18"/>
    <s v="http://docquery.fec.gov/cgi-bin/fecimg/?202001299174723241"/>
    <s v="Contributions From Individuals/Persons Other Than Political Committees"/>
  </r>
  <r>
    <s v="C00401224"/>
    <x v="3"/>
    <n v="2019"/>
    <s v="YE"/>
    <n v="2.0200129917472301E+17"/>
    <s v="11AI"/>
    <s v="SA11AI_18746931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79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373553241"/>
    <m/>
    <m/>
    <m/>
    <s v="F3X"/>
    <n v="4.02012020168638E+18"/>
    <s v="t"/>
    <s v="CONTRIBUTION TO ACTBLUE"/>
    <n v="2020"/>
    <s v="SA"/>
    <m/>
    <n v="4.0302202012290698E+18"/>
    <s v="http://docquery.fec.gov/cgi-bin/fecimg/?202001299174723239"/>
    <s v="Contributions From Individuals/Persons Other Than Political Committees"/>
  </r>
  <r>
    <s v="C00401224"/>
    <x v="3"/>
    <n v="2019"/>
    <s v="YE"/>
    <n v="2.0200129917472301E+17"/>
    <s v="11AI"/>
    <s v="SA11AI_17257079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5"/>
    <n v="50"/>
    <n v="6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6153356481"/>
    <m/>
    <m/>
    <m/>
    <s v="F3X"/>
    <n v="4.02012020168638E+18"/>
    <s v="t"/>
    <s v="EARMARKED FOR NATIONAL DEMOCRATIC TRAINING COMMITTEE PAC (C00603084)"/>
    <n v="2020"/>
    <s v="SA"/>
    <m/>
    <n v="4.03022020123697E+18"/>
    <s v="http://docquery.fec.gov/cgi-bin/fecimg/?202001299174723194"/>
    <s v="Contributions From Individuals/Persons Other Than Political Committees"/>
  </r>
  <r>
    <s v="C00401224"/>
    <x v="3"/>
    <n v="2019"/>
    <s v="YE"/>
    <n v="2.0200129917472301E+17"/>
    <s v="11AI"/>
    <s v="SA11AI_17740505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25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6310520832"/>
    <m/>
    <m/>
    <m/>
    <s v="F3X"/>
    <n v="4.02012020168638E+18"/>
    <s v="t"/>
    <s v="CONTRIBUTION TO ACTBLUE"/>
    <n v="2020"/>
    <s v="SA"/>
    <m/>
    <n v="4.0302202012312202E+18"/>
    <s v="http://docquery.fec.gov/cgi-bin/fecimg/?202001299174723206"/>
    <s v="Contributions From Individuals/Persons Other Than Political Committees"/>
  </r>
  <r>
    <s v="C00401224"/>
    <x v="3"/>
    <n v="2019"/>
    <s v="YE"/>
    <n v="2.0200129917472301E+17"/>
    <s v="11AI"/>
    <s v="SA11AI_184364553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62"/>
    <n v="50"/>
    <n v="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893744213"/>
    <m/>
    <m/>
    <m/>
    <s v="F3X"/>
    <n v="4.02012020168638E+18"/>
    <s v="t"/>
    <s v="EARMARKED FOR MOVEON.ORG POLITICAL ACTION (C00341396)"/>
    <n v="2020"/>
    <s v="SA"/>
    <m/>
    <n v="4.03022020123806E+18"/>
    <s v="http://docquery.fec.gov/cgi-bin/fecimg/?202001299174723228"/>
    <s v="Contributions From Individuals/Persons Other Than Political Committees"/>
  </r>
  <r>
    <s v="C00401224"/>
    <x v="3"/>
    <n v="2019"/>
    <s v="YE"/>
    <n v="2.0200129917472301E+17"/>
    <s v="11AI"/>
    <s v="SA11AI_18892589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88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8514641202"/>
    <m/>
    <m/>
    <m/>
    <s v="F3X"/>
    <n v="4.02012020168638E+18"/>
    <s v="t"/>
    <s v="CONTRIBUTION TO ACTBLUE"/>
    <n v="2020"/>
    <s v="SA"/>
    <m/>
    <n v="4.0302202012384799E+18"/>
    <s v="http://docquery.fec.gov/cgi-bin/fecimg/?202001299174723245"/>
    <s v="Contributions From Individuals/Persons Other Than Political Committees"/>
  </r>
  <r>
    <s v="C00401224"/>
    <x v="3"/>
    <n v="2019"/>
    <s v="YE"/>
    <n v="2.0200129917472301E+17"/>
    <s v="11AI"/>
    <s v="SA11AI_184838491"/>
    <n v="1378435"/>
    <m/>
    <s v="IND"/>
    <s v="INDIVIDUAL"/>
    <s v="C00688739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88739"/>
    <s v="24T"/>
    <s v="EARMARKED INTERMEDIARY TREASURY OUT"/>
    <s v="EARMARK"/>
    <m/>
    <m/>
    <n v="43765"/>
    <n v="50"/>
    <n v="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9007592591"/>
    <m/>
    <m/>
    <m/>
    <s v="F3X"/>
    <n v="4.02012020168638E+18"/>
    <s v="t"/>
    <s v="EARMARKED FOR DITCH FUND (C00688739)"/>
    <n v="2020"/>
    <s v="SA"/>
    <m/>
    <n v="4.0302202012381E+18"/>
    <s v="http://docquery.fec.gov/cgi-bin/fecimg/?202001299174723230"/>
    <s v="Contributions From Individuals/Persons Other Than Political Committees"/>
  </r>
  <r>
    <s v="C00401224"/>
    <x v="3"/>
    <n v="2019"/>
    <s v="YE"/>
    <n v="2.0200129917472301E+17"/>
    <s v="11AI"/>
    <s v="SA11AI_16881755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6"/>
    <n v="50"/>
    <n v="170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5452673611"/>
    <m/>
    <m/>
    <m/>
    <s v="F3X"/>
    <n v="4.02012020168638E+18"/>
    <s v="t"/>
    <s v="EARMARKED FOR DEMOCRATIC PARTY OF WISCONSIN - FEDERAL ACCOUNT (C00019331)"/>
    <n v="2020"/>
    <s v="SA"/>
    <m/>
    <n v="4.0302202012242601E+18"/>
    <s v="http://docquery.fec.gov/cgi-bin/fecimg/?202001299174723184"/>
    <s v="Contributions From Individuals/Persons Other Than Political Committees"/>
  </r>
  <r>
    <s v="C00401224"/>
    <x v="3"/>
    <n v="2019"/>
    <s v="YE"/>
    <n v="2.0200129917472301E+17"/>
    <s v="11AI"/>
    <s v="SA11AI_16665363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2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39989687497"/>
    <m/>
    <m/>
    <m/>
    <s v="F3X"/>
    <n v="4.02012020168638E+18"/>
    <s v="t"/>
    <s v="CONTRIBUTION TO ACTBLUE"/>
    <n v="2020"/>
    <s v="SA"/>
    <m/>
    <n v="4.0302202012271498E+18"/>
    <s v="http://docquery.fec.gov/cgi-bin/fecimg/?202001299174723170"/>
    <s v="Contributions From Individuals/Persons Other Than Political Committees"/>
  </r>
  <r>
    <s v="C00401224"/>
    <x v="3"/>
    <n v="2019"/>
    <s v="YE"/>
    <n v="2.0200129917472301E+17"/>
    <s v="11AI"/>
    <s v="SA11AI_17383114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03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57107754628"/>
    <m/>
    <m/>
    <m/>
    <s v="F3X"/>
    <n v="4.02012020168638E+18"/>
    <s v="t"/>
    <s v="CONTRIBUTION TO ACTBLUE"/>
    <n v="2020"/>
    <s v="SA"/>
    <m/>
    <n v="4.0302202012278098E+18"/>
    <s v="http://docquery.fec.gov/cgi-bin/fecimg/?202001299174723196"/>
    <s v="Contributions From Individuals/Persons Other Than Political Committees"/>
  </r>
  <r>
    <s v="C00401224"/>
    <x v="3"/>
    <n v="2019"/>
    <s v="YE"/>
    <n v="2.0200129917472301E+17"/>
    <s v="11AI"/>
    <s v="SA11AI_16672532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3"/>
    <n v="2.02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58784803239"/>
    <m/>
    <m/>
    <m/>
    <s v="F3X"/>
    <n v="4.02012020168638E+18"/>
    <s v="t"/>
    <s v="CONTRIBUTION TO ACTBLUE"/>
    <n v="2020"/>
    <s v="SA"/>
    <m/>
    <n v="4.0302202012151199E+18"/>
    <s v="http://docquery.fec.gov/cgi-bin/fecimg/?202001299174723172"/>
    <s v="Contributions From Individuals/Persons Other Than Political Committees"/>
  </r>
  <r>
    <s v="C00401224"/>
    <x v="3"/>
    <n v="2019"/>
    <s v="YE"/>
    <n v="2.0200129917472301E+17"/>
    <s v="11AI"/>
    <s v="SA11AI_17974697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7"/>
    <n v="2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63557488423"/>
    <m/>
    <m/>
    <m/>
    <s v="F3X"/>
    <n v="4.02012020168638E+18"/>
    <s v="t"/>
    <s v="CONTRIBUTION TO ACTBLUE"/>
    <n v="2020"/>
    <s v="SA"/>
    <m/>
    <n v="4.03022020123763E+18"/>
    <s v="http://docquery.fec.gov/cgi-bin/fecimg/?202001299174723213"/>
    <s v="Contributions From Individuals/Persons Other Than Political Committees"/>
  </r>
  <r>
    <s v="C00401224"/>
    <x v="3"/>
    <n v="2019"/>
    <s v="YE"/>
    <n v="2.0200129917472301E+17"/>
    <s v="11AI"/>
    <s v="SA11AI_173935282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704"/>
    <n v="27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62024664354"/>
    <m/>
    <m/>
    <m/>
    <s v="F3X"/>
    <n v="4.02012020168638E+18"/>
    <s v="t"/>
    <s v="EARMARKED FOR ALEXANDRIA OCASIO-CORTEZ FOR CONGRESS (C00639591)"/>
    <n v="2020"/>
    <s v="SA"/>
    <m/>
    <n v="4.0302202012371E+18"/>
    <s v="http://docquery.fec.gov/cgi-bin/fecimg/?202001299174723198"/>
    <s v="Contributions From Individuals/Persons Other Than Political Committees"/>
  </r>
  <r>
    <s v="C00401224"/>
    <x v="3"/>
    <n v="2019"/>
    <s v="YE"/>
    <n v="2.0200129917472301E+17"/>
    <s v="11AI"/>
    <s v="SA11AI_19235567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07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2176527779"/>
    <m/>
    <m/>
    <m/>
    <s v="F3X"/>
    <n v="4.02012020168638E+18"/>
    <s v="t"/>
    <s v="CONTRIBUTION TO ACTBLUE"/>
    <n v="2020"/>
    <s v="SA"/>
    <m/>
    <n v="4.0302202012264402E+18"/>
    <s v="http://docquery.fec.gov/cgi-bin/fecimg/?202001299174723253"/>
    <s v="Contributions From Individuals/Persons Other Than Political Committees"/>
  </r>
  <r>
    <s v="C00401224"/>
    <x v="3"/>
    <n v="2019"/>
    <s v="YE"/>
    <n v="2.0200129917472301E+17"/>
    <s v="11AI"/>
    <s v="SA11AI_16771473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9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2543541669"/>
    <m/>
    <m/>
    <m/>
    <s v="F3X"/>
    <n v="4.02012020168638E+18"/>
    <s v="t"/>
    <s v="EARMARKED FOR DEMOCRATIC NOMINEE FOR ME-. HELD PURSUANT TO AOS 1977-16 AND 1982-23"/>
    <n v="2020"/>
    <s v="SA"/>
    <m/>
    <n v="4.0302202012303401E+18"/>
    <s v="http://docquery.fec.gov/cgi-bin/fecimg/?202001299174723176"/>
    <s v="Contributions From Individuals/Persons Other Than Political Committees"/>
  </r>
  <r>
    <s v="C00401224"/>
    <x v="3"/>
    <n v="2019"/>
    <s v="YE"/>
    <n v="2.0200129917472301E+17"/>
    <s v="11AI"/>
    <s v="SA11AI_16664856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2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7538356485"/>
    <m/>
    <m/>
    <m/>
    <s v="F3X"/>
    <n v="4.02012020168638E+18"/>
    <s v="t"/>
    <s v="CONTRIBUTION TO ACTBLUE"/>
    <n v="2020"/>
    <s v="SA"/>
    <m/>
    <n v="4.0302202012364201E+18"/>
    <s v="http://docquery.fec.gov/cgi-bin/fecimg/?202001299174723171"/>
    <s v="Contributions From Individuals/Persons Other Than Political Committees"/>
  </r>
  <r>
    <s v="C00401224"/>
    <x v="3"/>
    <n v="2019"/>
    <s v="YE"/>
    <n v="2.0200129917472301E+17"/>
    <s v="11AI"/>
    <s v="SA11AI_17917359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5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3251203701"/>
    <m/>
    <m/>
    <m/>
    <s v="F3X"/>
    <n v="4.02012020168638E+18"/>
    <s v="t"/>
    <s v="CONTRIBUTION TO ACTBLUE"/>
    <n v="2020"/>
    <s v="SA"/>
    <m/>
    <n v="4.0302202012313902E+18"/>
    <s v="http://docquery.fec.gov/cgi-bin/fecimg/?202001299174723209"/>
    <s v="Contributions From Individuals/Persons Other Than Political Committees"/>
  </r>
  <r>
    <s v="C00401224"/>
    <x v="3"/>
    <n v="2019"/>
    <s v="YE"/>
    <n v="2.0200129917472301E+17"/>
    <s v="11AI"/>
    <s v="SA11AI_182562573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53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3473402781"/>
    <m/>
    <m/>
    <m/>
    <s v="F3X"/>
    <n v="4.02012020168638E+18"/>
    <s v="t"/>
    <s v="EARMARKED FOR WARREN FOR PRESIDENT, INC. (C00693234)"/>
    <n v="2020"/>
    <s v="SA"/>
    <m/>
    <n v="4.0302202012317102E+18"/>
    <s v="http://docquery.fec.gov/cgi-bin/fecimg/?202001299174723222"/>
    <s v="Contributions From Individuals/Persons Other Than Political Committees"/>
  </r>
  <r>
    <s v="C00401224"/>
    <x v="3"/>
    <n v="2019"/>
    <s v="YE"/>
    <n v="2.0200129917472301E+17"/>
    <s v="11AI"/>
    <s v="SA11AI_187469309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79"/>
    <n v="10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0495740742"/>
    <m/>
    <m/>
    <m/>
    <s v="F3X"/>
    <n v="4.02012020168638E+18"/>
    <s v="t"/>
    <s v="EARMARKED FOR NANCY PELOSI FOR CONGRESS (C00213512)"/>
    <n v="2020"/>
    <s v="SA"/>
    <m/>
    <n v="4.0302202012151101E+18"/>
    <s v="http://docquery.fec.gov/cgi-bin/fecimg/?202001299174723239"/>
    <s v="Contributions From Individuals/Persons Other Than Political Committees"/>
  </r>
  <r>
    <s v="C00401224"/>
    <x v="3"/>
    <n v="2019"/>
    <s v="YE"/>
    <n v="2.0200129917472301E+17"/>
    <s v="11AI"/>
    <s v="SA11AI_17232053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3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78218900462"/>
    <m/>
    <m/>
    <m/>
    <s v="F3X"/>
    <n v="4.02012020168638E+18"/>
    <s v="t"/>
    <s v="CONTRIBUTION TO ACTBLUE"/>
    <n v="2020"/>
    <s v="SA"/>
    <m/>
    <n v="4.03022020123695E+18"/>
    <s v="http://docquery.fec.gov/cgi-bin/fecimg/?202001299174723191"/>
    <s v="Contributions From Individuals/Persons Other Than Political Committees"/>
  </r>
  <r>
    <s v="C00401224"/>
    <x v="3"/>
    <n v="2019"/>
    <s v="YE"/>
    <n v="2.0200129917472301E+17"/>
    <s v="11AI"/>
    <s v="SA11AI_18832658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85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80202372688"/>
    <m/>
    <m/>
    <m/>
    <s v="F3X"/>
    <n v="4.02012020168638E+18"/>
    <s v="t"/>
    <s v="EARMARKED FOR SCHIFF FOR CONGRESS (C00343871)"/>
    <n v="2020"/>
    <s v="SA"/>
    <m/>
    <n v="4.03022020123842E+18"/>
    <s v="http://docquery.fec.gov/cgi-bin/fecimg/?202001299174723242"/>
    <s v="Contributions From Individuals/Persons Other Than Political Committees"/>
  </r>
  <r>
    <s v="C00401224"/>
    <x v="3"/>
    <n v="2019"/>
    <s v="YE"/>
    <n v="2.0200129917472301E+17"/>
    <s v="11AI"/>
    <s v="SA11AI_17393528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04"/>
    <n v="2.7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0847384259"/>
    <m/>
    <m/>
    <m/>
    <s v="F3X"/>
    <n v="4.02012020168638E+18"/>
    <s v="t"/>
    <s v="CONTRIBUTION TO ACTBLUE"/>
    <n v="2020"/>
    <s v="SA"/>
    <m/>
    <n v="4.03022020121504E+18"/>
    <s v="http://docquery.fec.gov/cgi-bin/fecimg/?202001299174723198"/>
    <s v="Contributions From Individuals/Persons Other Than Political Committees"/>
  </r>
  <r>
    <s v="C00401224"/>
    <x v="3"/>
    <n v="2019"/>
    <s v="YE"/>
    <n v="2.0200129917472301E+17"/>
    <s v="11AI"/>
    <s v="SA11AI_16670087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3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6261053238"/>
    <m/>
    <m/>
    <m/>
    <s v="F3X"/>
    <n v="4.02012020168638E+18"/>
    <s v="t"/>
    <s v="CONTRIBUTION TO ACTBLUE"/>
    <n v="2020"/>
    <s v="SA"/>
    <m/>
    <n v="4.0302202012178801E+18"/>
    <s v="http://docquery.fec.gov/cgi-bin/fecimg/?202001299174723172"/>
    <s v="Contributions From Individuals/Persons Other Than Political Committees"/>
  </r>
  <r>
    <s v="C00401224"/>
    <x v="3"/>
    <n v="2019"/>
    <s v="YE"/>
    <n v="2.0200129917472301E+17"/>
    <s v="11AI"/>
    <s v="SA11AI_16694586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4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7424664354"/>
    <m/>
    <m/>
    <m/>
    <s v="F3X"/>
    <n v="4.02012020168638E+18"/>
    <s v="t"/>
    <s v="CONTRIBUTION TO ACTBLUE"/>
    <n v="2020"/>
    <s v="SA"/>
    <m/>
    <n v="4.0302202012210002E+18"/>
    <s v="http://docquery.fec.gov/cgi-bin/fecimg/?202001299174723174"/>
    <s v="Contributions From Individuals/Persons Other Than Political Committees"/>
  </r>
  <r>
    <s v="C00401224"/>
    <x v="3"/>
    <n v="2019"/>
    <s v="YE"/>
    <n v="2.0200129917472301E+17"/>
    <s v="11AI"/>
    <s v="SA11AI_17987453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37"/>
    <n v="20"/>
    <n v="13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6782395836"/>
    <m/>
    <m/>
    <m/>
    <s v="F3X"/>
    <n v="4.02012020168638E+18"/>
    <s v="t"/>
    <s v="EARMARKED FOR JEANNE SHAHEEN FOR SENATE (C00457325)"/>
    <n v="2020"/>
    <s v="SA"/>
    <m/>
    <n v="4.0302202012191002E+18"/>
    <s v="http://docquery.fec.gov/cgi-bin/fecimg/?202001299174723213"/>
    <s v="Contributions From Individuals/Persons Other Than Political Committees"/>
  </r>
  <r>
    <s v="C00401224"/>
    <x v="3"/>
    <n v="2019"/>
    <s v="YE"/>
    <n v="2.0200129917472301E+17"/>
    <s v="11AI"/>
    <s v="SA11AI_17072523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84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498458553244"/>
    <m/>
    <m/>
    <m/>
    <s v="F3X"/>
    <n v="4.02012020168638E+18"/>
    <s v="t"/>
    <s v="CONTRIBUTION TO ACTBLUE"/>
    <n v="2020"/>
    <s v="SA"/>
    <m/>
    <n v="4.0302202012213601E+18"/>
    <s v="http://docquery.fec.gov/cgi-bin/fecimg/?202001299174723186"/>
    <s v="Contributions From Individuals/Persons Other Than Political Committees"/>
  </r>
  <r>
    <s v="C00401224"/>
    <x v="3"/>
    <n v="2019"/>
    <s v="YE"/>
    <n v="2.0200129917472301E+17"/>
    <s v="11AI"/>
    <s v="SA11AI_172371728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94"/>
    <n v="1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05013425929"/>
    <m/>
    <m/>
    <m/>
    <s v="F3X"/>
    <n v="4.02012020168638E+18"/>
    <s v="t"/>
    <s v="EARMARKED FOR WARREN FOR PRESIDENT, INC. (C00693234)"/>
    <n v="2020"/>
    <s v="SA"/>
    <m/>
    <n v="4.0302202012245898E+18"/>
    <s v="http://docquery.fec.gov/cgi-bin/fecimg/?202001299174723193"/>
    <s v="Contributions From Individuals/Persons Other Than Political Committees"/>
  </r>
  <r>
    <s v="C00401224"/>
    <x v="3"/>
    <n v="2019"/>
    <s v="YE"/>
    <n v="2.0200129917472301E+17"/>
    <s v="11AI"/>
    <s v="SA11AI_17207947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2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003474537"/>
    <m/>
    <m/>
    <m/>
    <s v="F3X"/>
    <n v="4.02012020168638E+18"/>
    <s v="t"/>
    <s v="CONTRIBUTION TO ACTBLUE"/>
    <n v="2020"/>
    <s v="SA"/>
    <m/>
    <n v="4.03022020123074E+18"/>
    <s v="http://docquery.fec.gov/cgi-bin/fecimg/?202001299174723189"/>
    <s v="Contributions From Individuals/Persons Other Than Political Committees"/>
  </r>
  <r>
    <s v="C00401224"/>
    <x v="3"/>
    <n v="2019"/>
    <s v="YE"/>
    <n v="2.0200129917472301E+17"/>
    <s v="11AI"/>
    <s v="SA11AI_186022959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70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0155462965"/>
    <m/>
    <m/>
    <m/>
    <s v="F3X"/>
    <n v="4.02012020168638E+18"/>
    <s v="t"/>
    <s v="CONTRIBUTION TO ACTBLUE"/>
    <n v="2020"/>
    <s v="SA"/>
    <m/>
    <n v="4.0302202012320302E+18"/>
    <s v="http://docquery.fec.gov/cgi-bin/fecimg/?202001299174723235"/>
    <s v="Contributions From Individuals/Persons Other Than Political Committees"/>
  </r>
  <r>
    <s v="C00401224"/>
    <x v="3"/>
    <n v="2019"/>
    <s v="YE"/>
    <n v="2.0200129917472301E+17"/>
    <s v="11AI"/>
    <s v="SA11AI_18400619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0"/>
    <n v="2.7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3885289351"/>
    <m/>
    <m/>
    <m/>
    <s v="F3X"/>
    <n v="4.02012020168638E+18"/>
    <s v="t"/>
    <s v="CONTRIBUTION TO ACTBLUE"/>
    <n v="2020"/>
    <s v="SA"/>
    <m/>
    <n v="4.03022020123185E+18"/>
    <s v="http://docquery.fec.gov/cgi-bin/fecimg/?202001299174723226"/>
    <s v="Contributions From Individuals/Persons Other Than Political Committees"/>
  </r>
  <r>
    <s v="C00401224"/>
    <x v="3"/>
    <n v="2019"/>
    <s v="YE"/>
    <n v="2.0200129917472301E+17"/>
    <s v="11AI"/>
    <s v="SA11AI_17379908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03"/>
    <n v="50"/>
    <n v="1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1782743059"/>
    <m/>
    <m/>
    <m/>
    <s v="F3X"/>
    <n v="4.02012020168638E+18"/>
    <s v="t"/>
    <s v="EARMARKED FOR CAL FOR NC (C00709410)"/>
    <n v="2020"/>
    <s v="SA"/>
    <m/>
    <n v="4.0302202012339901E+18"/>
    <s v="http://docquery.fec.gov/cgi-bin/fecimg/?202001299174723196"/>
    <s v="Contributions From Individuals/Persons Other Than Political Committees"/>
  </r>
  <r>
    <s v="C00401224"/>
    <x v="3"/>
    <n v="2019"/>
    <s v="YE"/>
    <n v="2.0200129917472301E+17"/>
    <s v="11AI"/>
    <s v="SA11AI_166700869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63"/>
    <n v="1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518628472"/>
    <m/>
    <m/>
    <m/>
    <s v="F3X"/>
    <n v="4.02012020168638E+18"/>
    <s v="t"/>
    <s v="EARMARKED FOR WARREN FOR PRESIDENT, INC. (C00693234)"/>
    <n v="2020"/>
    <s v="SA"/>
    <m/>
    <n v="4.0302202012364298E+18"/>
    <s v="http://docquery.fec.gov/cgi-bin/fecimg/?202001299174723173"/>
    <s v="Contributions From Individuals/Persons Other Than Political Committees"/>
  </r>
  <r>
    <s v="C00401224"/>
    <x v="3"/>
    <n v="2019"/>
    <s v="YE"/>
    <n v="2.0200129917472301E+17"/>
    <s v="11AI"/>
    <s v="SA11AI_172079542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92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4809699074"/>
    <m/>
    <m/>
    <m/>
    <s v="F3X"/>
    <n v="4.02012020168638E+18"/>
    <s v="t"/>
    <s v="EARMARKED FOR WARREN FOR PRESIDENT, INC. (C00693234)"/>
    <n v="2020"/>
    <s v="SA"/>
    <m/>
    <n v="4.0302202012338401E+18"/>
    <s v="http://docquery.fec.gov/cgi-bin/fecimg/?202001299174723190"/>
    <s v="Contributions From Individuals/Persons Other Than Political Committees"/>
  </r>
  <r>
    <s v="C00401224"/>
    <x v="3"/>
    <n v="2019"/>
    <s v="YE"/>
    <n v="2.0200129917472301E+17"/>
    <s v="11AI"/>
    <s v="SA11AI_16811429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2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6580810188"/>
    <m/>
    <m/>
    <m/>
    <s v="F3X"/>
    <n v="4.02012020168638E+18"/>
    <s v="t"/>
    <s v="CONTRIBUTION TO ACTBLUE"/>
    <n v="2020"/>
    <s v="SA"/>
    <m/>
    <n v="4.03022020123347E+18"/>
    <s v="http://docquery.fec.gov/cgi-bin/fecimg/?202001299174723177"/>
    <s v="Contributions From Individuals/Persons Other Than Political Committees"/>
  </r>
  <r>
    <s v="C00401224"/>
    <x v="3"/>
    <n v="2019"/>
    <s v="YE"/>
    <n v="2.0200129917472301E+17"/>
    <s v="11AI"/>
    <s v="SA11AI_16771473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69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6205972221"/>
    <m/>
    <m/>
    <m/>
    <s v="F3X"/>
    <n v="4.02012020168638E+18"/>
    <s v="t"/>
    <s v="CONTRIBUTION TO ACTBLUE"/>
    <n v="2020"/>
    <s v="SA"/>
    <m/>
    <n v="4.0302202012365199E+18"/>
    <s v="http://docquery.fec.gov/cgi-bin/fecimg/?202001299174723177"/>
    <s v="Contributions From Individuals/Persons Other Than Political Committees"/>
  </r>
  <r>
    <s v="C00401224"/>
    <x v="3"/>
    <n v="2019"/>
    <s v="YE"/>
    <n v="2.0200129917472301E+17"/>
    <s v="11AI"/>
    <s v="SA11AI_16880739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6"/>
    <n v="50"/>
    <n v="170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17065624997"/>
    <m/>
    <m/>
    <m/>
    <s v="F3X"/>
    <n v="4.02012020168638E+18"/>
    <s v="t"/>
    <s v="EARMARKED FOR DEMOCRATIC PARTY OF WISCONSIN - FEDERAL ACCOUNT (C00019331)"/>
    <n v="2020"/>
    <s v="SA"/>
    <m/>
    <n v="4.0302202012335401E+18"/>
    <s v="http://docquery.fec.gov/cgi-bin/fecimg/?202001299174723184"/>
    <s v="Contributions From Individuals/Persons Other Than Political Committees"/>
  </r>
  <r>
    <s v="C00401224"/>
    <x v="3"/>
    <n v="2019"/>
    <s v="YE"/>
    <n v="2.0200129917472301E+17"/>
    <s v="11AI"/>
    <s v="SA11AI_191794816"/>
    <n v="1378435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804"/>
    <n v="100"/>
    <n v="3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21971018519"/>
    <m/>
    <m/>
    <m/>
    <s v="F3X"/>
    <n v="4.02012020168638E+18"/>
    <s v="t"/>
    <s v="EARMARKED FOR DCCC (C00000935)"/>
    <n v="2020"/>
    <s v="SA"/>
    <m/>
    <n v="4.0302202012151199E+18"/>
    <s v="http://docquery.fec.gov/cgi-bin/fecimg/?202001299174723252"/>
    <s v="Contributions From Individuals/Persons Other Than Political Committees"/>
  </r>
  <r>
    <s v="C00401224"/>
    <x v="3"/>
    <n v="2019"/>
    <s v="YE"/>
    <n v="2.0200129917472301E+17"/>
    <s v="11AI"/>
    <s v="SA11AI_17709932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23"/>
    <n v="1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23519699076"/>
    <m/>
    <m/>
    <m/>
    <s v="F3X"/>
    <n v="4.02012020168638E+18"/>
    <s v="t"/>
    <s v="CONTRIBUTION TO ACTBLUE"/>
    <n v="2020"/>
    <s v="SA"/>
    <m/>
    <n v="4.0302202012150902E+18"/>
    <s v="http://docquery.fec.gov/cgi-bin/fecimg/?202001299174723205"/>
    <s v="Contributions From Individuals/Persons Other Than Political Committees"/>
  </r>
  <r>
    <s v="C00401224"/>
    <x v="3"/>
    <n v="2019"/>
    <s v="YE"/>
    <n v="2.0200129917472301E+17"/>
    <s v="11AI"/>
    <s v="SA11AI_175767592"/>
    <n v="1378435"/>
    <m/>
    <s v="IND"/>
    <s v="INDIVIDUAL"/>
    <s v="C00688739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88739"/>
    <s v="24T"/>
    <s v="EARMARKED INTERMEDIARY TREASURY OUT"/>
    <s v="EARMARK"/>
    <m/>
    <m/>
    <n v="43715"/>
    <n v="100"/>
    <n v="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4868541668"/>
    <m/>
    <m/>
    <m/>
    <s v="F3X"/>
    <n v="4.02012020168638E+18"/>
    <s v="t"/>
    <s v="EARMARKED FOR DITCH FUND (C00688739)"/>
    <n v="2020"/>
    <s v="SA"/>
    <m/>
    <n v="4.0302202012249001E+18"/>
    <s v="http://docquery.fec.gov/cgi-bin/fecimg/?202001299174723203"/>
    <s v="Contributions From Individuals/Persons Other Than Political Committees"/>
  </r>
  <r>
    <s v="C00401224"/>
    <x v="3"/>
    <n v="2019"/>
    <s v="YE"/>
    <n v="2.0200129917472301E+17"/>
    <s v="11AI"/>
    <s v="SA11AI_19443423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18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4952465277"/>
    <m/>
    <m/>
    <m/>
    <s v="F3X"/>
    <n v="4.02012020168638E+18"/>
    <s v="t"/>
    <s v="CONTRIBUTION TO ACTBLUE"/>
    <n v="2020"/>
    <s v="SA"/>
    <m/>
    <n v="4.03022020122355E+18"/>
    <s v="http://docquery.fec.gov/cgi-bin/fecimg/?202001299174723258"/>
    <s v="Contributions From Individuals/Persons Other Than Political Committees"/>
  </r>
  <r>
    <s v="C00401224"/>
    <x v="3"/>
    <n v="2019"/>
    <s v="YE"/>
    <n v="2.0200129917472301E+17"/>
    <s v="11AI"/>
    <s v="SA11AI_186023105"/>
    <n v="1378435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770"/>
    <n v="50"/>
    <n v="600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5314687499"/>
    <m/>
    <m/>
    <m/>
    <s v="F3X"/>
    <n v="4.02012020168638E+18"/>
    <s v="t"/>
    <s v="EARMARKED FOR NANCY PELOSI FOR CONGRESS (C00213512)"/>
    <n v="2020"/>
    <s v="SA"/>
    <m/>
    <n v="4.0302202012227599E+18"/>
    <s v="http://docquery.fec.gov/cgi-bin/fecimg/?202001299174723234"/>
    <s v="Contributions From Individuals/Persons Other Than Political Committees"/>
  </r>
  <r>
    <s v="C00401224"/>
    <x v="3"/>
    <n v="2019"/>
    <s v="YE"/>
    <n v="2.0200129917472301E+17"/>
    <s v="11AI"/>
    <s v="SA11AI_16664855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2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695883102"/>
    <m/>
    <m/>
    <m/>
    <s v="F3X"/>
    <n v="4.02012020168638E+18"/>
    <s v="t"/>
    <s v="EARMARKED FOR ILHAN FOR CONGRESS (C00680934)"/>
    <n v="2020"/>
    <s v="SA"/>
    <m/>
    <n v="4.0302202012240599E+18"/>
    <s v="http://docquery.fec.gov/cgi-bin/fecimg/?202001299174723171"/>
    <s v="Contributions From Individuals/Persons Other Than Political Committees"/>
  </r>
  <r>
    <s v="C00401224"/>
    <x v="3"/>
    <n v="2019"/>
    <s v="YE"/>
    <n v="2.0200129917472301E+17"/>
    <s v="11AI"/>
    <s v="SA11AI_19490562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20"/>
    <n v="50"/>
    <n v="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8387754626"/>
    <m/>
    <m/>
    <m/>
    <s v="F3X"/>
    <n v="4.02012020168638E+18"/>
    <s v="t"/>
    <s v="EARMARKED FOR MCGRATH FOR US SENATE (C00711549)"/>
    <n v="2020"/>
    <s v="SA"/>
    <m/>
    <n v="4.0302202012266798E+18"/>
    <s v="http://docquery.fec.gov/cgi-bin/fecimg/?202001299174723260"/>
    <s v="Contributions From Individuals/Persons Other Than Political Committees"/>
  </r>
  <r>
    <s v="C00401224"/>
    <x v="3"/>
    <n v="2019"/>
    <s v="YE"/>
    <n v="2.0200129917472301E+17"/>
    <s v="11AI"/>
    <s v="SA11AI_16811399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2"/>
    <n v="50"/>
    <n v="1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38223564814"/>
    <m/>
    <m/>
    <m/>
    <s v="F3X"/>
    <n v="4.02012020168638E+18"/>
    <s v="t"/>
    <s v="EARMARKED FOR CAL FOR NC (C00709410)"/>
    <n v="2020"/>
    <s v="SA"/>
    <m/>
    <n v="4.0302202012242002E+18"/>
    <s v="http://docquery.fec.gov/cgi-bin/fecimg/?202001299174723177"/>
    <s v="Contributions From Individuals/Persons Other Than Political Committees"/>
  </r>
  <r>
    <s v="C00401224"/>
    <x v="3"/>
    <n v="2019"/>
    <s v="YE"/>
    <n v="2.0200129917472301E+17"/>
    <s v="11AI"/>
    <s v="SA11AI_18523708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7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0158067131"/>
    <m/>
    <m/>
    <m/>
    <s v="F3X"/>
    <n v="4.02012020168638E+18"/>
    <s v="t"/>
    <s v="CONTRIBUTION TO ACTBLUE"/>
    <n v="2020"/>
    <s v="SA"/>
    <m/>
    <n v="4.03022020122577E+18"/>
    <s v="http://docquery.fec.gov/cgi-bin/fecimg/?202001299174723231"/>
    <s v="Contributions From Individuals/Persons Other Than Political Committees"/>
  </r>
  <r>
    <s v="C00401224"/>
    <x v="3"/>
    <n v="2019"/>
    <s v="YE"/>
    <n v="2.0200129917472301E+17"/>
    <s v="11AI"/>
    <s v="SA11AI_184364619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762"/>
    <n v="50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2957164354"/>
    <m/>
    <m/>
    <m/>
    <s v="F3X"/>
    <n v="4.02012020168638E+18"/>
    <s v="t"/>
    <s v="EARMARKED FOR ALEXANDRIA OCASIO-CORTEZ FOR CONGRESS (C00639591)"/>
    <n v="2020"/>
    <s v="SA"/>
    <m/>
    <n v="4.0302202012287898E+18"/>
    <s v="http://docquery.fec.gov/cgi-bin/fecimg/?202001299174723228"/>
    <s v="Contributions From Individuals/Persons Other Than Political Committees"/>
  </r>
  <r>
    <s v="C00401224"/>
    <x v="3"/>
    <n v="2019"/>
    <s v="YE"/>
    <n v="2.0200129917472301E+17"/>
    <s v="11AI"/>
    <s v="SA11AI_17946742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6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3106979167"/>
    <m/>
    <m/>
    <m/>
    <s v="F3X"/>
    <n v="4.02012020168638E+18"/>
    <s v="t"/>
    <s v="CONTRIBUTION TO ACTBLUE"/>
    <n v="2020"/>
    <s v="SA"/>
    <m/>
    <n v="4.0302202012190602E+18"/>
    <s v="http://docquery.fec.gov/cgi-bin/fecimg/?202001299174723211"/>
    <s v="Contributions From Individuals/Persons Other Than Political Committees"/>
  </r>
  <r>
    <s v="C00401224"/>
    <x v="3"/>
    <n v="2019"/>
    <s v="YE"/>
    <n v="2.0200129917472301E+17"/>
    <s v="11AI"/>
    <s v="SA11AI_18483845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5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5612893518"/>
    <m/>
    <m/>
    <m/>
    <s v="F3X"/>
    <n v="4.02012020168638E+18"/>
    <s v="t"/>
    <s v="CONTRIBUTION TO ACTBLUE"/>
    <n v="2020"/>
    <s v="SA"/>
    <m/>
    <n v="4.0302202012319201E+18"/>
    <s v="http://docquery.fec.gov/cgi-bin/fecimg/?202001299174723229"/>
    <s v="Contributions From Individuals/Persons Other Than Political Committees"/>
  </r>
  <r>
    <s v="C00401224"/>
    <x v="3"/>
    <n v="2019"/>
    <s v="YE"/>
    <n v="2.0200129917472301E+17"/>
    <s v="11AI"/>
    <s v="SA11AI_18779252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82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6855775465"/>
    <m/>
    <m/>
    <m/>
    <s v="F3X"/>
    <n v="4.02012020168638E+18"/>
    <s v="t"/>
    <s v="EARMARKED FOR FRIENDS OF CHRIS MURPHY (C00492645)"/>
    <n v="2020"/>
    <s v="SA"/>
    <m/>
    <n v="4.03022020123219E+18"/>
    <s v="http://docquery.fec.gov/cgi-bin/fecimg/?202001299174723240"/>
    <s v="Contributions From Individuals/Persons Other Than Political Committees"/>
  </r>
  <r>
    <s v="C00401224"/>
    <x v="3"/>
    <n v="2019"/>
    <s v="YE"/>
    <n v="2.0200129917472301E+17"/>
    <s v="11AI"/>
    <s v="SA11AI_184364407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62"/>
    <n v="10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7426863428"/>
    <m/>
    <m/>
    <m/>
    <s v="F3X"/>
    <n v="4.02012020168638E+18"/>
    <s v="t"/>
    <s v="CONTRIBUTION TO ACTBLUE"/>
    <n v="2020"/>
    <s v="SA"/>
    <m/>
    <n v="4.0302202012318802E+18"/>
    <s v="http://docquery.fec.gov/cgi-bin/fecimg/?202001299174723226"/>
    <s v="Contributions From Individuals/Persons Other Than Political Committees"/>
  </r>
  <r>
    <s v="C00401224"/>
    <x v="3"/>
    <n v="2019"/>
    <s v="YE"/>
    <n v="2.0200129917472301E+17"/>
    <s v="11AI"/>
    <s v="SA11AI_17286106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7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8307303237"/>
    <m/>
    <m/>
    <m/>
    <s v="F3X"/>
    <n v="4.02012020168638E+18"/>
    <s v="t"/>
    <s v="CONTRIBUTION TO ACTBLUE"/>
    <n v="2020"/>
    <s v="SA"/>
    <m/>
    <n v="4.0302202012339098E+18"/>
    <s v="http://docquery.fec.gov/cgi-bin/fecimg/?202001299174723194"/>
    <s v="Contributions From Individuals/Persons Other Than Political Committees"/>
  </r>
  <r>
    <s v="C00401224"/>
    <x v="3"/>
    <n v="2019"/>
    <s v="YE"/>
    <n v="2.0200129917472301E+17"/>
    <s v="11AI"/>
    <s v="SA11AI_17226003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3"/>
    <n v="35"/>
    <n v="13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48992384262"/>
    <m/>
    <m/>
    <m/>
    <s v="F3X"/>
    <n v="4.02012020168638E+18"/>
    <s v="t"/>
    <s v="EARMARKED FOR JEANNE SHAHEEN FOR SENATE (C00457325)"/>
    <n v="2020"/>
    <s v="SA"/>
    <m/>
    <n v="4.0302202012369398E+18"/>
    <s v="http://docquery.fec.gov/cgi-bin/fecimg/?202001299174723192"/>
    <s v="Contributions From Individuals/Persons Other Than Political Committees"/>
  </r>
  <r>
    <s v="C00401224"/>
    <x v="3"/>
    <n v="2019"/>
    <s v="YE"/>
    <n v="2.0200129917472301E+17"/>
    <s v="11AI"/>
    <s v="SA11AI_17987470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7"/>
    <n v="2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50209293979"/>
    <m/>
    <m/>
    <m/>
    <s v="F3X"/>
    <n v="4.02012020168638E+18"/>
    <s v="t"/>
    <s v="CONTRIBUTION TO ACTBLUE"/>
    <n v="2020"/>
    <s v="SA"/>
    <m/>
    <n v="4.0302202012376499E+18"/>
    <s v="http://docquery.fec.gov/cgi-bin/fecimg/?202001299174723214"/>
    <s v="Contributions From Individuals/Persons Other Than Political Committees"/>
  </r>
  <r>
    <s v="C00401224"/>
    <x v="3"/>
    <n v="2019"/>
    <s v="YE"/>
    <n v="2.0200129917472301E+17"/>
    <s v="11AI"/>
    <s v="SA11AI_16811446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2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50549328706"/>
    <m/>
    <m/>
    <m/>
    <s v="F3X"/>
    <n v="4.02012020168638E+18"/>
    <s v="t"/>
    <s v="CONTRIBUTION TO ACTBLUE"/>
    <n v="2020"/>
    <s v="SA"/>
    <m/>
    <n v="4.0302202012365599E+18"/>
    <s v="http://docquery.fec.gov/cgi-bin/fecimg/?202001299174723178"/>
    <s v="Contributions From Individuals/Persons Other Than Political Committees"/>
  </r>
  <r>
    <s v="C00401224"/>
    <x v="3"/>
    <n v="2019"/>
    <s v="YE"/>
    <n v="2.0200129917472301E+17"/>
    <s v="11AI"/>
    <s v="SA11AI_18436455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62"/>
    <n v="50"/>
    <n v="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50868703707"/>
    <m/>
    <m/>
    <m/>
    <s v="F3X"/>
    <n v="4.02012020168638E+18"/>
    <s v="t"/>
    <s v="EARMARKED FOR FAIR FIGHT, INC. PAC - FEDERAL (C00693515)"/>
    <n v="2020"/>
    <s v="SA"/>
    <m/>
    <n v="4.03022020123806E+18"/>
    <s v="http://docquery.fec.gov/cgi-bin/fecimg/?202001299174723227"/>
    <s v="Contributions From Individuals/Persons Other Than Political Committees"/>
  </r>
  <r>
    <s v="C00401224"/>
    <x v="3"/>
    <n v="2019"/>
    <s v="YE"/>
    <n v="2.0200129917472301E+17"/>
    <s v="11AI"/>
    <s v="SA11AI_16664855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62"/>
    <n v="25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53090787034"/>
    <m/>
    <m/>
    <m/>
    <s v="F3X"/>
    <n v="4.02012020168638E+18"/>
    <s v="t"/>
    <s v="EARMARKED FOR THE COMMITTEE TO ELECT AYANNA PRESSLEY (C00667741)"/>
    <n v="2020"/>
    <s v="SA"/>
    <m/>
    <n v="4.03022020121615E+18"/>
    <s v="http://docquery.fec.gov/cgi-bin/fecimg/?202001299174723171"/>
    <s v="Contributions From Individuals/Persons Other Than Political Committees"/>
  </r>
  <r>
    <s v="C00401224"/>
    <x v="3"/>
    <n v="2019"/>
    <s v="YE"/>
    <n v="2.0200129917472301E+17"/>
    <s v="11AI"/>
    <s v="SA11AI_180138625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8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67199143516"/>
    <m/>
    <m/>
    <m/>
    <s v="F3X"/>
    <n v="4.02012020168638E+18"/>
    <s v="t"/>
    <s v="CONTRIBUTION TO ACTBLUE"/>
    <n v="2020"/>
    <s v="SA"/>
    <m/>
    <n v="4.0302202012376699E+18"/>
    <s v="http://docquery.fec.gov/cgi-bin/fecimg/?202001299174723216"/>
    <s v="Contributions From Individuals/Persons Other Than Political Committees"/>
  </r>
  <r>
    <s v="C00401224"/>
    <x v="3"/>
    <n v="2019"/>
    <s v="YE"/>
    <n v="2.0200129917472301E+17"/>
    <s v="11AI"/>
    <s v="SA11AI_17913307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735"/>
    <n v="2.7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62341249999"/>
    <m/>
    <m/>
    <m/>
    <s v="F3X"/>
    <n v="4.02012020168638E+18"/>
    <s v="t"/>
    <s v="CONTRIBUTION TO ACTBLUE"/>
    <n v="2020"/>
    <s v="SA"/>
    <m/>
    <n v="4.0302202012221199E+18"/>
    <s v="http://docquery.fec.gov/cgi-bin/fecimg/?202001299174723209"/>
    <s v="Contributions From Individuals/Persons Other Than Political Committees"/>
  </r>
  <r>
    <s v="C00401224"/>
    <x v="3"/>
    <n v="2019"/>
    <s v="YE"/>
    <n v="2.0200129917472301E+17"/>
    <s v="11AI"/>
    <s v="SA11AI_172104311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692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69301307871"/>
    <m/>
    <m/>
    <m/>
    <s v="F3X"/>
    <n v="4.02012020168638E+18"/>
    <s v="t"/>
    <s v="EARMARKED FOR WARREN FOR PRESIDENT, INC. (C00693234)"/>
    <n v="2020"/>
    <s v="SA"/>
    <m/>
    <n v="4.03022020122765E+18"/>
    <s v="http://docquery.fec.gov/cgi-bin/fecimg/?202001299174723190"/>
    <s v="Contributions From Individuals/Persons Other Than Political Committees"/>
  </r>
  <r>
    <s v="C00401224"/>
    <x v="3"/>
    <n v="2019"/>
    <s v="YE"/>
    <n v="2.0200129917472301E+17"/>
    <s v="11AI"/>
    <s v="SA11AI_189166604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89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70414780093"/>
    <m/>
    <m/>
    <m/>
    <s v="F3X"/>
    <n v="4.02012020168638E+18"/>
    <s v="t"/>
    <s v="EARMARKED FOR WARREN FOR PRESIDENT, INC. (C00693234)"/>
    <n v="2020"/>
    <s v="SA"/>
    <m/>
    <n v="4.0302202012261402E+18"/>
    <s v="http://docquery.fec.gov/cgi-bin/fecimg/?202001299174723245"/>
    <s v="Contributions From Individuals/Persons Other Than Political Committees"/>
  </r>
  <r>
    <s v="C00401224"/>
    <x v="3"/>
    <n v="2019"/>
    <s v="YE"/>
    <n v="2.0200129917472301E+17"/>
    <s v="11AI"/>
    <s v="SA11AI_168190112"/>
    <n v="1378435"/>
    <m/>
    <s v="IND"/>
    <s v="INDIVIDUAL"/>
    <s v="C0063959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9591"/>
    <s v="24T"/>
    <s v="EARMARKED INTERMEDIARY TREASURY OUT"/>
    <s v="EARMARK"/>
    <m/>
    <m/>
    <n v="43673"/>
    <n v="27"/>
    <n v="489"/>
    <s v="H8NY15148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7116068287"/>
    <m/>
    <m/>
    <m/>
    <s v="F3X"/>
    <n v="4.02012020168638E+18"/>
    <s v="t"/>
    <s v="EARMARKED FOR ALEXANDRIA OCASIO-CORTEZ FOR CONGRESS (C00639591)"/>
    <n v="2020"/>
    <s v="SA"/>
    <m/>
    <n v="4.0302202012272901E+18"/>
    <s v="http://docquery.fec.gov/cgi-bin/fecimg/?202001299174723179"/>
    <s v="Contributions From Individuals/Persons Other Than Political Committees"/>
  </r>
  <r>
    <s v="C00401224"/>
    <x v="3"/>
    <n v="2019"/>
    <s v="YE"/>
    <n v="2.0200129917472301E+17"/>
    <s v="11AI"/>
    <s v="SA11AI_16843855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74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71459618055"/>
    <m/>
    <m/>
    <m/>
    <s v="F3X"/>
    <n v="4.02012020168638E+18"/>
    <s v="t"/>
    <s v="CONTRIBUTION TO ACTBLUE"/>
    <n v="2020"/>
    <s v="SA"/>
    <m/>
    <n v="4.0302202012273198E+18"/>
    <s v="http://docquery.fec.gov/cgi-bin/fecimg/?202001299174723180"/>
    <s v="Contributions From Individuals/Persons Other Than Political Committees"/>
  </r>
  <r>
    <s v="C00401224"/>
    <x v="3"/>
    <n v="2019"/>
    <s v="YE"/>
    <n v="2.0200129917472301E+17"/>
    <s v="11AI"/>
    <s v="SA11AI_18013860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38"/>
    <n v="25"/>
    <n v="17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71112546299"/>
    <m/>
    <m/>
    <m/>
    <s v="F3X"/>
    <n v="4.02012020168638E+18"/>
    <s v="t"/>
    <s v="EARMARKED FOR PETE FOR AMERICA, INC (C00697441)"/>
    <n v="2020"/>
    <s v="SA"/>
    <m/>
    <n v="4.0302202012176399E+18"/>
    <s v="http://docquery.fec.gov/cgi-bin/fecimg/?202001299174723215"/>
    <s v="Contributions From Individuals/Persons Other Than Political Committees"/>
  </r>
  <r>
    <s v="C00401224"/>
    <x v="3"/>
    <n v="2019"/>
    <s v="YE"/>
    <n v="2.0200129917472301E+17"/>
    <s v="11AI"/>
    <s v="SA11AI_169148041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77"/>
    <n v="12.5"/>
    <n v="37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72733263885"/>
    <m/>
    <m/>
    <m/>
    <s v="F3X"/>
    <n v="4.02012020168638E+18"/>
    <s v="t"/>
    <s v="EARMARKED FOR JAIME HARRISON FOR US SENATE (C00696153)"/>
    <n v="2020"/>
    <s v="SA"/>
    <m/>
    <n v="4.03022020122739E+18"/>
    <s v="http://docquery.fec.gov/cgi-bin/fecimg/?202001299174723185"/>
    <s v="Contributions From Individuals/Persons Other Than Political Committees"/>
  </r>
  <r>
    <s v="C00401224"/>
    <x v="3"/>
    <n v="2019"/>
    <s v="YE"/>
    <n v="2.0200129917472301E+17"/>
    <s v="11AI"/>
    <s v="SA11AI_179874692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37"/>
    <n v="20"/>
    <n v="2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1505937502"/>
    <m/>
    <m/>
    <m/>
    <s v="F3X"/>
    <n v="4.02012020168638E+18"/>
    <s v="t"/>
    <s v="EARMARKED FOR SARA GIDEON FOR MAINE (C00709899)"/>
    <n v="2020"/>
    <s v="SA"/>
    <m/>
    <n v="4.03022020122528E+18"/>
    <s v="http://docquery.fec.gov/cgi-bin/fecimg/?202001299174723212"/>
    <s v="Contributions From Individuals/Persons Other Than Political Committees"/>
  </r>
  <r>
    <s v="C00401224"/>
    <x v="3"/>
    <n v="2019"/>
    <s v="YE"/>
    <n v="2.0200129917472301E+17"/>
    <s v="11AI"/>
    <s v="SA11AI_172255380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693"/>
    <n v="2.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1789965276"/>
    <m/>
    <m/>
    <m/>
    <s v="F3X"/>
    <n v="4.02012020168638E+18"/>
    <s v="t"/>
    <s v="CONTRIBUTION TO ACTBLUE"/>
    <n v="2020"/>
    <s v="SA"/>
    <m/>
    <n v="4.0302202012369398E+18"/>
    <s v="http://docquery.fec.gov/cgi-bin/fecimg/?202001299174723191"/>
    <s v="Contributions From Individuals/Persons Other Than Political Committees"/>
  </r>
  <r>
    <s v="C00401224"/>
    <x v="3"/>
    <n v="2019"/>
    <s v="YE"/>
    <n v="2.0200129917472301E+17"/>
    <s v="11AI"/>
    <s v="SA11AI_194905628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820"/>
    <n v="5"/>
    <n v="367.6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2374432874"/>
    <m/>
    <m/>
    <m/>
    <s v="F3X"/>
    <n v="4.02012020168638E+18"/>
    <s v="t"/>
    <s v="CONTRIBUTION TO ACTBLUE"/>
    <n v="2020"/>
    <s v="SA"/>
    <m/>
    <n v="4.0302202012236001E+18"/>
    <s v="http://docquery.fec.gov/cgi-bin/fecimg/?202001299174723260"/>
    <s v="Contributions From Individuals/Persons Other Than Political Committees"/>
  </r>
  <r>
    <s v="C00401224"/>
    <x v="3"/>
    <n v="2019"/>
    <s v="YE"/>
    <n v="2.0200129917472301E+17"/>
    <s v="11AI"/>
    <s v="SA11AI_173831133"/>
    <n v="1378435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703"/>
    <n v="50"/>
    <n v="710"/>
    <s v="P00009621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599644676"/>
    <m/>
    <m/>
    <m/>
    <s v="F3X"/>
    <n v="4.02012020168638E+18"/>
    <s v="t"/>
    <s v="EARMARKED FOR WARREN FOR PRESIDENT, INC. (C00693234)"/>
    <n v="2020"/>
    <s v="SA"/>
    <m/>
    <n v="4.0302202012370898E+18"/>
    <s v="http://docquery.fec.gov/cgi-bin/fecimg/?202001299174723197"/>
    <s v="Contributions From Individuals/Persons Other Than Political Committees"/>
  </r>
  <r>
    <s v="C00401224"/>
    <x v="3"/>
    <n v="2019"/>
    <s v="YE"/>
    <n v="2.0200129917472301E+17"/>
    <s v="11AI"/>
    <s v="SA11AI_179467419"/>
    <n v="1378435"/>
    <m/>
    <s v="IND"/>
    <s v="INDIVIDUAL"/>
    <s v="C00688739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88739"/>
    <s v="24T"/>
    <s v="EARMARKED INTERMEDIARY TREASURY OUT"/>
    <s v="EARMARK"/>
    <m/>
    <m/>
    <n v="43736"/>
    <n v="50"/>
    <n v="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7415138885"/>
    <m/>
    <m/>
    <m/>
    <s v="F3X"/>
    <n v="4.02012020168638E+18"/>
    <s v="t"/>
    <s v="EARMARKED FOR DITCH FUND (C00688739)"/>
    <n v="2020"/>
    <s v="SA"/>
    <m/>
    <n v="4.0302202012314199E+18"/>
    <s v="http://docquery.fec.gov/cgi-bin/fecimg/?202001299174723212"/>
    <s v="Contributions From Individuals/Persons Other Than Political Committees"/>
  </r>
  <r>
    <s v="C00401224"/>
    <x v="3"/>
    <n v="2019"/>
    <s v="YE"/>
    <n v="2.0200129917472301E+17"/>
    <s v="11AI"/>
    <s v="SA11AI_190910029"/>
    <n v="1378435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799"/>
    <n v="100"/>
    <n v="3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87595682868"/>
    <m/>
    <m/>
    <m/>
    <s v="F3X"/>
    <n v="4.02012020168638E+18"/>
    <s v="t"/>
    <s v="EARMARKED FOR DCCC (C00000935)"/>
    <n v="2020"/>
    <s v="SA"/>
    <m/>
    <n v="4.0302202012293898E+18"/>
    <s v="http://docquery.fec.gov/cgi-bin/fecimg/?202001299174723250"/>
    <s v="Contributions From Individuals/Persons Other Than Political Committees"/>
  </r>
  <r>
    <s v="C00401224"/>
    <x v="3"/>
    <n v="2019"/>
    <s v="YE"/>
    <n v="2.0200129917472301E+17"/>
    <s v="11AI"/>
    <s v="SA11AI_182601036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753"/>
    <n v="10"/>
    <n v="14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90777094905"/>
    <m/>
    <m/>
    <m/>
    <s v="F3X"/>
    <n v="4.02012020168638E+18"/>
    <s v="t"/>
    <s v="EARMARKED FOR THE COMMITTEE TO ELECT AYANNA PRESSLEY (C00667741)"/>
    <n v="2020"/>
    <s v="SA"/>
    <m/>
    <n v="4.0302202012348099E+18"/>
    <s v="http://docquery.fec.gov/cgi-bin/fecimg/?202001299174723221"/>
    <s v="Contributions From Individuals/Persons Other Than Political Committees"/>
  </r>
  <r>
    <s v="C00401224"/>
    <x v="3"/>
    <n v="2019"/>
    <s v="YE"/>
    <n v="2.0200129917472301E+17"/>
    <s v="11AI"/>
    <s v="SA11AI_172320524"/>
    <n v="1378435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693"/>
    <n v="12.5"/>
    <n v="52.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590701064815"/>
    <m/>
    <m/>
    <m/>
    <s v="F3X"/>
    <n v="4.02012020168638E+18"/>
    <s v="t"/>
    <s v="EARMARKED FOR MARK KELLY FOR SENATE (C00696526)"/>
    <n v="2020"/>
    <s v="SA"/>
    <m/>
    <n v="4.0302202012338601E+18"/>
    <s v="http://docquery.fec.gov/cgi-bin/fecimg/?202001299174723190"/>
    <s v="Contributions From Individuals/Persons Other Than Political Committees"/>
  </r>
  <r>
    <s v="C00693234"/>
    <x v="0"/>
    <n v="2020"/>
    <s v="M2"/>
    <n v="2.0200220918715699E+17"/>
    <s v="17A"/>
    <n v="5572783"/>
    <n v="1385191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3845"/>
    <n v="50"/>
    <n v="76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95.491953101853"/>
    <m/>
    <s v="5572783E"/>
    <s v="SA17A"/>
    <s v="F3P"/>
    <n v="4.02212020169344E+18"/>
    <s v="t"/>
    <s v="* EARMARKED CONTRIBUTION: SEE BELOW"/>
    <n v="2020"/>
    <s v="SA"/>
    <m/>
    <n v="4.0304202017014298E+18"/>
    <s v="http://docquery.fec.gov/cgi-bin/fecimg/?202002209187157632"/>
    <s v="Contributions From Individuals/Persons Other Than Political Committees"/>
  </r>
  <r>
    <s v="C00401224"/>
    <x v="3"/>
    <n v="2020"/>
    <s v="M2"/>
    <n v="2.0200221920164701E+17"/>
    <s v="11AI"/>
    <s v="SA11AI_198162648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35"/>
    <n v="25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65317476849"/>
    <m/>
    <m/>
    <m/>
    <s v="F3X"/>
    <n v="4.02212020169344E+18"/>
    <s v="t"/>
    <s v="EARMARKED FOR DCCC (C00000935)"/>
    <n v="2020"/>
    <s v="SA"/>
    <m/>
    <n v="4.0324202017135099E+18"/>
    <s v="http://docquery.fec.gov/cgi-bin/fecimg/?202002219201647247"/>
    <s v="Contributions From Individuals/Persons Other Than Political Committees"/>
  </r>
  <r>
    <s v="C00401224"/>
    <x v="3"/>
    <n v="2020"/>
    <s v="M2"/>
    <n v="2.0200221920164701E+17"/>
    <s v="11AI"/>
    <s v="SA11AI_198270319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35"/>
    <n v="2.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65317488425"/>
    <m/>
    <m/>
    <m/>
    <s v="F3X"/>
    <n v="4.02212020169344E+18"/>
    <s v="t"/>
    <s v="CONTRIBUTION TO ACTBLUE"/>
    <n v="2020"/>
    <s v="SA"/>
    <m/>
    <n v="4.0324202017135099E+18"/>
    <s v="http://docquery.fec.gov/cgi-bin/fecimg/?202002219201647248"/>
    <s v="Contributions From Individuals/Persons Other Than Political Committees"/>
  </r>
  <r>
    <s v="C00401224"/>
    <x v="3"/>
    <n v="2020"/>
    <s v="M2"/>
    <n v="2.0200221920164701E+17"/>
    <s v="11AI"/>
    <s v="SA11AI_201988464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53"/>
    <n v="10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65317488425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7"/>
    <s v="Contributions From Individuals/Persons Other Than Political Committees"/>
  </r>
  <r>
    <s v="C00401224"/>
    <x v="3"/>
    <n v="2020"/>
    <s v="M2"/>
    <n v="2.0200221920164701E+17"/>
    <s v="11AI"/>
    <s v="SA11AI_201778398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52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65317488425"/>
    <m/>
    <m/>
    <m/>
    <s v="F3X"/>
    <n v="4.02212020169344E+18"/>
    <s v="t"/>
    <s v="EARMARKED FOR FRIENDS OF CHRIS MURPHY (C00492645)"/>
    <n v="2020"/>
    <s v="SA"/>
    <m/>
    <n v="4.0324202017135099E+18"/>
    <s v="http://docquery.fec.gov/cgi-bin/fecimg/?202002219201647257"/>
    <s v="Contributions From Individuals/Persons Other Than Political Committees"/>
  </r>
  <r>
    <s v="C00401224"/>
    <x v="3"/>
    <n v="2020"/>
    <s v="M2"/>
    <n v="2.0200221920164701E+17"/>
    <s v="11AI"/>
    <s v="SA11AI_199618206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43"/>
    <n v="50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76154479165"/>
    <m/>
    <m/>
    <m/>
    <s v="F3X"/>
    <n v="4.02212020169344E+18"/>
    <s v="t"/>
    <s v="EARMARKED FOR NANCY PELOSI FOR CONGRESS (C00213512)"/>
    <n v="2020"/>
    <s v="SA"/>
    <m/>
    <n v="4.0324202017135099E+18"/>
    <s v="http://docquery.fec.gov/cgi-bin/fecimg/?202002219201647251"/>
    <s v="Contributions From Individuals/Persons Other Than Political Committees"/>
  </r>
  <r>
    <s v="C00401224"/>
    <x v="3"/>
    <n v="2020"/>
    <s v="M2"/>
    <n v="2.0200221920164701E+17"/>
    <s v="11AI"/>
    <s v="SA11AI_204487322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1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76154502317"/>
    <m/>
    <m/>
    <m/>
    <s v="F3X"/>
    <n v="4.02212020169344E+18"/>
    <s v="t"/>
    <s v="CONTRIBUTION TO ACTBLUE"/>
    <n v="2020"/>
    <s v="SA"/>
    <m/>
    <n v="4.0324202017135099E+18"/>
    <s v="http://docquery.fec.gov/cgi-bin/fecimg/?202002219201647263"/>
    <s v="Contributions From Individuals/Persons Other Than Political Committees"/>
  </r>
  <r>
    <s v="C00401224"/>
    <x v="3"/>
    <n v="2020"/>
    <s v="M2"/>
    <n v="2.0200221920164701E+17"/>
    <s v="11AI"/>
    <s v="SA11AI_201778403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52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76154479165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6"/>
    <s v="Contributions From Individuals/Persons Other Than Political Committees"/>
  </r>
  <r>
    <s v="C00401224"/>
    <x v="3"/>
    <n v="2020"/>
    <s v="M2"/>
    <n v="2.0200221920164701E+17"/>
    <s v="11AI"/>
    <s v="SA11AI_199618207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43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98600497685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2"/>
    <s v="Contributions From Individuals/Persons Other Than Political Committees"/>
  </r>
  <r>
    <s v="C00401224"/>
    <x v="3"/>
    <n v="2020"/>
    <s v="M2"/>
    <n v="2.0200221920164701E+17"/>
    <s v="11AI"/>
    <s v="SA11AI_201988456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53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98600497685"/>
    <m/>
    <m/>
    <m/>
    <s v="F3X"/>
    <n v="4.02212020169344E+18"/>
    <s v="t"/>
    <s v="EARMARKED FOR SCHIFF FOR CONGRESS (C00343871)"/>
    <n v="2020"/>
    <s v="SA"/>
    <m/>
    <n v="4.0324202017135099E+18"/>
    <s v="http://docquery.fec.gov/cgi-bin/fecimg/?202002219201647258"/>
    <s v="Contributions From Individuals/Persons Other Than Political Committees"/>
  </r>
  <r>
    <s v="C00401224"/>
    <x v="3"/>
    <n v="2020"/>
    <s v="M2"/>
    <n v="2.0200221920164701E+17"/>
    <s v="11AI"/>
    <s v="SA11AI_202196301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54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98600509261"/>
    <m/>
    <m/>
    <m/>
    <s v="F3X"/>
    <n v="4.02212020169344E+18"/>
    <s v="t"/>
    <s v="EARMARKED FOR FRIENDS OF CHRIS MURPHY (C00492645)"/>
    <n v="2020"/>
    <s v="SA"/>
    <m/>
    <n v="4.0324202017135099E+18"/>
    <s v="http://docquery.fec.gov/cgi-bin/fecimg/?202002219201647259"/>
    <s v="Contributions From Individuals/Persons Other Than Political Committees"/>
  </r>
  <r>
    <s v="C00401224"/>
    <x v="3"/>
    <n v="2020"/>
    <s v="M2"/>
    <n v="2.0200221920164701E+17"/>
    <s v="11AI"/>
    <s v="SA11AI_198270318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35"/>
    <n v="25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2792395831"/>
    <m/>
    <m/>
    <m/>
    <s v="F3X"/>
    <n v="4.02212020169344E+18"/>
    <s v="t"/>
    <s v="EARMARKED FOR NANCY PELOSI FOR CONGRESS (C00213512)"/>
    <n v="2020"/>
    <s v="SA"/>
    <m/>
    <n v="4.0324202017135099E+18"/>
    <s v="http://docquery.fec.gov/cgi-bin/fecimg/?202002219201647247"/>
    <s v="Contributions From Individuals/Persons Other Than Political Committees"/>
  </r>
  <r>
    <s v="C00401224"/>
    <x v="3"/>
    <n v="2020"/>
    <s v="M2"/>
    <n v="2.0200221920164701E+17"/>
    <s v="11AI"/>
    <s v="SA11AI_200397385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45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2792395831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3"/>
    <s v="Contributions From Individuals/Persons Other Than Political Committees"/>
  </r>
  <r>
    <s v="C00401224"/>
    <x v="3"/>
    <n v="2020"/>
    <s v="M2"/>
    <n v="2.0200221920164701E+17"/>
    <s v="11AI"/>
    <s v="SA11AI_200193257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45"/>
    <n v="1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2792395831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3"/>
    <s v="Contributions From Individuals/Persons Other Than Political Committees"/>
  </r>
  <r>
    <s v="C00401224"/>
    <x v="3"/>
    <n v="2020"/>
    <s v="M2"/>
    <n v="2.0200221920164701E+17"/>
    <s v="11AI"/>
    <s v="SA11AI_202196422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54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2792395831"/>
    <m/>
    <m/>
    <m/>
    <s v="F3X"/>
    <n v="4.02212020169344E+18"/>
    <s v="t"/>
    <s v="CONTRIBUTION TO ACTBLUE"/>
    <n v="2020"/>
    <s v="SA"/>
    <m/>
    <n v="4.0324202017135099E+18"/>
    <s v="http://docquery.fec.gov/cgi-bin/fecimg/?202002219201647259"/>
    <s v="Contributions From Individuals/Persons Other Than Political Committees"/>
  </r>
  <r>
    <s v="C00401224"/>
    <x v="3"/>
    <n v="2020"/>
    <s v="M2"/>
    <n v="2.0200221920164701E+17"/>
    <s v="11AI"/>
    <s v="SA11AI_200193255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45"/>
    <n v="10"/>
    <n v="1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8905509259"/>
    <m/>
    <m/>
    <m/>
    <s v="F3X"/>
    <n v="4.02212020169344E+18"/>
    <s v="t"/>
    <s v="EARMARKED FOR THE COMMITTEE TO ELECT AYANNA PRESSLEY (C00667741)"/>
    <n v="2020"/>
    <s v="SA"/>
    <m/>
    <n v="4.0324202017135099E+18"/>
    <s v="http://docquery.fec.gov/cgi-bin/fecimg/?202002219201647254"/>
    <s v="Contributions From Individuals/Persons Other Than Political Committees"/>
  </r>
  <r>
    <s v="C00401224"/>
    <x v="3"/>
    <n v="2020"/>
    <s v="M2"/>
    <n v="2.0200221920164701E+17"/>
    <s v="11AI"/>
    <s v="SA11AI_202482280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55"/>
    <n v="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8905509259"/>
    <m/>
    <m/>
    <m/>
    <s v="F3X"/>
    <n v="4.02212020169344E+18"/>
    <s v="t"/>
    <s v="CONTRIBUTION TO ACTBLUE"/>
    <n v="2020"/>
    <s v="SA"/>
    <m/>
    <n v="4.0324202017135099E+18"/>
    <s v="http://docquery.fec.gov/cgi-bin/fecimg/?202002219201647260"/>
    <s v="Contributions From Individuals/Persons Other Than Political Committees"/>
  </r>
  <r>
    <s v="C00401224"/>
    <x v="3"/>
    <n v="2020"/>
    <s v="M2"/>
    <n v="2.0200221920164701E+17"/>
    <s v="11AI"/>
    <s v="SA11AI_202482264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55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8905532411"/>
    <m/>
    <m/>
    <m/>
    <s v="F3X"/>
    <n v="4.02212020169344E+18"/>
    <s v="t"/>
    <s v="EARMARKED FOR SCHIFF FOR CONGRESS (C00343871)"/>
    <n v="2020"/>
    <s v="SA"/>
    <m/>
    <n v="4.0324202017135099E+18"/>
    <s v="http://docquery.fec.gov/cgi-bin/fecimg/?202002219201647260"/>
    <s v="Contributions From Individuals/Persons Other Than Political Committees"/>
  </r>
  <r>
    <s v="C00401224"/>
    <x v="3"/>
    <n v="2020"/>
    <s v="M2"/>
    <n v="2.0200221920164701E+17"/>
    <s v="11AI"/>
    <s v="SA11AI_204487291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61"/>
    <n v="50"/>
    <n v="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8905532411"/>
    <m/>
    <m/>
    <m/>
    <s v="F3X"/>
    <n v="4.02212020169344E+18"/>
    <s v="t"/>
    <s v="EARMARKED FOR DCCC (C00000935)"/>
    <n v="2020"/>
    <s v="SA"/>
    <m/>
    <n v="4.0324202017135099E+18"/>
    <s v="http://docquery.fec.gov/cgi-bin/fecimg/?202002219201647264"/>
    <s v="Contributions From Individuals/Persons Other Than Political Committees"/>
  </r>
  <r>
    <s v="C00401224"/>
    <x v="3"/>
    <n v="2020"/>
    <s v="M2"/>
    <n v="2.0200221920164701E+17"/>
    <s v="11AI"/>
    <s v="SA11AI_200397374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45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18905509259"/>
    <m/>
    <m/>
    <m/>
    <s v="F3X"/>
    <n v="4.02212020169344E+18"/>
    <s v="t"/>
    <s v="EARMARKED FOR WARREN FOR PRESIDENT, INC. (C00693234)"/>
    <n v="2020"/>
    <s v="SA"/>
    <m/>
    <n v="4.0324202017135099E+18"/>
    <s v="http://docquery.fec.gov/cgi-bin/fecimg/?202002219201647254"/>
    <s v="Contributions From Individuals/Persons Other Than Political Committees"/>
  </r>
  <r>
    <s v="C00401224"/>
    <x v="3"/>
    <n v="2020"/>
    <s v="M2"/>
    <n v="2.0200221920164701E+17"/>
    <s v="11AI"/>
    <s v="SA11AI_198162649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35"/>
    <n v="2.5"/>
    <n v="46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30598298613"/>
    <m/>
    <m/>
    <m/>
    <s v="F3X"/>
    <n v="4.02212020169344E+18"/>
    <s v="t"/>
    <s v="CONTRIBUTION TO ACTBLUE"/>
    <n v="2020"/>
    <s v="SA"/>
    <m/>
    <n v="4.0324202017135099E+18"/>
    <s v="http://docquery.fec.gov/cgi-bin/fecimg/?202002219201647247"/>
    <s v="Contributions From Individuals/Persons Other Than Political Committees"/>
  </r>
  <r>
    <s v="C00401224"/>
    <x v="3"/>
    <n v="2020"/>
    <s v="M2"/>
    <n v="2.0200221920164701E+17"/>
    <s v="11AI"/>
    <s v="SA11AI_201988457"/>
    <n v="138552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53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330598298613"/>
    <m/>
    <m/>
    <m/>
    <s v="F3X"/>
    <n v="4.02212020169344E+18"/>
    <s v="t"/>
    <s v="EARMARKED FOR DEBBIE FOR CONGRESS (C00652065)"/>
    <n v="2020"/>
    <s v="SA"/>
    <m/>
    <n v="4.0324202017135099E+18"/>
    <s v="http://docquery.fec.gov/cgi-bin/fecimg/?202002219201647258"/>
    <s v="Contributions From Individuals/Persons Other Than Political Committees"/>
  </r>
  <r>
    <s v="C00401224"/>
    <x v="3"/>
    <n v="2020"/>
    <s v="M3"/>
    <n v="2.0200320921284E+17"/>
    <s v="11AI"/>
    <s v="SA11AI_208709247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74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07502094909"/>
    <m/>
    <m/>
    <m/>
    <s v="F3X"/>
    <n v="4.0323202017043999E+18"/>
    <s v="t"/>
    <s v="CONTRIBUTION TO ACTBLUE"/>
    <n v="2020"/>
    <s v="SA"/>
    <m/>
    <n v="4.04022020173361E+18"/>
    <s v="http://docquery.fec.gov/cgi-bin/fecimg/?202003209212840863"/>
    <s v="Contributions From Individuals/Persons Other Than Political Committees"/>
  </r>
  <r>
    <s v="C00401224"/>
    <x v="3"/>
    <n v="2020"/>
    <s v="M3"/>
    <n v="2.0200320921284E+17"/>
    <s v="11AI"/>
    <s v="SA11AI_21014054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79"/>
    <n v="5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24729027778"/>
    <m/>
    <m/>
    <m/>
    <s v="F3X"/>
    <n v="4.0323202017043999E+18"/>
    <s v="t"/>
    <s v="EARMARKED FOR FRIENDS OF CHRIS MURPHY (C00492645)"/>
    <n v="2020"/>
    <s v="SA"/>
    <m/>
    <n v="4.04022020173361E+18"/>
    <s v="http://docquery.fec.gov/cgi-bin/fecimg/?202003209212840868"/>
    <s v="Contributions From Individuals/Persons Other Than Political Committees"/>
  </r>
  <r>
    <s v="C00401224"/>
    <x v="3"/>
    <n v="2020"/>
    <s v="M3"/>
    <n v="2.0200320921284E+17"/>
    <s v="11AI"/>
    <s v="SA11AI_21314765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7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24729050923"/>
    <m/>
    <m/>
    <m/>
    <s v="F3X"/>
    <n v="4.0323202017043999E+18"/>
    <s v="t"/>
    <s v="EARMARKED FOR SAVE AMERICA FUND (C00732172)"/>
    <n v="2020"/>
    <s v="SA"/>
    <m/>
    <n v="4.04022020173361E+18"/>
    <s v="http://docquery.fec.gov/cgi-bin/fecimg/?202003209212840877"/>
    <s v="Contributions From Individuals/Persons Other Than Political Committees"/>
  </r>
  <r>
    <s v="C00401224"/>
    <x v="3"/>
    <n v="2020"/>
    <s v="M3"/>
    <n v="2.0200320921284E+17"/>
    <s v="11AI"/>
    <s v="SA11AI_206157661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67"/>
    <n v="50"/>
    <n v="184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29614791668"/>
    <m/>
    <m/>
    <m/>
    <s v="F3X"/>
    <n v="4.0323202017043999E+18"/>
    <s v="t"/>
    <s v="EARMARKED FOR SCHIFF FOR CONGRESS (C00343871)"/>
    <n v="2020"/>
    <s v="SA"/>
    <m/>
    <n v="4.04022020173361E+18"/>
    <s v="http://docquery.fec.gov/cgi-bin/fecimg/?202003209212840854"/>
    <s v="Contributions From Individuals/Persons Other Than Political Committees"/>
  </r>
  <r>
    <s v="C00401224"/>
    <x v="3"/>
    <n v="2020"/>
    <s v="M3"/>
    <n v="2.0200320921284E+17"/>
    <s v="11AI"/>
    <s v="SA11AI_213146443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7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43886851848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8"/>
    <s v="Contributions From Individuals/Persons Other Than Political Committees"/>
  </r>
  <r>
    <s v="C00401224"/>
    <x v="3"/>
    <n v="2020"/>
    <s v="M3"/>
    <n v="2.0200320921284E+17"/>
    <s v="11AI"/>
    <s v="SA11AI_211039177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1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43886851848"/>
    <m/>
    <m/>
    <m/>
    <s v="F3X"/>
    <n v="4.0323202017043999E+18"/>
    <s v="t"/>
    <s v="EARMARKED FOR END CITIZENS UNITED PAC (C00573261)"/>
    <n v="2020"/>
    <s v="SA"/>
    <m/>
    <n v="4.04022020173361E+18"/>
    <s v="http://docquery.fec.gov/cgi-bin/fecimg/?202003209212840870"/>
    <s v="Contributions From Individuals/Persons Other Than Political Committees"/>
  </r>
  <r>
    <s v="C00401224"/>
    <x v="3"/>
    <n v="2020"/>
    <s v="M3"/>
    <n v="2.0200320921284E+17"/>
    <s v="11AI"/>
    <s v="SA11AI_213146423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7"/>
    <n v="5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44106770832"/>
    <m/>
    <m/>
    <m/>
    <s v="F3X"/>
    <n v="4.0323202017043999E+18"/>
    <s v="t"/>
    <s v="EARMARKED FOR END CITIZENS UNITED PAC (C00573261)"/>
    <n v="2020"/>
    <s v="SA"/>
    <m/>
    <n v="4.04022020173361E+18"/>
    <s v="http://docquery.fec.gov/cgi-bin/fecimg/?202003209212840878"/>
    <s v="Contributions From Individuals/Persons Other Than Political Committees"/>
  </r>
  <r>
    <s v="C00401224"/>
    <x v="3"/>
    <n v="2020"/>
    <s v="M3"/>
    <n v="2.0200320921284E+17"/>
    <s v="11AI"/>
    <s v="SA11AI_205331618"/>
    <n v="1391686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864"/>
    <n v="50"/>
    <n v="330"/>
    <s v="P00009621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60395590278"/>
    <m/>
    <m/>
    <m/>
    <s v="F3X"/>
    <n v="4.0323202017043999E+18"/>
    <s v="t"/>
    <s v="EARMARKED FOR WARREN FOR PRESIDENT, INC. (C00693234)"/>
    <n v="2020"/>
    <s v="SA"/>
    <m/>
    <n v="4.04022020173361E+18"/>
    <s v="http://docquery.fec.gov/cgi-bin/fecimg/?202003209212840850"/>
    <s v="Contributions From Individuals/Persons Other Than Political Committees"/>
  </r>
  <r>
    <s v="C00401224"/>
    <x v="3"/>
    <n v="2020"/>
    <s v="M3"/>
    <n v="2.0200320921284E+17"/>
    <s v="11AI"/>
    <s v="SA11AI_208709246"/>
    <n v="1391686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874"/>
    <n v="50"/>
    <n v="298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60395613423"/>
    <m/>
    <m/>
    <m/>
    <s v="F3X"/>
    <n v="4.0323202017043999E+18"/>
    <s v="t"/>
    <s v="EARMARKED FOR NANCY PELOSI FOR CONGRESS (C00213512)"/>
    <n v="2020"/>
    <s v="SA"/>
    <m/>
    <n v="4.04022020173361E+18"/>
    <s v="http://docquery.fec.gov/cgi-bin/fecimg/?202003209212840863"/>
    <s v="Contributions From Individuals/Persons Other Than Political Committees"/>
  </r>
  <r>
    <s v="C00401224"/>
    <x v="3"/>
    <n v="2020"/>
    <s v="M3"/>
    <n v="2.0200320921284E+17"/>
    <s v="11AI"/>
    <s v="SA11AI_210140557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79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6039561342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68"/>
    <s v="Contributions From Individuals/Persons Other Than Political Committees"/>
  </r>
  <r>
    <s v="C00401224"/>
    <x v="3"/>
    <n v="2020"/>
    <s v="M3"/>
    <n v="2.0200320921284E+17"/>
    <s v="11AI"/>
    <s v="SA11AI_206335166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7"/>
    <n v="2.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60665266204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6"/>
    <s v="Contributions From Individuals/Persons Other Than Political Committees"/>
  </r>
  <r>
    <s v="C00401224"/>
    <x v="3"/>
    <n v="2020"/>
    <s v="M3"/>
    <n v="2.0200320921284E+17"/>
    <s v="11AI"/>
    <s v="SA11AI_211128408"/>
    <n v="1391686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881"/>
    <n v="100"/>
    <n v="330"/>
    <s v="P00009621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6066527778"/>
    <m/>
    <m/>
    <m/>
    <s v="F3X"/>
    <n v="4.0323202017043999E+18"/>
    <s v="t"/>
    <s v="EARMARKED FOR WARREN FOR PRESIDENT, INC. (C00693234)"/>
    <n v="2020"/>
    <s v="SA"/>
    <m/>
    <n v="4.04022020173361E+18"/>
    <s v="http://docquery.fec.gov/cgi-bin/fecimg/?202003209212840871"/>
    <s v="Contributions From Individuals/Persons Other Than Political Committees"/>
  </r>
  <r>
    <s v="C00401224"/>
    <x v="3"/>
    <n v="2020"/>
    <s v="M3"/>
    <n v="2.0200320921284E+17"/>
    <s v="11AI"/>
    <s v="SA11AI_211039176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1"/>
    <n v="50"/>
    <n v="62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6066527778"/>
    <m/>
    <m/>
    <m/>
    <s v="F3X"/>
    <n v="4.0323202017043999E+18"/>
    <s v="t"/>
    <s v="EARMARKED FOR OFF THE SIDELINES PAC (C00525600)"/>
    <n v="2020"/>
    <s v="SA"/>
    <m/>
    <n v="4.04022020173361E+18"/>
    <s v="http://docquery.fec.gov/cgi-bin/fecimg/?202003209212840871"/>
    <s v="Contributions From Individuals/Persons Other Than Political Committees"/>
  </r>
  <r>
    <s v="C00401224"/>
    <x v="3"/>
    <n v="2020"/>
    <s v="M3"/>
    <n v="2.0200320921284E+17"/>
    <s v="11AI"/>
    <s v="SA11AI_211040429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1"/>
    <n v="25"/>
    <n v="37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6066527778"/>
    <m/>
    <m/>
    <m/>
    <s v="F3X"/>
    <n v="4.0323202017043999E+18"/>
    <s v="t"/>
    <s v="EARMARKED FOR DOUG JONES FOR US SENATE (C00640623)"/>
    <n v="2020"/>
    <s v="SA"/>
    <m/>
    <n v="4.04022020173361E+18"/>
    <s v="http://docquery.fec.gov/cgi-bin/fecimg/?202003209212840872"/>
    <s v="Contributions From Individuals/Persons Other Than Political Committees"/>
  </r>
  <r>
    <s v="C00401224"/>
    <x v="3"/>
    <n v="2020"/>
    <s v="M3"/>
    <n v="2.0200320921284E+17"/>
    <s v="11AI"/>
    <s v="SA11AI_212423014"/>
    <n v="1391686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885"/>
    <n v="100"/>
    <n v="330"/>
    <s v="P00009621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6066527778"/>
    <m/>
    <m/>
    <m/>
    <s v="F3X"/>
    <n v="4.0323202017043999E+18"/>
    <s v="t"/>
    <s v="EARMARKED FOR WARREN FOR PRESIDENT, INC. (C00693234)"/>
    <n v="2020"/>
    <s v="SA"/>
    <m/>
    <n v="4.04022020173361E+18"/>
    <s v="http://docquery.fec.gov/cgi-bin/fecimg/?202003209212840875"/>
    <s v="Contributions From Individuals/Persons Other Than Political Committees"/>
  </r>
  <r>
    <s v="C00401224"/>
    <x v="3"/>
    <n v="2020"/>
    <s v="M3"/>
    <n v="2.0200320921284E+17"/>
    <s v="11AI"/>
    <s v="SA11AI_21181331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3"/>
    <n v="6.9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6093828704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3"/>
    <s v="Contributions From Individuals/Persons Other Than Political Committees"/>
  </r>
  <r>
    <s v="C00401224"/>
    <x v="3"/>
    <n v="2020"/>
    <s v="M3"/>
    <n v="2.0200320921284E+17"/>
    <s v="11AI"/>
    <s v="SA11AI_205503010"/>
    <n v="1391686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865"/>
    <n v="70"/>
    <n v="298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71032881942"/>
    <m/>
    <m/>
    <m/>
    <s v="F3X"/>
    <n v="4.0323202017043999E+18"/>
    <s v="t"/>
    <s v="EARMARKED FOR NANCY PELOSI FOR CONGRESS (C00213512)"/>
    <n v="2020"/>
    <s v="SA"/>
    <m/>
    <n v="4.04022020173361E+18"/>
    <s v="http://docquery.fec.gov/cgi-bin/fecimg/?202003209212840852"/>
    <s v="Contributions From Individuals/Persons Other Than Political Committees"/>
  </r>
  <r>
    <s v="C00401224"/>
    <x v="3"/>
    <n v="2020"/>
    <s v="M3"/>
    <n v="2.0200320921284E+17"/>
    <s v="11AI"/>
    <s v="SA11AI_20615766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7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1032881942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5"/>
    <s v="Contributions From Individuals/Persons Other Than Political Committees"/>
  </r>
  <r>
    <s v="C00401224"/>
    <x v="3"/>
    <n v="2020"/>
    <s v="M3"/>
    <n v="2.0200320921284E+17"/>
    <s v="11AI"/>
    <s v="SA11AI_205505726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5"/>
    <n v="3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785028935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3"/>
    <s v="Contributions From Individuals/Persons Other Than Political Committees"/>
  </r>
  <r>
    <s v="C00401224"/>
    <x v="3"/>
    <n v="2020"/>
    <s v="M3"/>
    <n v="2.0200320921284E+17"/>
    <s v="11AI"/>
    <s v="SA11AI_212423021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5"/>
    <n v="10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785028935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5"/>
    <s v="Contributions From Individuals/Persons Other Than Political Committees"/>
  </r>
  <r>
    <s v="C00401224"/>
    <x v="3"/>
    <n v="2020"/>
    <s v="M3"/>
    <n v="2.0200320921284E+17"/>
    <s v="11AI"/>
    <s v="SA11AI_209299536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76"/>
    <n v="1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785028935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66"/>
    <s v="Contributions From Individuals/Persons Other Than Political Committees"/>
  </r>
  <r>
    <s v="C00401224"/>
    <x v="3"/>
    <n v="2020"/>
    <s v="M3"/>
    <n v="2.0200320921284E+17"/>
    <s v="11AI"/>
    <s v="SA11AI_213659642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8"/>
    <n v="34.5"/>
    <n v="184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7850289353"/>
    <m/>
    <m/>
    <m/>
    <s v="F3X"/>
    <n v="4.0323202017043999E+18"/>
    <s v="t"/>
    <s v="EARMARKED FOR SCHIFF FOR CONGRESS (C00343871)"/>
    <n v="2020"/>
    <s v="SA"/>
    <m/>
    <n v="4.04022020173361E+18"/>
    <s v="http://docquery.fec.gov/cgi-bin/fecimg/?202003209212840879"/>
    <s v="Contributions From Individuals/Persons Other Than Political Committees"/>
  </r>
  <r>
    <s v="C00401224"/>
    <x v="3"/>
    <n v="2020"/>
    <s v="M3"/>
    <n v="2.0200320921284E+17"/>
    <s v="11AI"/>
    <s v="SA11AI_205331640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4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95866423611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0"/>
    <s v="Contributions From Individuals/Persons Other Than Political Committees"/>
  </r>
  <r>
    <s v="C00401224"/>
    <x v="3"/>
    <n v="2020"/>
    <s v="M3"/>
    <n v="2.0200320921284E+17"/>
    <s v="11AI"/>
    <s v="SA11AI_20550301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5"/>
    <n v="7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95866423611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1"/>
    <s v="Contributions From Individuals/Persons Other Than Political Committees"/>
  </r>
  <r>
    <s v="C00401224"/>
    <x v="3"/>
    <n v="2020"/>
    <s v="M3"/>
    <n v="2.0200320921284E+17"/>
    <s v="11AI"/>
    <s v="SA11AI_213515053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8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96550763892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9"/>
    <s v="Contributions From Individuals/Persons Other Than Political Committees"/>
  </r>
  <r>
    <s v="C00401224"/>
    <x v="3"/>
    <n v="2020"/>
    <s v="M3"/>
    <n v="2.0200320921284E+17"/>
    <s v="11AI"/>
    <s v="SA11AI_213659641"/>
    <n v="1391686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888"/>
    <n v="34.5"/>
    <n v="298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96550763892"/>
    <m/>
    <m/>
    <m/>
    <s v="F3X"/>
    <n v="4.0323202017043999E+18"/>
    <s v="t"/>
    <s v="EARMARKED FOR NANCY PELOSI FOR CONGRESS (C00213512)"/>
    <n v="2020"/>
    <s v="SA"/>
    <m/>
    <n v="4.04022020173361E+18"/>
    <s v="http://docquery.fec.gov/cgi-bin/fecimg/?202003209212840881"/>
    <s v="Contributions From Individuals/Persons Other Than Political Committees"/>
  </r>
  <r>
    <s v="C00401224"/>
    <x v="3"/>
    <n v="2020"/>
    <s v="M3"/>
    <n v="2.0200320921284E+17"/>
    <s v="11AI"/>
    <s v="SA11AI_211813312"/>
    <n v="1391686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883"/>
    <n v="69"/>
    <n v="298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496550763892"/>
    <m/>
    <m/>
    <m/>
    <s v="F3X"/>
    <n v="4.0323202017043999E+18"/>
    <s v="t"/>
    <s v="EARMARKED FOR NANCY PELOSI FOR CONGRESS (C00213512)"/>
    <n v="2020"/>
    <s v="SA"/>
    <m/>
    <n v="4.04022020173361E+18"/>
    <s v="http://docquery.fec.gov/cgi-bin/fecimg/?202003209212840873"/>
    <s v="Contributions From Individuals/Persons Other Than Political Committees"/>
  </r>
  <r>
    <s v="C00401224"/>
    <x v="3"/>
    <n v="2020"/>
    <s v="M3"/>
    <n v="2.0200320921284E+17"/>
    <s v="11AI"/>
    <s v="SA11AI_211128416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1"/>
    <n v="10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97015347224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0"/>
    <s v="Contributions From Individuals/Persons Other Than Political Committees"/>
  </r>
  <r>
    <s v="C00401224"/>
    <x v="3"/>
    <n v="2020"/>
    <s v="M3"/>
    <n v="2.0200320921284E+17"/>
    <s v="11AI"/>
    <s v="SA11AI_213515035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88"/>
    <n v="5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577427083"/>
    <m/>
    <m/>
    <m/>
    <s v="F3X"/>
    <n v="4.0323202017043999E+18"/>
    <s v="t"/>
    <s v="EARMARKED FOR DCCC (C00000935)"/>
    <n v="2020"/>
    <s v="SA"/>
    <m/>
    <n v="4.04022020173361E+18"/>
    <s v="http://docquery.fec.gov/cgi-bin/fecimg/?202003209212840880"/>
    <s v="Contributions From Individuals/Persons Other Than Political Committees"/>
  </r>
  <r>
    <s v="C00401224"/>
    <x v="3"/>
    <n v="2020"/>
    <s v="M3"/>
    <n v="2.0200320921284E+17"/>
    <s v="11AI"/>
    <s v="SA11AI_205715385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66"/>
    <n v="25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5774259262"/>
    <m/>
    <m/>
    <m/>
    <s v="F3X"/>
    <n v="4.0323202017043999E+18"/>
    <s v="t"/>
    <s v="EARMARKED FOR DCCC (C00000935)"/>
    <n v="2020"/>
    <s v="SA"/>
    <m/>
    <n v="4.04022020173361E+18"/>
    <s v="http://docquery.fec.gov/cgi-bin/fecimg/?202003209212840853"/>
    <s v="Contributions From Individuals/Persons Other Than Political Committees"/>
  </r>
  <r>
    <s v="C00401224"/>
    <x v="3"/>
    <n v="2020"/>
    <s v="M3"/>
    <n v="2.0200320921284E+17"/>
    <s v="11AI"/>
    <s v="SA11AI_206335150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67"/>
    <n v="12.5"/>
    <n v="37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5774259262"/>
    <m/>
    <m/>
    <m/>
    <s v="F3X"/>
    <n v="4.0323202017043999E+18"/>
    <s v="t"/>
    <s v="EARMARKED FOR DOUG JONES FOR US SENATE (C00640623)"/>
    <n v="2020"/>
    <s v="SA"/>
    <m/>
    <n v="4.04022020173361E+18"/>
    <s v="http://docquery.fec.gov/cgi-bin/fecimg/?202003209212840856"/>
    <s v="Contributions From Individuals/Persons Other Than Political Committees"/>
  </r>
  <r>
    <s v="C00401224"/>
    <x v="3"/>
    <n v="2020"/>
    <s v="M3"/>
    <n v="2.0200320921284E+17"/>
    <s v="11AI"/>
    <s v="SA11AI_211039191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1"/>
    <n v="10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57742708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1"/>
    <s v="Contributions From Individuals/Persons Other Than Political Committees"/>
  </r>
  <r>
    <s v="C00401224"/>
    <x v="3"/>
    <n v="2020"/>
    <s v="M3"/>
    <n v="2.0200320921284E+17"/>
    <s v="11AI"/>
    <s v="SA11AI_206335149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67"/>
    <n v="12.5"/>
    <n v="62.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6885567127"/>
    <m/>
    <m/>
    <m/>
    <s v="F3X"/>
    <n v="4.0323202017043999E+18"/>
    <s v="t"/>
    <s v="EARMARKED FOR OFF THE SIDELINES PAC (C00525600)"/>
    <n v="2020"/>
    <s v="SA"/>
    <m/>
    <n v="4.04022020173361E+18"/>
    <s v="http://docquery.fec.gov/cgi-bin/fecimg/?202003209212840854"/>
    <s v="Contributions From Individuals/Persons Other Than Political Committees"/>
  </r>
  <r>
    <s v="C00401224"/>
    <x v="3"/>
    <n v="2020"/>
    <s v="M3"/>
    <n v="2.0200320921284E+17"/>
    <s v="11AI"/>
    <s v="SA11AI_209299535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76"/>
    <n v="10"/>
    <n v="2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6885567127"/>
    <m/>
    <m/>
    <m/>
    <s v="F3X"/>
    <n v="4.0323202017043999E+18"/>
    <s v="t"/>
    <s v="EARMARKED FOR THE COMMITTEE TO ELECT AYANNA PRESSLEY (C00667741)"/>
    <n v="2020"/>
    <s v="SA"/>
    <m/>
    <n v="4.04022020173361E+18"/>
    <s v="http://docquery.fec.gov/cgi-bin/fecimg/?202003209212840866"/>
    <s v="Contributions From Individuals/Persons Other Than Political Committees"/>
  </r>
  <r>
    <s v="C00401224"/>
    <x v="3"/>
    <n v="2020"/>
    <s v="M3"/>
    <n v="2.0200320921284E+17"/>
    <s v="11AI"/>
    <s v="SA11AI_211040438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1"/>
    <n v="2.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688557870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0"/>
    <s v="Contributions From Individuals/Persons Other Than Political Committees"/>
  </r>
  <r>
    <s v="C00401224"/>
    <x v="3"/>
    <n v="2020"/>
    <s v="M3"/>
    <n v="2.0200320921284E+17"/>
    <s v="11AI"/>
    <s v="SA11AI_213659649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8"/>
    <n v="6.9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06885578703"/>
    <m/>
    <m/>
    <m/>
    <s v="F3X"/>
    <n v="4.0323202017043999E+18"/>
    <s v="t"/>
    <s v="CONTRIBUTION TO ACTBLUE"/>
    <n v="2020"/>
    <s v="SA"/>
    <m/>
    <n v="4.04022020173361E+18"/>
    <s v="http://docquery.fec.gov/cgi-bin/fecimg/?202003209212840881"/>
    <s v="Contributions From Individuals/Persons Other Than Political Committees"/>
  </r>
  <r>
    <s v="C00401224"/>
    <x v="3"/>
    <n v="2020"/>
    <s v="M3"/>
    <n v="2.0200320921284E+17"/>
    <s v="11AI"/>
    <s v="SA11AI_205505720"/>
    <n v="1391686"/>
    <m/>
    <s v="IND"/>
    <s v="INDIVIDUAL"/>
    <s v="C00693234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93234"/>
    <s v="24T"/>
    <s v="EARMARKED INTERMEDIARY TREASURY OUT"/>
    <s v="EARMARK"/>
    <m/>
    <m/>
    <n v="43865"/>
    <n v="30"/>
    <n v="330"/>
    <s v="P00009621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24.524399756941"/>
    <m/>
    <m/>
    <m/>
    <s v="F3X"/>
    <n v="4.0323202017043999E+18"/>
    <s v="t"/>
    <s v="EARMARKED FOR WARREN FOR PRESIDENT, INC. (C00693234)"/>
    <n v="2020"/>
    <s v="SA"/>
    <m/>
    <n v="4.04022020173361E+18"/>
    <s v="http://docquery.fec.gov/cgi-bin/fecimg/?202003209212840852"/>
    <s v="Contributions From Individuals/Persons Other Than Political Committees"/>
  </r>
  <r>
    <s v="C00401224"/>
    <x v="3"/>
    <n v="2020"/>
    <s v="M3"/>
    <n v="2.0200320921284E+17"/>
    <s v="11AI"/>
    <s v="SA11AI_205715387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66"/>
    <n v="2.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24399756941"/>
    <m/>
    <m/>
    <m/>
    <s v="F3X"/>
    <n v="4.0323202017043999E+18"/>
    <s v="t"/>
    <s v="CONTRIBUTION TO ACTBLUE"/>
    <n v="2020"/>
    <s v="SA"/>
    <m/>
    <n v="4.04022020173361E+18"/>
    <s v="http://docquery.fec.gov/cgi-bin/fecimg/?202003209212840854"/>
    <s v="Contributions From Individuals/Persons Other Than Political Committees"/>
  </r>
  <r>
    <s v="C00401224"/>
    <x v="3"/>
    <n v="2020"/>
    <s v="M3"/>
    <n v="2.0200320921284E+17"/>
    <s v="11AI"/>
    <s v="SA11AI_213147670"/>
    <n v="1391686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87"/>
    <n v="5"/>
    <n v="143.3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524399768517"/>
    <m/>
    <m/>
    <m/>
    <s v="F3X"/>
    <n v="4.0323202017043999E+18"/>
    <s v="t"/>
    <s v="CONTRIBUTION TO ACTBLUE"/>
    <n v="2020"/>
    <s v="SA"/>
    <m/>
    <n v="4.04022020173361E+18"/>
    <s v="http://docquery.fec.gov/cgi-bin/fecimg/?202003209212840879"/>
    <s v="Contributions From Individuals/Persons Other Than Political Committees"/>
  </r>
  <r>
    <s v="C00213512"/>
    <x v="4"/>
    <n v="2020"/>
    <s v="Q1"/>
    <n v="2.0200415921679699E+17"/>
    <s v="11AI"/>
    <s v="VSHCDK6GD11"/>
    <n v="1397961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74"/>
    <n v="50"/>
    <n v="963.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57.060159548608"/>
    <m/>
    <s v="VSHCDK6GD11E"/>
    <s v="SA11AI"/>
    <s v="F3"/>
    <n v="4.04152020173679E+18"/>
    <s v="t"/>
    <s v="* EARMARKED CONTRIBUTION: SEE BELOW"/>
    <n v="2020"/>
    <s v="SA"/>
    <m/>
    <n v="4.0505202017417999E+18"/>
    <s v="http://docquery.fec.gov/cgi-bin/fecimg/?202004159216797422"/>
    <s v="Contributions From Individuals/Persons Other Than Political Committees"/>
  </r>
  <r>
    <s v="C00213512"/>
    <x v="4"/>
    <n v="2020"/>
    <s v="Q1"/>
    <n v="2.0200415921679901E+17"/>
    <s v="11AI"/>
    <s v="VSHCDKDDBR6"/>
    <n v="1397961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905"/>
    <n v="65"/>
    <n v="96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957.060476921295"/>
    <m/>
    <s v="VSHCDKDDBR6E"/>
    <s v="SA11AI"/>
    <s v="F3"/>
    <n v="4.04152020173679E+18"/>
    <s v="t"/>
    <s v="* EARMARKED CONTRIBUTION: SEE BELOW"/>
    <n v="2020"/>
    <s v="SA"/>
    <m/>
    <n v="4.0505202017418102E+18"/>
    <s v="http://docquery.fec.gov/cgi-bin/fecimg/?202004159216799680"/>
    <s v="Contributions From Individuals/Persons Other Than Political Committees"/>
  </r>
  <r>
    <s v="C00213512"/>
    <x v="4"/>
    <n v="2020"/>
    <s v="Q1"/>
    <n v="2.0200415921679901E+17"/>
    <s v="11AI"/>
    <s v="VSHCDK7FWG5"/>
    <n v="1397961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83"/>
    <n v="69"/>
    <n v="963.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57.060450520832"/>
    <m/>
    <s v="VSHCDK7FWG5E"/>
    <s v="SA11AI"/>
    <s v="F3"/>
    <n v="4.04152020173679E+18"/>
    <s v="t"/>
    <s v="* EARMARKED CONTRIBUTION: SEE BELOW"/>
    <n v="2020"/>
    <s v="SA"/>
    <m/>
    <n v="4.0505202017418102E+18"/>
    <s v="http://docquery.fec.gov/cgi-bin/fecimg/?202004159216799202"/>
    <s v="Contributions From Individuals/Persons Other Than Political Committees"/>
  </r>
  <r>
    <s v="C00213512"/>
    <x v="4"/>
    <n v="2020"/>
    <s v="Q1"/>
    <n v="2.0200415921679901E+17"/>
    <s v="11AI"/>
    <s v="VSHCDK91Y07"/>
    <n v="1397961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3888"/>
    <n v="34.5"/>
    <n v="963.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957.060477650462"/>
    <m/>
    <s v="VSHCDK91Y07E"/>
    <s v="SA11AI"/>
    <s v="F3"/>
    <n v="4.04152020173679E+18"/>
    <s v="t"/>
    <s v="* EARMARKED CONTRIBUTION: SEE BELOW"/>
    <n v="2020"/>
    <s v="SA"/>
    <m/>
    <n v="4.0505202017418102E+18"/>
    <s v="http://docquery.fec.gov/cgi-bin/fecimg/?202004159216799774"/>
    <s v="Contributions From Individuals/Persons Other Than Political Committees"/>
  </r>
  <r>
    <s v="C00703975"/>
    <x v="7"/>
    <n v="2020"/>
    <s v="M8"/>
    <n v="2.0200820926661402E+17"/>
    <s v="17A"/>
    <n v="7823940"/>
    <n v="1434676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4028"/>
    <n v="100"/>
    <n v="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69.173078206019"/>
    <m/>
    <s v="7823940E"/>
    <s v="SA17A"/>
    <s v="F3P"/>
    <n v="4.0822202018295398E+18"/>
    <s v="t"/>
    <s v="* EARMARKED CONTRIBUTION: SEE BELOW"/>
    <n v="2020"/>
    <s v="SA"/>
    <m/>
    <n v="4.0826202018302602E+18"/>
    <s v="http://docquery.fec.gov/cgi-bin/fecimg/?202008209266614356"/>
    <s v="Contributions From Individuals/Persons Other Than Political Committees"/>
  </r>
  <r>
    <s v="C00401224"/>
    <x v="3"/>
    <n v="2020"/>
    <s v="M4"/>
    <n v="2.0200421923020899E+17"/>
    <s v="11AI"/>
    <s v="SA11AI_216852632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95"/>
    <n v="2.5"/>
    <n v="159.8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293815046294"/>
    <m/>
    <m/>
    <m/>
    <s v="F3X"/>
    <n v="4.0420202017373501E+18"/>
    <s v="t"/>
    <s v="CONTRIBUTION TO ACTBLUE"/>
    <n v="2020"/>
    <s v="SA"/>
    <m/>
    <n v="4.0514202017524301E+18"/>
    <s v="http://docquery.fec.gov/cgi-bin/fecimg/?202004219230209641"/>
    <s v="Contributions From Individuals/Persons Other Than Political Committees"/>
  </r>
  <r>
    <s v="C00401224"/>
    <x v="3"/>
    <n v="2020"/>
    <s v="M4"/>
    <n v="2.0200421923020899E+17"/>
    <s v="11AI"/>
    <s v="SA11AI_217277676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96"/>
    <n v="2.5"/>
    <n v="159.8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06582210651"/>
    <m/>
    <m/>
    <m/>
    <s v="F3X"/>
    <n v="4.0420202017373501E+18"/>
    <s v="t"/>
    <s v="CONTRIBUTION TO ACTBLUE"/>
    <n v="2020"/>
    <s v="SA"/>
    <m/>
    <n v="4.0514202017524301E+18"/>
    <s v="http://docquery.fec.gov/cgi-bin/fecimg/?202004219230209642"/>
    <s v="Contributions From Individuals/Persons Other Than Political Committees"/>
  </r>
  <r>
    <s v="C00401224"/>
    <x v="3"/>
    <n v="2020"/>
    <s v="M4"/>
    <n v="2.0200421923020899E+17"/>
    <s v="11AI"/>
    <s v="SA11AI_217277674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96"/>
    <n v="25"/>
    <n v="2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06582210651"/>
    <m/>
    <m/>
    <m/>
    <s v="F3X"/>
    <n v="4.0420202017373501E+18"/>
    <s v="t"/>
    <s v="EARMARKED FOR JAIME HARRISON FOR US SENATE (C00696153)"/>
    <n v="2020"/>
    <s v="SA"/>
    <m/>
    <n v="4.0514202017524301E+18"/>
    <s v="http://docquery.fec.gov/cgi-bin/fecimg/?202004219230209643"/>
    <s v="Contributions From Individuals/Persons Other Than Political Committees"/>
  </r>
  <r>
    <s v="C00401224"/>
    <x v="3"/>
    <n v="2020"/>
    <s v="M4"/>
    <n v="2.0200421923020899E+17"/>
    <s v="11AI"/>
    <s v="SA11AI_219689474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905"/>
    <n v="6.5"/>
    <n v="159.8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24137905096"/>
    <m/>
    <m/>
    <m/>
    <s v="F3X"/>
    <n v="4.0420202017373501E+18"/>
    <s v="t"/>
    <s v="CONTRIBUTION TO ACTBLUE"/>
    <n v="2020"/>
    <s v="SA"/>
    <m/>
    <n v="4.0514202017524301E+18"/>
    <s v="http://docquery.fec.gov/cgi-bin/fecimg/?202004219230209648"/>
    <s v="Contributions From Individuals/Persons Other Than Political Committees"/>
  </r>
  <r>
    <s v="C00401224"/>
    <x v="3"/>
    <n v="2020"/>
    <s v="M4"/>
    <n v="2.0200421923020899E+17"/>
    <s v="11AI"/>
    <s v="SA11AI_217123679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95"/>
    <n v="2.5"/>
    <n v="159.8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40290509259"/>
    <m/>
    <m/>
    <m/>
    <s v="F3X"/>
    <n v="4.0420202017373501E+18"/>
    <s v="t"/>
    <s v="CONTRIBUTION TO ACTBLUE"/>
    <n v="2020"/>
    <s v="SA"/>
    <m/>
    <n v="4.0514202017524301E+18"/>
    <s v="http://docquery.fec.gov/cgi-bin/fecimg/?202004219230209640"/>
    <s v="Contributions From Individuals/Persons Other Than Political Committees"/>
  </r>
  <r>
    <s v="C00401224"/>
    <x v="3"/>
    <n v="2020"/>
    <s v="M4"/>
    <n v="2.0200421923020899E+17"/>
    <s v="11AI"/>
    <s v="SA11AI_216852631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95"/>
    <n v="25"/>
    <n v="1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40290509259"/>
    <m/>
    <m/>
    <m/>
    <s v="F3X"/>
    <n v="4.0420202017373501E+18"/>
    <s v="t"/>
    <s v="EARMARKED FOR DCCC (C00000935)"/>
    <n v="2020"/>
    <s v="SA"/>
    <m/>
    <n v="4.0514202017524301E+18"/>
    <s v="http://docquery.fec.gov/cgi-bin/fecimg/?202004219230209641"/>
    <s v="Contributions From Individuals/Persons Other Than Political Committees"/>
  </r>
  <r>
    <s v="C00401224"/>
    <x v="3"/>
    <n v="2020"/>
    <s v="M4"/>
    <n v="2.0200421923020899E+17"/>
    <s v="11AI"/>
    <s v="SA11AI_217020182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895"/>
    <n v="2.5"/>
    <n v="159.80000000000001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40290509259"/>
    <m/>
    <m/>
    <m/>
    <s v="F3X"/>
    <n v="4.0420202017373501E+18"/>
    <s v="t"/>
    <s v="CONTRIBUTION TO ACTBLUE"/>
    <n v="2020"/>
    <s v="SA"/>
    <m/>
    <n v="4.0514202017524301E+18"/>
    <s v="http://docquery.fec.gov/cgi-bin/fecimg/?202004219230209641"/>
    <s v="Contributions From Individuals/Persons Other Than Political Committees"/>
  </r>
  <r>
    <s v="C00401224"/>
    <x v="3"/>
    <n v="2020"/>
    <s v="M4"/>
    <n v="2.0200421923020899E+17"/>
    <s v="11AI"/>
    <s v="SA11AI_217123661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95"/>
    <n v="25"/>
    <n v="2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40290509259"/>
    <m/>
    <m/>
    <m/>
    <s v="F3X"/>
    <n v="4.0420202017373501E+18"/>
    <s v="t"/>
    <s v="EARMARKED FOR 314 ACTION FUND (C00633248)"/>
    <n v="2020"/>
    <s v="SA"/>
    <m/>
    <n v="4.0514202017524301E+18"/>
    <s v="http://docquery.fec.gov/cgi-bin/fecimg/?202004219230209642"/>
    <s v="Contributions From Individuals/Persons Other Than Political Committees"/>
  </r>
  <r>
    <s v="C00401224"/>
    <x v="3"/>
    <n v="2020"/>
    <s v="M4"/>
    <n v="2.0200421923020899E+17"/>
    <s v="11AI"/>
    <s v="SA11AI_219689460"/>
    <n v="1402724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3905"/>
    <n v="65"/>
    <n v="363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66.340290509259"/>
    <m/>
    <m/>
    <m/>
    <s v="F3X"/>
    <n v="4.0420202017373501E+18"/>
    <s v="t"/>
    <s v="EARMARKED FOR NANCY PELOSI FOR CONGRESS (C00213512)"/>
    <n v="2020"/>
    <s v="SA"/>
    <m/>
    <n v="4.0514202017524301E+18"/>
    <s v="http://docquery.fec.gov/cgi-bin/fecimg/?202004219230209648"/>
    <s v="Contributions From Individuals/Persons Other Than Political Committees"/>
  </r>
  <r>
    <s v="C00401224"/>
    <x v="3"/>
    <n v="2020"/>
    <s v="M4"/>
    <n v="2.0200421923020899E+17"/>
    <s v="11AI"/>
    <s v="SA11AI_217020173"/>
    <n v="140272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895"/>
    <n v="25"/>
    <n v="12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51423958331"/>
    <m/>
    <m/>
    <m/>
    <s v="F3X"/>
    <n v="4.0420202017373501E+18"/>
    <s v="t"/>
    <s v="EARMARKED FOR END CITIZENS UNITED PAC (C00573261)"/>
    <n v="2020"/>
    <s v="SA"/>
    <m/>
    <n v="4.0514202017524301E+18"/>
    <s v="http://docquery.fec.gov/cgi-bin/fecimg/?202004219230209642"/>
    <s v="Contributions From Individuals/Persons Other Than Political Committees"/>
  </r>
  <r>
    <s v="C00401224"/>
    <x v="3"/>
    <n v="2020"/>
    <s v="M5"/>
    <n v="2.0200520923750202E+17"/>
    <s v="11AI"/>
    <s v="SA11AI_224972769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926"/>
    <n v="2.5"/>
    <n v="184.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287502199077"/>
    <m/>
    <m/>
    <m/>
    <s v="F3X"/>
    <n v="4.05212020176224E+18"/>
    <s v="t"/>
    <s v="CONTRIBUTION TO ACTBLUE"/>
    <n v="2020"/>
    <s v="SA"/>
    <m/>
    <n v="4.0527202017721999E+18"/>
    <s v="http://docquery.fec.gov/cgi-bin/fecimg/?202005209237502126"/>
    <s v="Contributions From Individuals/Persons Other Than Political Committees"/>
  </r>
  <r>
    <s v="C00401224"/>
    <x v="3"/>
    <n v="2020"/>
    <s v="M5"/>
    <n v="2.0200520923750202E+17"/>
    <s v="11AI"/>
    <s v="SA11AI_227380296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37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28750204861"/>
    <m/>
    <m/>
    <m/>
    <s v="F3X"/>
    <n v="4.05212020176224E+18"/>
    <s v="t"/>
    <s v="EARMARKED FOR BIDEN FOR PRESIDENT (C00703975)"/>
    <n v="2020"/>
    <s v="SA"/>
    <m/>
    <n v="4.0527202017721999E+18"/>
    <s v="http://docquery.fec.gov/cgi-bin/fecimg/?202005209237502133"/>
    <s v="Contributions From Individuals/Persons Other Than Political Committees"/>
  </r>
  <r>
    <s v="C00401224"/>
    <x v="3"/>
    <n v="2020"/>
    <s v="M5"/>
    <n v="2.0200520923750202E+17"/>
    <s v="11AI"/>
    <s v="SA11AI_228723397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42"/>
    <n v="25"/>
    <n v="2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287502222222"/>
    <m/>
    <m/>
    <m/>
    <s v="F3X"/>
    <n v="4.05212020176224E+18"/>
    <s v="t"/>
    <s v="EARMARKED FOR WARREN DEMOCRATS, INC. (C00500843)"/>
    <n v="2020"/>
    <s v="SA"/>
    <m/>
    <n v="4.0527202017721999E+18"/>
    <s v="http://docquery.fec.gov/cgi-bin/fecimg/?202005209237502135"/>
    <s v="Contributions From Individuals/Persons Other Than Political Committees"/>
  </r>
  <r>
    <s v="C00401224"/>
    <x v="3"/>
    <n v="2020"/>
    <s v="M5"/>
    <n v="2.0200520923750202E+17"/>
    <s v="11AI"/>
    <s v="SA11AI_224972768"/>
    <n v="1407307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26"/>
    <n v="25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9.302411990742"/>
    <m/>
    <m/>
    <m/>
    <s v="F3X"/>
    <n v="4.05212020176224E+18"/>
    <s v="t"/>
    <s v="EARMARKED FOR DCCC (C00000935)"/>
    <n v="2020"/>
    <s v="SA"/>
    <m/>
    <n v="4.0527202017721999E+18"/>
    <s v="http://docquery.fec.gov/cgi-bin/fecimg/?202005209237502125"/>
    <s v="Contributions From Individuals/Persons Other Than Political Committees"/>
  </r>
  <r>
    <s v="C00401224"/>
    <x v="3"/>
    <n v="2020"/>
    <s v="M5"/>
    <n v="2.0200520923750202E+17"/>
    <s v="11AI"/>
    <s v="SA11AI_228449328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41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302411990742"/>
    <m/>
    <m/>
    <m/>
    <s v="F3X"/>
    <n v="4.05212020176224E+18"/>
    <s v="t"/>
    <s v="EARMARKED FOR BIDEN FOR PRESIDENT (C00703975)"/>
    <n v="2020"/>
    <s v="SA"/>
    <m/>
    <n v="4.0527202017721999E+18"/>
    <s v="http://docquery.fec.gov/cgi-bin/fecimg/?202005209237502134"/>
    <s v="Contributions From Individuals/Persons Other Than Political Committees"/>
  </r>
  <r>
    <s v="C00401224"/>
    <x v="3"/>
    <n v="2020"/>
    <s v="M5"/>
    <n v="2.0200520923750202E+17"/>
    <s v="11AI"/>
    <s v="SA11AI_227380299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937"/>
    <n v="10"/>
    <n v="184.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316903599538"/>
    <m/>
    <m/>
    <m/>
    <s v="F3X"/>
    <n v="4.05212020176224E+18"/>
    <s v="t"/>
    <s v="CONTRIBUTION TO ACTBLUE"/>
    <n v="2020"/>
    <s v="SA"/>
    <m/>
    <n v="4.0527202017721999E+18"/>
    <s v="http://docquery.fec.gov/cgi-bin/fecimg/?202005209237502133"/>
    <s v="Contributions From Individuals/Persons Other Than Political Committees"/>
  </r>
  <r>
    <s v="C00401224"/>
    <x v="3"/>
    <n v="2020"/>
    <s v="M5"/>
    <n v="2.0200520923750202E+17"/>
    <s v="11AI"/>
    <s v="SA11AI_228449340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941"/>
    <n v="10"/>
    <n v="184.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320468472222"/>
    <m/>
    <m/>
    <m/>
    <s v="F3X"/>
    <n v="4.05212020176224E+18"/>
    <s v="t"/>
    <s v="CONTRIBUTION TO ACTBLUE"/>
    <n v="2020"/>
    <s v="SA"/>
    <m/>
    <n v="4.0527202017721999E+18"/>
    <s v="http://docquery.fec.gov/cgi-bin/fecimg/?202005209237502134"/>
    <s v="Contributions From Individuals/Persons Other Than Political Committees"/>
  </r>
  <r>
    <s v="C00401224"/>
    <x v="3"/>
    <n v="2020"/>
    <s v="M5"/>
    <n v="2.0200520923750202E+17"/>
    <s v="11AI"/>
    <s v="SA11AI_227135365"/>
    <n v="1407307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36"/>
    <n v="10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9.319705729169"/>
    <m/>
    <m/>
    <m/>
    <s v="F3X"/>
    <n v="4.05212020176224E+18"/>
    <s v="t"/>
    <s v="EARMARKED FOR DCCC (C00000935)"/>
    <n v="2020"/>
    <s v="SA"/>
    <m/>
    <n v="4.0527202017721999E+18"/>
    <s v="http://docquery.fec.gov/cgi-bin/fecimg/?202005209237502132"/>
    <s v="Contributions From Individuals/Persons Other Than Political Committees"/>
  </r>
  <r>
    <s v="C00401224"/>
    <x v="3"/>
    <n v="2020"/>
    <s v="M5"/>
    <n v="2.0200520923750202E+17"/>
    <s v="11AI"/>
    <s v="SA11AI_228723408"/>
    <n v="1407307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CONTRIBUTION TO ACT BLUE"/>
    <m/>
    <m/>
    <n v="43942"/>
    <n v="2.5"/>
    <n v="184.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79.332651064811"/>
    <m/>
    <m/>
    <m/>
    <s v="F3X"/>
    <n v="4.05212020176224E+18"/>
    <s v="t"/>
    <s v="CONTRIBUTION TO ACTBLUE"/>
    <n v="2020"/>
    <s v="SA"/>
    <m/>
    <n v="4.0527202017721999E+18"/>
    <s v="http://docquery.fec.gov/cgi-bin/fecimg/?202005209237502135"/>
    <s v="Contributions From Individuals/Persons Other Than Political Committees"/>
  </r>
  <r>
    <s v="C00703975"/>
    <x v="7"/>
    <n v="2020"/>
    <s v="M6"/>
    <n v="2.0200620924382099E+17"/>
    <s v="17A"/>
    <n v="4932551"/>
    <n v="1414186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967"/>
    <n v="100"/>
    <n v="3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08.10139369213"/>
    <m/>
    <s v="4932551E"/>
    <s v="SA17A"/>
    <s v="F3P"/>
    <n v="4.0620202017761101E+18"/>
    <s v="t"/>
    <s v="* EARMARKED CONTRIBUTION: SEE BELOW"/>
    <n v="2020"/>
    <s v="SA"/>
    <m/>
    <n v="4.0625202017777398E+18"/>
    <s v="http://docquery.fec.gov/cgi-bin/fecimg/?202006209243821931"/>
    <s v="Contributions From Individuals/Persons Other Than Political Committees"/>
  </r>
  <r>
    <s v="C00703975"/>
    <x v="7"/>
    <n v="2020"/>
    <s v="M6"/>
    <n v="2.0200620924382099E+17"/>
    <s v="17A"/>
    <n v="5025695"/>
    <n v="1414186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970"/>
    <n v="100"/>
    <n v="4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08.116540185183"/>
    <m/>
    <s v="5025695E"/>
    <s v="SA17A"/>
    <s v="F3P"/>
    <n v="4.0620202017761101E+18"/>
    <s v="t"/>
    <s v="* EARMARKED CONTRIBUTION: SEE BELOW"/>
    <n v="2020"/>
    <s v="SA"/>
    <m/>
    <n v="4.0625202017777398E+18"/>
    <s v="http://docquery.fec.gov/cgi-bin/fecimg/?202006209243821934"/>
    <s v="Contributions From Individuals/Persons Other Than Political Committees"/>
  </r>
  <r>
    <s v="C00401224"/>
    <x v="3"/>
    <n v="2020"/>
    <s v="M6"/>
    <n v="2.0200620924188099E+17"/>
    <s v="11AI"/>
    <s v="SA11AI_234837770"/>
    <n v="1413483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3967"/>
    <n v="100"/>
    <n v="400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284560300926"/>
    <m/>
    <m/>
    <m/>
    <s v="F3X"/>
    <n v="4.0621202017761597E+18"/>
    <s v="t"/>
    <s v="EARMARKED FOR BIDEN FOR PRESIDENT (C00703975)"/>
    <n v="2020"/>
    <s v="SA"/>
    <m/>
    <n v="4.0709202017890299E+18"/>
    <s v="http://docquery.fec.gov/cgi-bin/fecimg/?202006209241881319"/>
    <s v="Contributions From Individuals/Persons Other Than Political Committees"/>
  </r>
  <r>
    <s v="C00401224"/>
    <x v="3"/>
    <n v="2020"/>
    <s v="M6"/>
    <n v="2.0200620924188099E+17"/>
    <s v="11AI"/>
    <s v="SA11AI_234594601"/>
    <n v="1413483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66"/>
    <n v="100"/>
    <n v="4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01501655093"/>
    <m/>
    <m/>
    <m/>
    <s v="F3X"/>
    <n v="4.0621202017761597E+18"/>
    <s v="t"/>
    <s v="EARMARKED FOR DCCC (C00000935)"/>
    <n v="2020"/>
    <s v="SA"/>
    <m/>
    <n v="4.0709202017890299E+18"/>
    <s v="http://docquery.fec.gov/cgi-bin/fecimg/?202006209241881319"/>
    <s v="Contributions From Individuals/Persons Other Than Political Committees"/>
  </r>
  <r>
    <s v="C00401224"/>
    <x v="3"/>
    <n v="2020"/>
    <s v="M6"/>
    <n v="2.0200620924188099E+17"/>
    <s v="11AI"/>
    <s v="SA11AI_232136023"/>
    <n v="1413483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56"/>
    <n v="25"/>
    <n v="4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15893298612"/>
    <m/>
    <m/>
    <m/>
    <s v="F3X"/>
    <n v="4.0621202017761597E+18"/>
    <s v="t"/>
    <s v="EARMARKED FOR DCCC (C00000935)"/>
    <n v="2020"/>
    <s v="SA"/>
    <m/>
    <n v="4.0709202017890299E+18"/>
    <s v="http://docquery.fec.gov/cgi-bin/fecimg/?202006209241881311"/>
    <s v="Contributions From Individuals/Persons Other Than Political Committees"/>
  </r>
  <r>
    <s v="C00401224"/>
    <x v="3"/>
    <n v="2020"/>
    <s v="M6"/>
    <n v="2.0200620924188099E+17"/>
    <s v="11AI"/>
    <s v="SA11AI_236031543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72"/>
    <n v="25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22.317297037036"/>
    <m/>
    <m/>
    <m/>
    <s v="F3X"/>
    <n v="4.0621202017761597E+18"/>
    <s v="t"/>
    <s v="EARMARKED FOR WARREN DEMOCRATS, INC. (C00500843)"/>
    <n v="2020"/>
    <s v="SA"/>
    <m/>
    <n v="4.0709202017890299E+18"/>
    <s v="http://docquery.fec.gov/cgi-bin/fecimg/?202006209241881326"/>
    <s v="Contributions From Individuals/Persons Other Than Political Committees"/>
  </r>
  <r>
    <s v="C00401224"/>
    <x v="3"/>
    <n v="2020"/>
    <s v="M6"/>
    <n v="2.0200620924188099E+17"/>
    <s v="11AI"/>
    <s v="SA11AI_236031540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72"/>
    <n v="2.5"/>
    <n v="21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17297048612"/>
    <m/>
    <m/>
    <m/>
    <s v="F3X"/>
    <n v="4.0621202017761597E+18"/>
    <s v="t"/>
    <s v="CONTRIBUTION TO ACTBLUE"/>
    <n v="2020"/>
    <s v="SA"/>
    <m/>
    <n v="4.0709202017890299E+18"/>
    <s v="http://docquery.fec.gov/cgi-bin/fecimg/?202006209241881326"/>
    <s v="Contributions From Individuals/Persons Other Than Political Committees"/>
  </r>
  <r>
    <s v="C00401224"/>
    <x v="3"/>
    <n v="2020"/>
    <s v="M6"/>
    <n v="2.0200620924188099E+17"/>
    <s v="11AI"/>
    <s v="SA11AI_235432050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69"/>
    <n v="10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22.331875648146"/>
    <m/>
    <m/>
    <m/>
    <s v="F3X"/>
    <n v="4.0621202017761597E+18"/>
    <s v="t"/>
    <s v="EARMARKED FOR WARREN DEMOCRATS, INC. (C00500843)"/>
    <n v="2020"/>
    <s v="SA"/>
    <m/>
    <n v="4.0709202017890299E+18"/>
    <s v="http://docquery.fec.gov/cgi-bin/fecimg/?202006209241881322"/>
    <s v="Contributions From Individuals/Persons Other Than Political Committees"/>
  </r>
  <r>
    <s v="C00401224"/>
    <x v="3"/>
    <n v="2020"/>
    <s v="M6"/>
    <n v="2.0200620924188099E+17"/>
    <s v="11AI"/>
    <s v="SA11AI_235575368"/>
    <n v="1413483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3970"/>
    <n v="100"/>
    <n v="400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32442523148"/>
    <m/>
    <m/>
    <m/>
    <s v="F3X"/>
    <n v="4.0621202017761597E+18"/>
    <s v="t"/>
    <s v="EARMARKED FOR BIDEN FOR PRESIDENT (C00703975)"/>
    <n v="2020"/>
    <s v="SA"/>
    <m/>
    <n v="4.0709202017890299E+18"/>
    <s v="http://docquery.fec.gov/cgi-bin/fecimg/?202006209241881324"/>
    <s v="Contributions From Individuals/Persons Other Than Political Committees"/>
  </r>
  <r>
    <s v="C00401224"/>
    <x v="3"/>
    <n v="2020"/>
    <s v="M6"/>
    <n v="2.0200620924188099E+17"/>
    <s v="11AI"/>
    <s v="SA11AI_232136024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56"/>
    <n v="2.5"/>
    <n v="21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40070636572"/>
    <m/>
    <m/>
    <m/>
    <s v="F3X"/>
    <n v="4.0621202017761597E+18"/>
    <s v="t"/>
    <s v="CONTRIBUTION TO ACTBLUE"/>
    <n v="2020"/>
    <s v="SA"/>
    <m/>
    <n v="4.0709202017890299E+18"/>
    <s v="http://docquery.fec.gov/cgi-bin/fecimg/?202006209241881311"/>
    <s v="Contributions From Individuals/Persons Other Than Political Committees"/>
  </r>
  <r>
    <s v="C00401224"/>
    <x v="3"/>
    <n v="2020"/>
    <s v="M6"/>
    <n v="2.0200620924188099E+17"/>
    <s v="11AI"/>
    <s v="SA11AI_235432067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69"/>
    <n v="10"/>
    <n v="21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40070636572"/>
    <m/>
    <m/>
    <m/>
    <s v="F3X"/>
    <n v="4.0621202017761597E+18"/>
    <s v="t"/>
    <s v="CONTRIBUTION TO ACTBLUE"/>
    <n v="2020"/>
    <s v="SA"/>
    <m/>
    <n v="4.0709202017890299E+18"/>
    <s v="http://docquery.fec.gov/cgi-bin/fecimg/?202006209241881322"/>
    <s v="Contributions From Individuals/Persons Other Than Political Committees"/>
  </r>
  <r>
    <s v="C00401224"/>
    <x v="3"/>
    <n v="2020"/>
    <s v="M6"/>
    <n v="2.0200620924188099E+17"/>
    <s v="11AI"/>
    <s v="SA11AI_234837769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67"/>
    <n v="10"/>
    <n v="21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40070636572"/>
    <m/>
    <m/>
    <m/>
    <s v="F3X"/>
    <n v="4.0621202017761597E+18"/>
    <s v="t"/>
    <s v="CONTRIBUTION TO ACTBLUE"/>
    <n v="2020"/>
    <s v="SA"/>
    <m/>
    <n v="4.0709202017890299E+18"/>
    <s v="http://docquery.fec.gov/cgi-bin/fecimg/?202006209241881320"/>
    <s v="Contributions From Individuals/Persons Other Than Political Committees"/>
  </r>
  <r>
    <s v="C00401224"/>
    <x v="3"/>
    <n v="2020"/>
    <s v="M6"/>
    <n v="2.0200620924188099E+17"/>
    <s v="11AI"/>
    <s v="SA11AI_235575373"/>
    <n v="141348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70"/>
    <n v="10"/>
    <n v="21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22.340070636572"/>
    <m/>
    <m/>
    <m/>
    <s v="F3X"/>
    <n v="4.0621202017761597E+18"/>
    <s v="t"/>
    <s v="CONTRIBUTION TO ACTBLUE"/>
    <n v="2020"/>
    <s v="SA"/>
    <m/>
    <n v="4.0709202017890299E+18"/>
    <s v="http://docquery.fec.gov/cgi-bin/fecimg/?202006209241881324"/>
    <s v="Contributions From Individuals/Persons Other Than Political Committees"/>
  </r>
  <r>
    <s v="C00632398"/>
    <x v="8"/>
    <n v="2020"/>
    <s v="M8"/>
    <n v="2.0200819926140701E+17"/>
    <s v="11AI"/>
    <n v="12632999"/>
    <n v="1433430"/>
    <m/>
    <s v="IND"/>
    <s v="INDIVIDUAL"/>
    <m/>
    <m/>
    <s v="TAYLOR, DIANA"/>
    <s v="Q"/>
    <m/>
    <s v="U"/>
    <s v="DIANA"/>
    <m/>
    <s v="TAYLOR"/>
    <m/>
    <s v="75 CAMBRIDGE PKWY"/>
    <m/>
    <s v="CAMBRIDGE"/>
    <s v="MA"/>
    <n v="21421229"/>
    <s v="NONE"/>
    <s v="NOT EMPLOYED"/>
    <m/>
    <m/>
    <m/>
    <m/>
    <m/>
    <m/>
    <n v="44024"/>
    <n v="104.99"/>
    <n v="104.99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77.152543344906"/>
    <m/>
    <s v="12632999E"/>
    <s v="SA11AI"/>
    <s v="F3X"/>
    <n v="4.0820202018293499E+18"/>
    <s v="t"/>
    <s v="* EARMARKED CONTRIBUTION: SEE BELOW"/>
    <n v="2020"/>
    <s v="SA"/>
    <m/>
    <n v="4.0903202018344699E+18"/>
    <s v="http://docquery.fec.gov/cgi-bin/fecimg/?202008199261407750"/>
    <s v="Contributions From Individuals/Persons Other Than Political Committees"/>
  </r>
  <r>
    <s v="C00632398"/>
    <x v="8"/>
    <n v="2020"/>
    <s v="M8"/>
    <n v="2.0200819926140701E+17"/>
    <s v="11AI"/>
    <n v="12855241"/>
    <n v="1433430"/>
    <m/>
    <s v="IND"/>
    <s v="INDIVIDUAL"/>
    <s v="C00401224"/>
    <m/>
    <s v="TAYLOR, DIANA"/>
    <s v="Q"/>
    <m/>
    <s v="U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4035"/>
    <n v="105"/>
    <n v="209.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77.152543344906"/>
    <m/>
    <s v="12855241E"/>
    <s v="SA11AI"/>
    <s v="F3X"/>
    <n v="4.0820202018293499E+18"/>
    <s v="t"/>
    <s v="* EARMARKED CONTRIBUTION: SEE BELOW"/>
    <n v="2020"/>
    <s v="SA"/>
    <m/>
    <n v="4.0903202018344699E+18"/>
    <s v="http://docquery.fec.gov/cgi-bin/fecimg/?202008199261407751"/>
    <s v="Contributions From Individuals/Persons Other Than Political Committees"/>
  </r>
  <r>
    <s v="C00632398"/>
    <x v="8"/>
    <n v="2020"/>
    <s v="M8"/>
    <n v="2.0200819926140701E+17"/>
    <s v="11AI"/>
    <n v="12961252"/>
    <n v="1433430"/>
    <m/>
    <s v="IND"/>
    <s v="INDIVIDUAL"/>
    <s v="C00401224"/>
    <m/>
    <s v="TAYLOR, DIANA"/>
    <s v="Q"/>
    <m/>
    <s v="U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4039"/>
    <n v="100"/>
    <n v="309.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77.152543344906"/>
    <m/>
    <s v="12961252E"/>
    <s v="SA11AI"/>
    <s v="F3X"/>
    <n v="4.0820202018293499E+18"/>
    <s v="t"/>
    <s v="* EARMARKED CONTRIBUTION: SEE BELOW"/>
    <n v="2020"/>
    <s v="SA"/>
    <m/>
    <n v="4.0903202018344699E+18"/>
    <s v="http://docquery.fec.gov/cgi-bin/fecimg/?202008199261407752"/>
    <s v="Contributions From Individuals/Persons Other Than Political Committees"/>
  </r>
  <r>
    <s v="C00688739"/>
    <x v="9"/>
    <n v="2019"/>
    <s v="YE"/>
    <n v="2.0200318920388998E+17"/>
    <s v="11AI"/>
    <s v="VVC59QDCEN4"/>
    <n v="1390490"/>
    <m/>
    <s v="IND"/>
    <s v="INDIVIDUAL"/>
    <s v="C00401224"/>
    <m/>
    <s v="TAYLOR, DIANA"/>
    <s v="V"/>
    <m/>
    <s v="U"/>
    <s v="DIANA"/>
    <m/>
    <s v="TAYLOR"/>
    <m/>
    <s v="75 CAMBRIDGE PKWY"/>
    <m/>
    <s v="CAMBRIDGE"/>
    <s v="MA"/>
    <n v="21421229"/>
    <s v="N/A"/>
    <s v="NOT EMPLOYED"/>
    <s v="C00401224"/>
    <s v="15E"/>
    <s v="EARMARKED CONTRIBUTION"/>
    <m/>
    <m/>
    <m/>
    <n v="43736"/>
    <n v="50"/>
    <n v="2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79.155190625002"/>
    <m/>
    <s v="VVC59QDCEN4E"/>
    <s v="SA11AI"/>
    <s v="F3X"/>
    <n v="4.0318202017037302E+18"/>
    <s v="t"/>
    <s v="* EARMARKED CONTRIBUTION: SEE BELOW"/>
    <n v="2020"/>
    <s v="SA"/>
    <m/>
    <n v="4.0322202017041398E+18"/>
    <s v="http://docquery.fec.gov/cgi-bin/fecimg/?202003189203890339"/>
    <s v="Contributions From Individuals/Persons Other Than Political Committees"/>
  </r>
  <r>
    <s v="C00688739"/>
    <x v="9"/>
    <n v="2019"/>
    <s v="YE"/>
    <n v="2.0200318920388998E+17"/>
    <s v="11AI"/>
    <s v="VVC59QJKZZ5"/>
    <n v="1390490"/>
    <m/>
    <s v="IND"/>
    <s v="INDIVIDUAL"/>
    <s v="C00401224"/>
    <m/>
    <s v="TAYLOR, DIANA"/>
    <s v="V"/>
    <m/>
    <s v="U"/>
    <s v="DIANA"/>
    <m/>
    <s v="TAYLOR"/>
    <m/>
    <s v="75 CAMBRIDGE PKWY"/>
    <m/>
    <s v="CAMBRIDGE"/>
    <s v="MA"/>
    <n v="21421229"/>
    <s v="N/A"/>
    <s v="NOT EMPLOYED"/>
    <s v="C00401224"/>
    <s v="15E"/>
    <s v="EARMARKED CONTRIBUTION"/>
    <m/>
    <m/>
    <m/>
    <n v="43765"/>
    <n v="50"/>
    <n v="3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79.155190636571"/>
    <m/>
    <s v="VVC59QJKZZ5E"/>
    <s v="SA11AI"/>
    <s v="F3X"/>
    <n v="4.0318202017037302E+18"/>
    <s v="t"/>
    <s v="* EARMARKED CONTRIBUTION: SEE BELOW"/>
    <n v="2020"/>
    <s v="SA"/>
    <m/>
    <n v="4.0322202017041398E+18"/>
    <s v="http://docquery.fec.gov/cgi-bin/fecimg/?202003189203890339"/>
    <s v="Contributions From Individuals/Persons Other Than Political Committees"/>
  </r>
  <r>
    <s v="C00688739"/>
    <x v="9"/>
    <n v="2019"/>
    <s v="YE"/>
    <n v="2.0200318920388998E+17"/>
    <s v="11AI"/>
    <s v="VVC59QCMJ14"/>
    <n v="1390490"/>
    <m/>
    <s v="IND"/>
    <s v="INDIVIDUAL"/>
    <s v="C00401224"/>
    <m/>
    <s v="TAYLOR, DIANA"/>
    <s v="V"/>
    <m/>
    <s v="U"/>
    <s v="DIANA"/>
    <m/>
    <s v="TAYLOR"/>
    <m/>
    <s v="75 CAMBRIDGE PKWY"/>
    <m/>
    <s v="CAMBRIDGE"/>
    <s v="MA"/>
    <n v="21421229"/>
    <s v="N/A"/>
    <s v="NOT EMPLOYED"/>
    <s v="C00401224"/>
    <s v="15E"/>
    <s v="EARMARKED CONTRIBUTION"/>
    <m/>
    <m/>
    <m/>
    <n v="43807"/>
    <n v="100"/>
    <n v="4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79.155190636571"/>
    <m/>
    <s v="VVC59QCMJ14E"/>
    <s v="SA11AI"/>
    <s v="F3X"/>
    <n v="4.0318202017037302E+18"/>
    <s v="t"/>
    <s v="* EARMARKED CONTRIBUTION: SEE BELOW"/>
    <n v="2020"/>
    <s v="SA"/>
    <m/>
    <n v="4.0322202017041398E+18"/>
    <s v="http://docquery.fec.gov/cgi-bin/fecimg/?202003189203890340"/>
    <s v="Contributions From Individuals/Persons Other Than Political Committees"/>
  </r>
  <r>
    <s v="C00639591"/>
    <x v="6"/>
    <n v="2019"/>
    <s v="YE"/>
    <n v="2.0200409921662899E+17"/>
    <s v="11AI"/>
    <s v="VTQX5JWQ7E6"/>
    <n v="1394564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762"/>
    <n v="50"/>
    <n v="489"/>
    <m/>
    <m/>
    <m/>
    <m/>
    <m/>
    <m/>
    <m/>
    <m/>
    <m/>
    <m/>
    <m/>
    <m/>
    <m/>
    <m/>
    <m/>
    <m/>
    <m/>
    <m/>
    <m/>
    <m/>
    <m/>
    <s v="P2020"/>
    <s v="PRIMARY"/>
    <s v="PRIMARY"/>
    <n v="2020"/>
    <s v="A"/>
    <s v="ADD"/>
    <s v="ITEMIZED RECEIPTS"/>
    <n v="44079.171666122682"/>
    <m/>
    <s v="VTQX5JWQ7E6E"/>
    <s v="SA11AI"/>
    <s v="F3"/>
    <n v="4.0410202017350001E+18"/>
    <s v="t"/>
    <s v="* EARMARKED CONTRIBUTION: SEE BELOW"/>
    <n v="2020"/>
    <s v="SA"/>
    <m/>
    <n v="4.04102020173504E+18"/>
    <s v="http://docquery.fec.gov/cgi-bin/fecimg/?202004099216629350"/>
    <s v="Contributions From Individuals/Persons Other Than Political Committees"/>
  </r>
  <r>
    <s v="C00703975"/>
    <x v="7"/>
    <n v="2020"/>
    <s v="M7"/>
    <n v="2.02007209260644E+17"/>
    <s v="17A"/>
    <n v="6253562"/>
    <n v="1427451"/>
    <m/>
    <s v="IND"/>
    <s v="INDIVIDUAL"/>
    <s v="C00401224"/>
    <m/>
    <s v="TAYLOR, DIANA"/>
    <s v="P"/>
    <m/>
    <s v="P"/>
    <s v="DIANA"/>
    <m/>
    <s v="TAYLOR"/>
    <m/>
    <s v="75 CAMBRIDGE PKWY"/>
    <m/>
    <s v="CAMBRIDGE"/>
    <s v="MA"/>
    <n v="21421229"/>
    <s v="NOT EMPLOYED"/>
    <s v="NOT EMPLOYED"/>
    <s v="C00401224"/>
    <s v="15E"/>
    <s v="EARMARKED CONTRIBUTION"/>
    <m/>
    <m/>
    <m/>
    <n v="43998"/>
    <n v="100"/>
    <n v="5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34.129779421295"/>
    <m/>
    <s v="6253562E"/>
    <s v="SA17A"/>
    <s v="F3P"/>
    <n v="4.0721202017922601E+18"/>
    <s v="t"/>
    <s v="* EARMARKED CONTRIBUTION: SEE BELOW"/>
    <n v="2020"/>
    <s v="SA"/>
    <m/>
    <n v="4.07212020179347E+18"/>
    <s v="http://docquery.fec.gov/cgi-bin/fecimg/?202007209260644024"/>
    <s v="Contributions From Individuals/Persons Other Than Political Committees"/>
  </r>
  <r>
    <s v="C00401224"/>
    <x v="3"/>
    <n v="2020"/>
    <s v="M10"/>
    <n v="2.0201214938057501E+17"/>
    <s v="11AI"/>
    <s v="SA11AI_288685594"/>
    <n v="1482832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6"/>
    <n v="50"/>
    <n v="1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18.677976273146"/>
    <m/>
    <m/>
    <m/>
    <s v="F3X"/>
    <n v="4.1216202019742802E+18"/>
    <s v="t"/>
    <s v="EARMARKED FOR PROGRESSIVE TAKEOVER (C00659599)"/>
    <n v="2020"/>
    <s v="SA"/>
    <m/>
    <n v="4.0121202120969098E+18"/>
    <s v="https://docquery.fec.gov/cgi-bin/fecimg/?202012149380575281"/>
    <s v="Contributions From Individuals/Persons Other Than Political Committees"/>
  </r>
  <r>
    <s v="C00401224"/>
    <x v="3"/>
    <n v="2020"/>
    <s v="M10"/>
    <n v="2.0201214938057501E+17"/>
    <s v="11AI"/>
    <s v="SA11AI_288772405"/>
    <n v="1482832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6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18.683152789352"/>
    <m/>
    <m/>
    <m/>
    <s v="F3X"/>
    <n v="4.1216202019742802E+18"/>
    <s v="t"/>
    <s v="EARMARKED FOR BRADY PAC (C00674093)"/>
    <n v="2020"/>
    <s v="SA"/>
    <m/>
    <n v="4.0121202120969999E+18"/>
    <s v="https://docquery.fec.gov/cgi-bin/fecimg/?202012149380575280"/>
    <s v="Contributions From Individuals/Persons Other Than Political Committees"/>
  </r>
  <r>
    <s v="C00341396"/>
    <x v="5"/>
    <n v="2020"/>
    <s v="Q2"/>
    <n v="2.0210407944308E+17"/>
    <s v="11AI"/>
    <n v="2791934"/>
    <n v="1508322"/>
    <m/>
    <s v="IND"/>
    <s v="INDIVIDUAL"/>
    <m/>
    <m/>
    <s v="TAYLOR, DIANA"/>
    <s v="W"/>
    <m/>
    <s v="U"/>
    <s v="DIANA"/>
    <m/>
    <s v="TAYLOR"/>
    <m/>
    <s v="75 CAMBRIDGE PKWY"/>
    <s v="UNIT E708"/>
    <s v="CAMBRIDGE"/>
    <s v="MA"/>
    <n v="21421239"/>
    <s v="N/A"/>
    <s v="NOT EMPLOYED"/>
    <m/>
    <n v="15"/>
    <s v="CONTRIBUTION"/>
    <m/>
    <m/>
    <m/>
    <n v="43967"/>
    <n v="50"/>
    <n v="25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95.166808391201"/>
    <m/>
    <m/>
    <m/>
    <s v="F3X"/>
    <n v="4.0407202112765302E+18"/>
    <s v="t"/>
    <m/>
    <n v="2020"/>
    <s v="SA"/>
    <m/>
    <n v="4.0409202112765998E+18"/>
    <s v="https://docquery.fec.gov/cgi-bin/fecimg/?202104079443080481"/>
    <s v="Contributions From Individuals/Persons Other Than Political Committees"/>
  </r>
  <r>
    <s v="C00341396"/>
    <x v="5"/>
    <n v="2020"/>
    <s v="Q2"/>
    <n v="2.0210407944308E+17"/>
    <s v="11AI"/>
    <n v="2791931"/>
    <n v="1508322"/>
    <m/>
    <s v="IND"/>
    <s v="INDIVIDUAL"/>
    <m/>
    <m/>
    <s v="TAYLOR, DIANA"/>
    <s v="W"/>
    <m/>
    <s v="U"/>
    <s v="DIANA"/>
    <m/>
    <s v="TAYLOR"/>
    <m/>
    <s v="75 CAMBRIDGE PKWY"/>
    <s v="UNIT E708"/>
    <s v="CAMBRIDGE"/>
    <s v="MA"/>
    <n v="21421239"/>
    <s v="N/A"/>
    <s v="NOT EMPLOYED"/>
    <m/>
    <n v="15"/>
    <s v="CONTRIBUTION"/>
    <m/>
    <m/>
    <m/>
    <n v="43998"/>
    <n v="50"/>
    <n v="3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95.166808391201"/>
    <m/>
    <m/>
    <m/>
    <s v="F3X"/>
    <n v="4.0407202112765302E+18"/>
    <s v="t"/>
    <m/>
    <n v="2020"/>
    <s v="SA"/>
    <m/>
    <n v="4.0409202112765998E+18"/>
    <s v="https://docquery.fec.gov/cgi-bin/fecimg/?202104079443080481"/>
    <s v="Contributions From Individuals/Persons Other Than Political Committees"/>
  </r>
  <r>
    <s v="C00341396"/>
    <x v="5"/>
    <n v="2020"/>
    <s v="Q3"/>
    <n v="2.0210407944309501E+17"/>
    <s v="11AI"/>
    <n v="3051498"/>
    <n v="1508365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018"/>
    <n v="50"/>
    <n v="3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018119213"/>
    <m/>
    <m/>
    <m/>
    <s v="F3X"/>
    <n v="4.0407202112765302E+18"/>
    <s v="t"/>
    <m/>
    <n v="2020"/>
    <s v="SA"/>
    <m/>
    <n v="4.0410202112767401E+18"/>
    <s v="https://docquery.fec.gov/cgi-bin/fecimg/?202104079443095258"/>
    <s v="Contributions From Individuals/Persons Other Than Political Committees"/>
  </r>
  <r>
    <s v="C00341396"/>
    <x v="5"/>
    <n v="2020"/>
    <s v="Q3"/>
    <n v="2.0210407944309501E+17"/>
    <s v="11AI"/>
    <n v="3236789"/>
    <n v="1508365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090"/>
    <n v="5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018119213"/>
    <m/>
    <m/>
    <m/>
    <s v="F3X"/>
    <n v="4.0407202112765302E+18"/>
    <s v="t"/>
    <m/>
    <n v="2020"/>
    <s v="SA"/>
    <m/>
    <n v="4.0410202112767401E+18"/>
    <s v="https://docquery.fec.gov/cgi-bin/fecimg/?202104079443095260"/>
    <s v="Contributions From Individuals/Persons Other Than Political Committees"/>
  </r>
  <r>
    <s v="C00341396"/>
    <x v="5"/>
    <n v="2020"/>
    <s v="Q3"/>
    <n v="2.0210407944309501E+17"/>
    <s v="11AI"/>
    <n v="2961036"/>
    <n v="1508365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028"/>
    <n v="5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018119213"/>
    <m/>
    <m/>
    <m/>
    <s v="F3X"/>
    <n v="4.0407202112765302E+18"/>
    <s v="t"/>
    <m/>
    <n v="2020"/>
    <s v="SA"/>
    <m/>
    <n v="4.0410202112767401E+18"/>
    <s v="https://docquery.fec.gov/cgi-bin/fecimg/?202104079443095258"/>
    <s v="Contributions From Individuals/Persons Other Than Political Committees"/>
  </r>
  <r>
    <s v="C00341396"/>
    <x v="5"/>
    <n v="2020"/>
    <s v="Q3"/>
    <n v="2.0210407944309501E+17"/>
    <s v="11AI"/>
    <n v="3098460"/>
    <n v="1508365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059"/>
    <n v="50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018119213"/>
    <m/>
    <m/>
    <m/>
    <s v="F3X"/>
    <n v="4.0407202112765302E+18"/>
    <s v="t"/>
    <m/>
    <n v="2020"/>
    <s v="SA"/>
    <m/>
    <n v="4.0410202112767401E+18"/>
    <s v="https://docquery.fec.gov/cgi-bin/fecimg/?202104079443095259"/>
    <s v="Contributions From Individuals/Persons Other Than Political Committees"/>
  </r>
  <r>
    <s v="C00343871"/>
    <x v="10"/>
    <n v="2020"/>
    <s v="Q2"/>
    <n v="2.0200715925004301E+17"/>
    <s v="11AI"/>
    <n v="4948668"/>
    <n v="1424774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-EMPLOYED"/>
    <s v="NOT-EMPLOYED"/>
    <s v="C00401224"/>
    <s v="15E"/>
    <s v="EARMARKED CONTRIBUTION"/>
    <m/>
    <m/>
    <m/>
    <n v="43998"/>
    <n v="20"/>
    <n v="25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050.155368657404"/>
    <m/>
    <s v="4948668E"/>
    <s v="SA11AI"/>
    <s v="F3"/>
    <n v="4.07162020179085E+18"/>
    <s v="t"/>
    <s v="* EARMARKED CONTRIBUTION: SEE BELOW"/>
    <n v="2020"/>
    <s v="SA"/>
    <m/>
    <n v="4.0807202018133699E+18"/>
    <s v="http://docquery.fec.gov/cgi-bin/fecimg/?202007159250043007"/>
    <s v="Contributions From Individuals/Persons Other Than Political Committees"/>
  </r>
  <r>
    <s v="C00341396"/>
    <x v="5"/>
    <n v="2020"/>
    <s v="30G"/>
    <n v="2.0210407944311802E+17"/>
    <s v="11AI"/>
    <n v="3685533"/>
    <n v="1508394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120"/>
    <n v="5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2197060187"/>
    <m/>
    <m/>
    <m/>
    <s v="F3X"/>
    <n v="4.0407202112765302E+18"/>
    <s v="t"/>
    <m/>
    <n v="2020"/>
    <s v="SA"/>
    <m/>
    <n v="4.0410202112768302E+18"/>
    <s v="https://docquery.fec.gov/cgi-bin/fecimg/?202104079443118828"/>
    <s v="Contributions From Individuals/Persons Other Than Political Committees"/>
  </r>
  <r>
    <s v="C00341396"/>
    <x v="5"/>
    <n v="2020"/>
    <s v="30G"/>
    <n v="2.0210407944311802E+17"/>
    <s v="11AI"/>
    <n v="3685532"/>
    <n v="1508394"/>
    <m/>
    <s v="IND"/>
    <s v="INDIVIDUAL"/>
    <m/>
    <m/>
    <s v="TAYLOR, DIANA"/>
    <s v="W"/>
    <m/>
    <s v="U"/>
    <s v="DIANA"/>
    <m/>
    <s v="TAYLOR"/>
    <m/>
    <s v="75 CAMBRIDGE PKWY"/>
    <m/>
    <s v="CAMBRIDGE"/>
    <s v="MA"/>
    <n v="21421239"/>
    <s v="N/A"/>
    <s v="NOT EMPLOYED"/>
    <m/>
    <n v="15"/>
    <s v="CONTRIBUTION"/>
    <m/>
    <m/>
    <m/>
    <n v="44151"/>
    <n v="5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96.172197071763"/>
    <m/>
    <m/>
    <m/>
    <s v="F3X"/>
    <n v="4.0407202112765302E+18"/>
    <s v="t"/>
    <m/>
    <n v="2020"/>
    <s v="SA"/>
    <m/>
    <n v="4.0410202112768302E+18"/>
    <s v="https://docquery.fec.gov/cgi-bin/fecimg/?202104079443118829"/>
    <s v="Contributions From Individuals/Persons Other Than Political Committees"/>
  </r>
  <r>
    <s v="C00343871"/>
    <x v="10"/>
    <n v="2020"/>
    <s v="Q2"/>
    <n v="2.0200715925004301E+17"/>
    <s v="11AI"/>
    <n v="5024111"/>
    <n v="1424774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OT-EMPLOYED"/>
    <s v="NOT-EMPLOYED"/>
    <s v="C00401224"/>
    <s v="15E"/>
    <s v="EARMARKED CONTRIBUTION"/>
    <m/>
    <m/>
    <m/>
    <n v="44003"/>
    <n v="50"/>
    <n v="25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050.155368657404"/>
    <m/>
    <s v="5024111E"/>
    <s v="SA11AI"/>
    <s v="F3"/>
    <n v="4.07162020179085E+18"/>
    <s v="t"/>
    <s v="* EARMARKED CONTRIBUTION: SEE BELOW"/>
    <n v="2020"/>
    <s v="SA"/>
    <m/>
    <n v="4.0807202018133699E+18"/>
    <s v="http://docquery.fec.gov/cgi-bin/fecimg/?202007159250043008"/>
    <s v="Contributions From Individuals/Persons Other Than Political Committees"/>
  </r>
  <r>
    <s v="C00401224"/>
    <x v="3"/>
    <n v="2020"/>
    <s v="M7"/>
    <n v="2.0200720925749901E+17"/>
    <s v="11AI"/>
    <s v="SA11AI_256132538"/>
    <n v="1427110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97"/>
    <n v="10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283869236111"/>
    <m/>
    <m/>
    <m/>
    <s v="F3X"/>
    <n v="4.0721202017922499E+18"/>
    <s v="t"/>
    <s v="EARMARKED FOR DCCC (C00000935)"/>
    <n v="2020"/>
    <s v="SA"/>
    <m/>
    <n v="4.08102020182509E+18"/>
    <s v="http://docquery.fec.gov/cgi-bin/fecimg/?202007209257499962"/>
    <s v="Contributions From Individuals/Persons Other Than Political Committees"/>
  </r>
  <r>
    <s v="C00401224"/>
    <x v="3"/>
    <n v="2020"/>
    <s v="M7"/>
    <n v="2.0200720925749901E+17"/>
    <s v="11AI"/>
    <s v="SA11AI_256512413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98"/>
    <n v="10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283869236111"/>
    <m/>
    <m/>
    <m/>
    <s v="F3X"/>
    <n v="4.0721202017922499E+18"/>
    <s v="t"/>
    <s v="CONTRIBUTION TO ACTBLUE"/>
    <n v="2020"/>
    <s v="SA"/>
    <m/>
    <n v="4.08102020182509E+18"/>
    <s v="http://docquery.fec.gov/cgi-bin/fecimg/?202007209257499963"/>
    <s v="Contributions From Individuals/Persons Other Than Political Committees"/>
  </r>
  <r>
    <s v="C00401224"/>
    <x v="3"/>
    <n v="2020"/>
    <s v="M7"/>
    <n v="2.0200720925749901E+17"/>
    <s v="11AI"/>
    <s v="SA11AI_256512414"/>
    <n v="1427110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3998"/>
    <n v="100"/>
    <n v="500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283869236111"/>
    <m/>
    <m/>
    <m/>
    <s v="F3X"/>
    <n v="4.0721202017922499E+18"/>
    <s v="t"/>
    <s v="EARMARKED FOR BIDEN FOR PRESIDENT (C00703975)"/>
    <n v="2020"/>
    <s v="SA"/>
    <m/>
    <n v="4.08102020182509E+18"/>
    <s v="http://docquery.fec.gov/cgi-bin/fecimg/?202007209257499964"/>
    <s v="Contributions From Individuals/Persons Other Than Political Committees"/>
  </r>
  <r>
    <s v="C00401224"/>
    <x v="3"/>
    <n v="2020"/>
    <s v="M7"/>
    <n v="2.0200720925749901E+17"/>
    <s v="11AI"/>
    <s v="SA11AI_258389912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03"/>
    <n v="10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283869236111"/>
    <m/>
    <m/>
    <m/>
    <s v="F3X"/>
    <n v="4.0721202017922499E+18"/>
    <s v="t"/>
    <s v="CONTRIBUTION TO ACTBLUE"/>
    <n v="2020"/>
    <s v="SA"/>
    <m/>
    <n v="4.08102020182509E+18"/>
    <s v="http://docquery.fec.gov/cgi-bin/fecimg/?202007209257499969"/>
    <s v="Contributions From Individuals/Persons Other Than Political Committees"/>
  </r>
  <r>
    <s v="C00401224"/>
    <x v="3"/>
    <n v="2020"/>
    <s v="M7"/>
    <n v="2.0200720925749901E+17"/>
    <s v="11AI"/>
    <s v="SA11AI_256676493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8"/>
    <n v="20"/>
    <n v="2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00185300926"/>
    <m/>
    <m/>
    <m/>
    <s v="F3X"/>
    <n v="4.0721202017922499E+18"/>
    <s v="t"/>
    <s v="EARMARKED FOR HICKENLOOPER FOR COLORADO (C00716720)"/>
    <n v="2020"/>
    <s v="SA"/>
    <m/>
    <n v="4.08102020182509E+18"/>
    <s v="http://docquery.fec.gov/cgi-bin/fecimg/?202007209257499964"/>
    <s v="Contributions From Individuals/Persons Other Than Political Committees"/>
  </r>
  <r>
    <s v="C00401224"/>
    <x v="3"/>
    <n v="2020"/>
    <s v="M7"/>
    <n v="2.0200720925749901E+17"/>
    <s v="11AI"/>
    <s v="SA11AI_258328316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03"/>
    <n v="2.5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00185300926"/>
    <m/>
    <m/>
    <m/>
    <s v="F3X"/>
    <n v="4.0721202017922499E+18"/>
    <s v="t"/>
    <s v="CONTRIBUTION TO ACTBLUE"/>
    <n v="2020"/>
    <s v="SA"/>
    <m/>
    <n v="4.08102020182509E+18"/>
    <s v="http://docquery.fec.gov/cgi-bin/fecimg/?202007209257499970"/>
    <s v="Contributions From Individuals/Persons Other Than Political Committees"/>
  </r>
  <r>
    <s v="C00401224"/>
    <x v="3"/>
    <n v="2020"/>
    <s v="M7"/>
    <n v="2.0200720925749901E+17"/>
    <s v="11AI"/>
    <s v="SA11AI_249935856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87"/>
    <n v="2.5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15991875003"/>
    <m/>
    <m/>
    <m/>
    <s v="F3X"/>
    <n v="4.0721202017922499E+18"/>
    <s v="t"/>
    <s v="CONTRIBUTION TO ACTBLUE"/>
    <n v="2020"/>
    <s v="SA"/>
    <m/>
    <n v="4.08102020182509E+18"/>
    <s v="http://docquery.fec.gov/cgi-bin/fecimg/?202007209257499948"/>
    <s v="Contributions From Individuals/Persons Other Than Political Committees"/>
  </r>
  <r>
    <s v="C00401224"/>
    <x v="3"/>
    <n v="2020"/>
    <s v="M7"/>
    <n v="2.0200720925749901E+17"/>
    <s v="11AI"/>
    <s v="SA11AI_255855487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96"/>
    <n v="2.5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15991875003"/>
    <m/>
    <m/>
    <m/>
    <s v="F3X"/>
    <n v="4.0721202017922499E+18"/>
    <s v="t"/>
    <s v="CONTRIBUTION TO ACTBLUE"/>
    <n v="2020"/>
    <s v="SA"/>
    <m/>
    <n v="4.08102020182509E+18"/>
    <s v="http://docquery.fec.gov/cgi-bin/fecimg/?202007209257499961"/>
    <s v="Contributions From Individuals/Persons Other Than Political Committees"/>
  </r>
  <r>
    <s v="C00401224"/>
    <x v="3"/>
    <n v="2020"/>
    <s v="M7"/>
    <n v="2.0200720925749901E+17"/>
    <s v="11AI"/>
    <s v="SA11AI_256676490"/>
    <n v="1427110"/>
    <m/>
    <s v="IND"/>
    <s v="INDIVIDUAL"/>
    <s v="C0034387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343871"/>
    <s v="24T"/>
    <s v="EARMARKED INTERMEDIARY TREASURY OUT"/>
    <s v="EARMARK"/>
    <m/>
    <m/>
    <n v="43998"/>
    <n v="20"/>
    <n v="254.5"/>
    <s v="H0CA2708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15991875003"/>
    <m/>
    <m/>
    <m/>
    <s v="F3X"/>
    <n v="4.0721202017922499E+18"/>
    <s v="t"/>
    <s v="EARMARKED FOR SCHIFF FOR CONGRESS (C00343871)"/>
    <n v="2020"/>
    <s v="SA"/>
    <m/>
    <n v="4.08102020182509E+18"/>
    <s v="http://docquery.fec.gov/cgi-bin/fecimg/?202007209257499963"/>
    <s v="Contributions From Individuals/Persons Other Than Political Committees"/>
  </r>
  <r>
    <s v="C00401224"/>
    <x v="3"/>
    <n v="2020"/>
    <s v="M7"/>
    <n v="2.0200720925749901E+17"/>
    <s v="11AI"/>
    <s v="SA11AI_256676492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8"/>
    <n v="20"/>
    <n v="2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15991875003"/>
    <m/>
    <m/>
    <m/>
    <s v="F3X"/>
    <n v="4.0721202017922499E+18"/>
    <s v="t"/>
    <s v="EARMARKED FOR MARK KELLY FOR SENATE (C00696526)"/>
    <n v="2020"/>
    <s v="SA"/>
    <m/>
    <n v="4.08102020182509E+18"/>
    <s v="http://docquery.fec.gov/cgi-bin/fecimg/?202007209257499964"/>
    <s v="Contributions From Individuals/Persons Other Than Political Committees"/>
  </r>
  <r>
    <s v="C00401224"/>
    <x v="3"/>
    <n v="2020"/>
    <s v="M7"/>
    <n v="2.0200720925749901E+17"/>
    <s v="11AI"/>
    <s v="SA11AI_258389903"/>
    <n v="1427110"/>
    <m/>
    <s v="IND"/>
    <s v="INDIVIDUAL"/>
    <s v="C00343871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343871"/>
    <s v="24T"/>
    <s v="EARMARKED INTERMEDIARY TREASURY OUT"/>
    <s v="EARMARK"/>
    <m/>
    <m/>
    <n v="44003"/>
    <n v="50"/>
    <n v="254.5"/>
    <s v="H0CA2708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15991886571"/>
    <m/>
    <m/>
    <m/>
    <s v="F3X"/>
    <n v="4.0721202017922499E+18"/>
    <s v="t"/>
    <s v="EARMARKED FOR SCHIFF FOR CONGRESS (C00343871)"/>
    <n v="2020"/>
    <s v="SA"/>
    <m/>
    <n v="4.08102020182509E+18"/>
    <s v="http://docquery.fec.gov/cgi-bin/fecimg/?202007209257499969"/>
    <s v="Contributions From Individuals/Persons Other Than Political Committees"/>
  </r>
  <r>
    <s v="C00401224"/>
    <x v="3"/>
    <n v="2020"/>
    <s v="M7"/>
    <n v="2.0200720925749901E+17"/>
    <s v="11AI"/>
    <s v="SA11AI_255855482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6"/>
    <n v="25"/>
    <n v="5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0921631947"/>
    <m/>
    <m/>
    <m/>
    <s v="F3X"/>
    <n v="4.0721202017922499E+18"/>
    <s v="t"/>
    <s v="EARMARKED FOR STOP REPUBLICANS (C00633404)"/>
    <n v="2020"/>
    <s v="SA"/>
    <m/>
    <n v="4.08102020182509E+18"/>
    <s v="http://docquery.fec.gov/cgi-bin/fecimg/?202007209257499961"/>
    <s v="Contributions From Individuals/Persons Other Than Political Committees"/>
  </r>
  <r>
    <s v="C00401224"/>
    <x v="3"/>
    <n v="2020"/>
    <s v="M7"/>
    <n v="2.0200720925749901E+17"/>
    <s v="11AI"/>
    <s v="SA11AI_256676494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8"/>
    <n v="20"/>
    <n v="2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0921631947"/>
    <m/>
    <m/>
    <m/>
    <s v="F3X"/>
    <n v="4.0721202017922499E+18"/>
    <s v="t"/>
    <s v="EARMARKED FOR SARA GIDEON FOR MAINE (C00709899)"/>
    <n v="2020"/>
    <s v="SA"/>
    <m/>
    <n v="4.08102020182509E+18"/>
    <s v="http://docquery.fec.gov/cgi-bin/fecimg/?202007209257499962"/>
    <s v="Contributions From Individuals/Persons Other Than Political Committees"/>
  </r>
  <r>
    <s v="C00401224"/>
    <x v="3"/>
    <n v="2020"/>
    <s v="M7"/>
    <n v="2.0200720925749901E+17"/>
    <s v="11AI"/>
    <s v="SA11AI_256676530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98"/>
    <n v="10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30921631947"/>
    <m/>
    <m/>
    <m/>
    <s v="F3X"/>
    <n v="4.0721202017922499E+18"/>
    <s v="t"/>
    <s v="CONTRIBUTION TO ACTBLUE"/>
    <n v="2020"/>
    <s v="SA"/>
    <m/>
    <n v="4.08102020182509E+18"/>
    <s v="http://docquery.fec.gov/cgi-bin/fecimg/?202007209257499965"/>
    <s v="Contributions From Individuals/Persons Other Than Political Committees"/>
  </r>
  <r>
    <s v="C00401224"/>
    <x v="3"/>
    <n v="2020"/>
    <s v="M7"/>
    <n v="2.0200720925749901E+17"/>
    <s v="11AI"/>
    <s v="SA11AI_258389904"/>
    <n v="1427110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4003"/>
    <n v="50"/>
    <n v="413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30921631947"/>
    <m/>
    <m/>
    <m/>
    <s v="F3X"/>
    <n v="4.0721202017922499E+18"/>
    <s v="t"/>
    <s v="EARMARKED FOR NANCY PELOSI FOR CONGRESS (C00213512)"/>
    <n v="2020"/>
    <s v="SA"/>
    <m/>
    <n v="4.08102020182509E+18"/>
    <s v="http://docquery.fec.gov/cgi-bin/fecimg/?202007209257499968"/>
    <s v="Contributions From Individuals/Persons Other Than Political Committees"/>
  </r>
  <r>
    <s v="C00401224"/>
    <x v="3"/>
    <n v="2020"/>
    <s v="M7"/>
    <n v="2.0200720925749901E+17"/>
    <s v="11AI"/>
    <s v="SA11AI_258389829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03"/>
    <n v="5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30921631947"/>
    <m/>
    <m/>
    <m/>
    <s v="F3X"/>
    <n v="4.0721202017922499E+18"/>
    <s v="t"/>
    <s v="CONTRIBUTION TO ACTBLUE"/>
    <n v="2020"/>
    <s v="SA"/>
    <m/>
    <n v="4.08102020182509E+18"/>
    <s v="http://docquery.fec.gov/cgi-bin/fecimg/?202007209257499968"/>
    <s v="Contributions From Individuals/Persons Other Than Political Committees"/>
  </r>
  <r>
    <s v="C00401224"/>
    <x v="3"/>
    <n v="2020"/>
    <s v="M7"/>
    <n v="2.0200720925749901E+17"/>
    <s v="11AI"/>
    <s v="SA11AI_256676491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8"/>
    <n v="20"/>
    <n v="2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2608078701"/>
    <m/>
    <m/>
    <m/>
    <s v="F3X"/>
    <n v="4.0721202017922499E+18"/>
    <s v="t"/>
    <s v="EARMARKED FOR CAL FOR NC (C00709410)"/>
    <n v="2020"/>
    <s v="SA"/>
    <m/>
    <n v="4.08102020182509E+18"/>
    <s v="http://docquery.fec.gov/cgi-bin/fecimg/?202007209257499963"/>
    <s v="Contributions From Individuals/Persons Other Than Political Committees"/>
  </r>
  <r>
    <s v="C00401224"/>
    <x v="3"/>
    <n v="2020"/>
    <s v="M7"/>
    <n v="2.0200720925749901E+17"/>
    <s v="11AI"/>
    <s v="SA11AI_258389824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03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2608090277"/>
    <m/>
    <m/>
    <m/>
    <s v="F3X"/>
    <n v="4.0721202017922499E+18"/>
    <s v="t"/>
    <s v="EARMARKED FOR DEMOCRATIC STRATEGY INSTITUTE (C00745786)"/>
    <n v="2020"/>
    <s v="SA"/>
    <m/>
    <n v="4.08102020182509E+18"/>
    <s v="http://docquery.fec.gov/cgi-bin/fecimg/?202007209257499968"/>
    <s v="Contributions From Individuals/Persons Other Than Political Committees"/>
  </r>
  <r>
    <s v="C00401224"/>
    <x v="3"/>
    <n v="2020"/>
    <s v="M7"/>
    <n v="2.0200720925749901E+17"/>
    <s v="11AI"/>
    <s v="SA11AI_255745598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5"/>
    <n v="5"/>
    <n v="5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2608078701"/>
    <m/>
    <m/>
    <m/>
    <s v="F3X"/>
    <n v="4.0721202017922499E+18"/>
    <s v="t"/>
    <s v="EARMARKED FOR STOP REPUBLICANS (C00633404)"/>
    <n v="2020"/>
    <s v="SA"/>
    <m/>
    <n v="4.08102020182509E+18"/>
    <s v="http://docquery.fec.gov/cgi-bin/fecimg/?202007209257499960"/>
    <s v="Contributions From Individuals/Persons Other Than Political Committees"/>
  </r>
  <r>
    <s v="C00401224"/>
    <x v="3"/>
    <n v="2020"/>
    <s v="M7"/>
    <n v="2.0200720925749901E+17"/>
    <s v="11AI"/>
    <s v="SA11AI_255745672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3995"/>
    <n v="25"/>
    <n v="5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32608078701"/>
    <m/>
    <m/>
    <m/>
    <s v="F3X"/>
    <n v="4.0721202017922499E+18"/>
    <s v="t"/>
    <s v="EARMARKED FOR STOP REPUBLICANS (C00633404)"/>
    <n v="2020"/>
    <s v="SA"/>
    <m/>
    <n v="4.08102020182509E+18"/>
    <s v="http://docquery.fec.gov/cgi-bin/fecimg/?202007209257499960"/>
    <s v="Contributions From Individuals/Persons Other Than Political Committees"/>
  </r>
  <r>
    <s v="C00401224"/>
    <x v="3"/>
    <n v="2020"/>
    <s v="M7"/>
    <n v="2.0200720925749901E+17"/>
    <s v="11AI"/>
    <s v="SA11AI_258328317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03"/>
    <n v="25"/>
    <n v="17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54.346085486111"/>
    <m/>
    <m/>
    <m/>
    <s v="F3X"/>
    <n v="4.0721202017922499E+18"/>
    <s v="t"/>
    <s v="EARMARKED FOR WARREN DEMOCRATS, INC. (C00500843)"/>
    <n v="2020"/>
    <s v="SA"/>
    <m/>
    <n v="4.08102020182509E+18"/>
    <s v="http://docquery.fec.gov/cgi-bin/fecimg/?202007209257499969"/>
    <s v="Contributions From Individuals/Persons Other Than Political Committees"/>
  </r>
  <r>
    <s v="C00401224"/>
    <x v="3"/>
    <n v="2020"/>
    <s v="M7"/>
    <n v="2.0200720925749901E+17"/>
    <s v="11AI"/>
    <s v="SA11AI_249935855"/>
    <n v="1427110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3987"/>
    <n v="25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46085474535"/>
    <m/>
    <m/>
    <m/>
    <s v="F3X"/>
    <n v="4.0721202017922499E+18"/>
    <s v="t"/>
    <s v="EARMARKED FOR DCCC (C00000935)"/>
    <n v="2020"/>
    <s v="SA"/>
    <m/>
    <n v="4.08102020182509E+18"/>
    <s v="http://docquery.fec.gov/cgi-bin/fecimg/?202007209257499947"/>
    <s v="Contributions From Individuals/Persons Other Than Political Committees"/>
  </r>
  <r>
    <s v="C00401224"/>
    <x v="3"/>
    <n v="2020"/>
    <s v="M7"/>
    <n v="2.0200720925749901E+17"/>
    <s v="11AI"/>
    <s v="SA11AI_255745696"/>
    <n v="1427110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3995"/>
    <n v="2.5"/>
    <n v="26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54.362741793979"/>
    <m/>
    <m/>
    <m/>
    <s v="F3X"/>
    <n v="4.0721202017922499E+18"/>
    <s v="t"/>
    <s v="CONTRIBUTION TO ACTBLUE"/>
    <n v="2020"/>
    <s v="SA"/>
    <m/>
    <n v="4.08102020182509E+18"/>
    <s v="http://docquery.fec.gov/cgi-bin/fecimg/?202007209257499959"/>
    <s v="Contributions From Individuals/Persons Other Than Political Committees"/>
  </r>
  <r>
    <s v="C00213512"/>
    <x v="4"/>
    <n v="2020"/>
    <s v="Q2"/>
    <n v="2.0200715924492701E+17"/>
    <s v="11AI"/>
    <s v="VSHCDMCRA67"/>
    <n v="1423156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03"/>
    <n v="50"/>
    <n v="101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055.150750520836"/>
    <m/>
    <s v="VSHCDMCRA67E"/>
    <s v="SA11AI"/>
    <s v="F3"/>
    <n v="4.0715202017906002E+18"/>
    <s v="t"/>
    <s v="* EARMARKED CONTRIBUTION: SEE BELOW"/>
    <n v="2020"/>
    <s v="SA"/>
    <m/>
    <n v="4.0812202018280402E+18"/>
    <s v="http://docquery.fec.gov/cgi-bin/fecimg/?202007159244927222"/>
    <s v="Contributions From Individuals/Persons Other Than Political Committees"/>
  </r>
  <r>
    <s v="C00401224"/>
    <x v="3"/>
    <n v="2020"/>
    <s v="M8"/>
    <n v="2.0200820926378701E+17"/>
    <s v="11AI"/>
    <s v="SA11AI_270696321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41"/>
    <n v="6.7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6858206016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83"/>
    <s v="Contributions From Individuals/Persons Other Than Political Committees"/>
  </r>
  <r>
    <s v="C00401224"/>
    <x v="3"/>
    <n v="2020"/>
    <s v="M8"/>
    <n v="2.0200820926378701E+17"/>
    <s v="11AI"/>
    <s v="SA11AI_264093159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19"/>
    <n v="10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78241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64"/>
    <s v="Contributions From Individuals/Persons Other Than Political Committees"/>
  </r>
  <r>
    <s v="C00401224"/>
    <x v="3"/>
    <n v="2020"/>
    <s v="M8"/>
    <n v="2.0200820926378701E+17"/>
    <s v="11AI"/>
    <s v="SA11AI_264093146"/>
    <n v="1434463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4019"/>
    <n v="100"/>
    <n v="580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78241"/>
    <m/>
    <m/>
    <m/>
    <s v="F3X"/>
    <n v="4.0822202018295301E+18"/>
    <s v="t"/>
    <s v="EARMARKED FOR NANCY PELOSI FOR CONGRESS (C00213512)"/>
    <n v="2020"/>
    <s v="SA"/>
    <m/>
    <n v="4.0915202018454502E+18"/>
    <s v="http://docquery.fec.gov/cgi-bin/fecimg/?202008209263787165"/>
    <s v="Contributions From Individuals/Persons Other Than Political Committees"/>
  </r>
  <r>
    <s v="C00401224"/>
    <x v="3"/>
    <n v="2020"/>
    <s v="M8"/>
    <n v="2.0200820926378701E+17"/>
    <s v="11AI"/>
    <s v="SA11AI_263464556"/>
    <n v="1434463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4017"/>
    <n v="25"/>
    <n v="6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78241"/>
    <m/>
    <m/>
    <m/>
    <s v="F3X"/>
    <n v="4.0822202018295301E+18"/>
    <s v="t"/>
    <s v="EARMARKED FOR DCCC (C00000935)"/>
    <n v="2020"/>
    <s v="SA"/>
    <m/>
    <n v="4.0915202018454502E+18"/>
    <s v="http://docquery.fec.gov/cgi-bin/fecimg/?202008209263787162"/>
    <s v="Contributions From Individuals/Persons Other Than Political Committees"/>
  </r>
  <r>
    <s v="C00401224"/>
    <x v="3"/>
    <n v="2020"/>
    <s v="M8"/>
    <n v="2.0200820926378701E+17"/>
    <s v="11AI"/>
    <s v="SA11AI_263464557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17"/>
    <n v="2.5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78241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62"/>
    <s v="Contributions From Individuals/Persons Other Than Political Committees"/>
  </r>
  <r>
    <s v="C00401224"/>
    <x v="3"/>
    <n v="2020"/>
    <s v="M8"/>
    <n v="2.0200820926378701E+17"/>
    <s v="11AI"/>
    <s v="SA11AI_266196236"/>
    <n v="1434463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4027"/>
    <n v="100"/>
    <n v="6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05555"/>
    <m/>
    <m/>
    <m/>
    <s v="F3X"/>
    <n v="4.0822202018295301E+18"/>
    <s v="t"/>
    <s v="EARMARKED FOR DCCC (C00000935)"/>
    <n v="2020"/>
    <s v="SA"/>
    <m/>
    <n v="4.0915202018454502E+18"/>
    <s v="http://docquery.fec.gov/cgi-bin/fecimg/?202008209263787172"/>
    <s v="Contributions From Individuals/Persons Other Than Political Committees"/>
  </r>
  <r>
    <s v="C00401224"/>
    <x v="3"/>
    <n v="2020"/>
    <s v="M8"/>
    <n v="2.0200820926378701E+17"/>
    <s v="11AI"/>
    <s v="SA11AI_268823557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35"/>
    <n v="10.5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17131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75"/>
    <s v="Contributions From Individuals/Persons Other Than Political Committees"/>
  </r>
  <r>
    <s v="C00401224"/>
    <x v="3"/>
    <n v="2020"/>
    <s v="M8"/>
    <n v="2.0200820926378701E+17"/>
    <s v="11AI"/>
    <s v="SA11AI_266527340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28"/>
    <n v="10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05555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72"/>
    <s v="Contributions From Individuals/Persons Other Than Political Committees"/>
  </r>
  <r>
    <s v="C00401224"/>
    <x v="3"/>
    <n v="2020"/>
    <s v="M8"/>
    <n v="2.0200820926378701E+17"/>
    <s v="11AI"/>
    <s v="SA11AI_268823535"/>
    <n v="1434463"/>
    <m/>
    <s v="IND"/>
    <s v="INDIVIDUAL"/>
    <s v="C00632398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2398"/>
    <s v="24T"/>
    <s v="EARMARKED INTERMEDIARY TREASURY OUT"/>
    <s v="EARMARK"/>
    <m/>
    <m/>
    <n v="44035"/>
    <n v="105"/>
    <n v="20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17131"/>
    <m/>
    <m/>
    <m/>
    <s v="F3X"/>
    <n v="4.0822202018295301E+18"/>
    <s v="t"/>
    <s v="EARMARKED FOR LET AMERICA VOTE PAC (C00632398)"/>
    <n v="2020"/>
    <s v="SA"/>
    <m/>
    <n v="4.0915202018454502E+18"/>
    <s v="http://docquery.fec.gov/cgi-bin/fecimg/?202008209263787176"/>
    <s v="Contributions From Individuals/Persons Other Than Political Committees"/>
  </r>
  <r>
    <s v="C00401224"/>
    <x v="3"/>
    <n v="2020"/>
    <s v="M8"/>
    <n v="2.0200820926378701E+17"/>
    <s v="11AI"/>
    <s v="SA11AI_266527341"/>
    <n v="1434463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28"/>
    <n v="100"/>
    <n v="600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05555"/>
    <m/>
    <m/>
    <m/>
    <s v="F3X"/>
    <n v="4.0822202018295301E+18"/>
    <s v="t"/>
    <s v="EARMARKED FOR BIDEN FOR PRESIDENT (C00703975)"/>
    <n v="2020"/>
    <s v="SA"/>
    <m/>
    <n v="4.0915202018454502E+18"/>
    <s v="http://docquery.fec.gov/cgi-bin/fecimg/?202008209263787172"/>
    <s v="Contributions From Individuals/Persons Other Than Political Committees"/>
  </r>
  <r>
    <s v="C00401224"/>
    <x v="3"/>
    <n v="2020"/>
    <s v="M8"/>
    <n v="2.0200820926378701E+17"/>
    <s v="11AI"/>
    <s v="SA11AI_270043194"/>
    <n v="1434463"/>
    <m/>
    <s v="IND"/>
    <s v="INDIVIDUAL"/>
    <s v="C00632398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2398"/>
    <s v="24T"/>
    <s v="EARMARKED INTERMEDIARY TREASURY OUT"/>
    <s v="EARMARK"/>
    <m/>
    <m/>
    <n v="44039"/>
    <n v="100"/>
    <n v="20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28707"/>
    <m/>
    <m/>
    <m/>
    <s v="F3X"/>
    <n v="4.0822202018295301E+18"/>
    <s v="t"/>
    <s v="EARMARKED FOR LET AMERICA VOTE PAC (C00632398)"/>
    <n v="2020"/>
    <s v="SA"/>
    <m/>
    <n v="4.0915202018454502E+18"/>
    <s v="http://docquery.fec.gov/cgi-bin/fecimg/?202008209263787179"/>
    <s v="Contributions From Individuals/Persons Other Than Political Committees"/>
  </r>
  <r>
    <s v="C00401224"/>
    <x v="3"/>
    <n v="2020"/>
    <s v="M8"/>
    <n v="2.0200820926378701E+17"/>
    <s v="11AI"/>
    <s v="SA11AI_270043219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39"/>
    <n v="10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28707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79"/>
    <s v="Contributions From Individuals/Persons Other Than Political Committees"/>
  </r>
  <r>
    <s v="C00401224"/>
    <x v="3"/>
    <n v="2020"/>
    <s v="M8"/>
    <n v="2.0200820926378701E+17"/>
    <s v="11AI"/>
    <s v="SA11AI_268650529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35"/>
    <n v="10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17131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74"/>
    <s v="Contributions From Individuals/Persons Other Than Political Committees"/>
  </r>
  <r>
    <s v="C00401224"/>
    <x v="3"/>
    <n v="2020"/>
    <s v="M8"/>
    <n v="2.0200820926378701E+17"/>
    <s v="11AI"/>
    <s v="SA11AI_270878331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41"/>
    <n v="50"/>
    <n v="7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90.349931840276"/>
    <m/>
    <m/>
    <m/>
    <s v="F3X"/>
    <n v="4.0822202018295301E+18"/>
    <s v="t"/>
    <s v="EARMARKED FOR MARK KELLY FOR SENATE (C00696526)"/>
    <n v="2020"/>
    <s v="SA"/>
    <m/>
    <n v="4.0915202018454502E+18"/>
    <s v="http://docquery.fec.gov/cgi-bin/fecimg/?202008209263787181"/>
    <s v="Contributions From Individuals/Persons Other Than Political Committees"/>
  </r>
  <r>
    <s v="C00401224"/>
    <x v="3"/>
    <n v="2020"/>
    <s v="M8"/>
    <n v="2.0200820926378701E+17"/>
    <s v="11AI"/>
    <s v="SA11AI_268650514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35"/>
    <n v="100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4090.349931817131"/>
    <m/>
    <m/>
    <m/>
    <s v="F3X"/>
    <n v="4.0822202018295301E+18"/>
    <s v="t"/>
    <s v="EARMARKED FOR SAVE AMERICA FUND (C00732172)"/>
    <n v="2020"/>
    <s v="SA"/>
    <m/>
    <n v="4.0915202018454502E+18"/>
    <s v="http://docquery.fec.gov/cgi-bin/fecimg/?202008209263787175"/>
    <s v="Contributions From Individuals/Persons Other Than Political Committees"/>
  </r>
  <r>
    <s v="C00401224"/>
    <x v="3"/>
    <n v="2020"/>
    <s v="M8"/>
    <n v="2.0200820926378701E+17"/>
    <s v="11AI"/>
    <s v="SA11AI_270744028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41"/>
    <n v="2.8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40276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82"/>
    <s v="Contributions From Individuals/Persons Other Than Political Committees"/>
  </r>
  <r>
    <s v="C00401224"/>
    <x v="3"/>
    <n v="2020"/>
    <s v="M8"/>
    <n v="2.0200820926378701E+17"/>
    <s v="11AI"/>
    <s v="SA11AI_270696304"/>
    <n v="1434463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4041"/>
    <n v="67"/>
    <n v="580.5"/>
    <s v="H8CA05035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40276"/>
    <m/>
    <m/>
    <m/>
    <s v="F3X"/>
    <n v="4.0822202018295301E+18"/>
    <s v="t"/>
    <s v="EARMARKED FOR NANCY PELOSI FOR CONGRESS (C00213512)"/>
    <n v="2020"/>
    <s v="SA"/>
    <m/>
    <n v="4.0915202018454502E+18"/>
    <s v="http://docquery.fec.gov/cgi-bin/fecimg/?202008209263787182"/>
    <s v="Contributions From Individuals/Persons Other Than Political Committees"/>
  </r>
  <r>
    <s v="C00401224"/>
    <x v="3"/>
    <n v="2020"/>
    <s v="M8"/>
    <n v="2.0200820926378701E+17"/>
    <s v="11AI"/>
    <s v="SA11AI_270744014"/>
    <n v="1434463"/>
    <m/>
    <s v="IND"/>
    <s v="INDIVIDUAL"/>
    <s v="C00500843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500843"/>
    <s v="24T"/>
    <s v="EARMARKED INTERMEDIARY TREASURY OUT"/>
    <s v="EARMARK"/>
    <m/>
    <m/>
    <n v="44041"/>
    <n v="28"/>
    <n v="203"/>
    <s v="S2MA00170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40276"/>
    <m/>
    <m/>
    <m/>
    <s v="F3X"/>
    <n v="4.0822202018295301E+18"/>
    <s v="t"/>
    <s v="EARMARKED FOR WARREN DEMOCRATS, INC. (C00500843)"/>
    <n v="2020"/>
    <s v="SA"/>
    <m/>
    <n v="4.0915202018454502E+18"/>
    <s v="http://docquery.fec.gov/cgi-bin/fecimg/?202008209263787182"/>
    <s v="Contributions From Individuals/Persons Other Than Political Committees"/>
  </r>
  <r>
    <s v="C00401224"/>
    <x v="3"/>
    <n v="2020"/>
    <s v="M8"/>
    <n v="2.0200820926378701E+17"/>
    <s v="11AI"/>
    <s v="SA11AI_270878352"/>
    <n v="1434463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41"/>
    <n v="5"/>
    <n v="332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0.349931840276"/>
    <m/>
    <m/>
    <m/>
    <s v="F3X"/>
    <n v="4.0822202018295301E+18"/>
    <s v="t"/>
    <s v="CONTRIBUTION TO ACTBLUE"/>
    <n v="2020"/>
    <s v="SA"/>
    <m/>
    <n v="4.0915202018454502E+18"/>
    <s v="http://docquery.fec.gov/cgi-bin/fecimg/?202008209263787184"/>
    <s v="Contributions From Individuals/Persons Other Than Political Committees"/>
  </r>
  <r>
    <s v="C00632398"/>
    <x v="8"/>
    <n v="2020"/>
    <s v="M9"/>
    <n v="2.0200916926720301E+17"/>
    <s v="11AI"/>
    <n v="13472099"/>
    <n v="1438089"/>
    <m/>
    <s v="IND"/>
    <s v="INDIVIDUAL"/>
    <s v="C00401224"/>
    <m/>
    <s v="TAYLOR, DIANA"/>
    <s v="Q"/>
    <m/>
    <s v="U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4056"/>
    <n v="103"/>
    <n v="412.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1.159475706016"/>
    <m/>
    <s v="13472099E"/>
    <s v="SA11AI"/>
    <s v="F3X"/>
    <n v="4.0917202018484598E+18"/>
    <s v="t"/>
    <s v="* EARMARKED CONTRIBUTION: SEE BELOW"/>
    <n v="2020"/>
    <s v="SA"/>
    <m/>
    <n v="4.0917202018488699E+18"/>
    <s v="http://docquery.fec.gov/cgi-bin/fecimg/?202009169267203001"/>
    <s v="Contributions From Individuals/Persons Other Than Political Committees"/>
  </r>
  <r>
    <s v="C00489799"/>
    <x v="11"/>
    <n v="2020"/>
    <s v="M7"/>
    <n v="2.02104169443788E+17"/>
    <s v="11AI"/>
    <s v="VV1NH9J0YN3"/>
    <n v="1512857"/>
    <m/>
    <s v="IND"/>
    <s v="INDIVIDUAL"/>
    <m/>
    <m/>
    <s v="TAYLOR, DIANA"/>
    <s v="O"/>
    <m/>
    <s v="U"/>
    <s v="DIANA"/>
    <m/>
    <s v="TAYLOR"/>
    <m/>
    <s v="75 CAMBRIDGE PKWY"/>
    <s v="UNIT E708"/>
    <s v="CAMBRIDGE"/>
    <s v="MA"/>
    <n v="21421239"/>
    <s v="NONE"/>
    <s v="RETIRED"/>
    <m/>
    <n v="10"/>
    <s v="NON-FEDERAL RECEIPT FROM PERSONS"/>
    <m/>
    <m/>
    <m/>
    <n v="44009"/>
    <n v="500"/>
    <n v="5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14.149640428244"/>
    <m/>
    <m/>
    <m/>
    <s v="F3X"/>
    <n v="4.0417202112778998E+18"/>
    <s v="t"/>
    <m/>
    <n v="2020"/>
    <s v="SA"/>
    <m/>
    <n v="4.04282021127921E+18"/>
    <s v="https://docquery.fec.gov/cgi-bin/fecimg/?202104169443788420"/>
    <s v="Contributions From Individuals/Persons Other Than Political Committees"/>
  </r>
  <r>
    <s v="C00582890"/>
    <x v="12"/>
    <n v="2020"/>
    <s v="Q3"/>
    <n v="2.02010149293864E+17"/>
    <s v="11AI"/>
    <s v="11AI-000049675"/>
    <n v="1448862"/>
    <m/>
    <s v="IND"/>
    <s v="INDIVIDUAL"/>
    <m/>
    <m/>
    <s v="TAYLOR, DIANA"/>
    <s v="H"/>
    <m/>
    <s v="P"/>
    <s v="DIANA"/>
    <m/>
    <s v="TAYLOR"/>
    <m/>
    <s v="75 CAMBRIDGE PKWY"/>
    <m/>
    <s v="CAMBRIDGE"/>
    <s v="MA"/>
    <n v="2142"/>
    <s v="NOT EMPLOYED"/>
    <s v="NOT EMPLOYED"/>
    <m/>
    <m/>
    <m/>
    <m/>
    <s v="X"/>
    <m/>
    <n v="44104"/>
    <n v="1.18"/>
    <n v="1.18"/>
    <m/>
    <m/>
    <m/>
    <m/>
    <m/>
    <m/>
    <m/>
    <m/>
    <m/>
    <m/>
    <m/>
    <m/>
    <m/>
    <m/>
    <m/>
    <m/>
    <m/>
    <m/>
    <m/>
    <m/>
    <m/>
    <s v="G2020"/>
    <s v="GENERAL"/>
    <s v="GENERAL"/>
    <n v="2020"/>
    <s v="A"/>
    <s v="ADD"/>
    <s v="ITEMIZED RECEIPTS"/>
    <n v="44141.540528506943"/>
    <m/>
    <m/>
    <m/>
    <s v="F3"/>
    <n v="4.1016202018576502E+18"/>
    <s v="t"/>
    <s v="HOLD THE HOUSE FRONTLINE FUND"/>
    <n v="2020"/>
    <s v="SA"/>
    <m/>
    <n v="4.1105202018912502E+18"/>
    <s v="http://docquery.fec.gov/cgi-bin/fecimg/?202010149293864181"/>
    <s v="Contributions From Individuals/Persons Other Than Political Committees"/>
  </r>
  <r>
    <s v="C00213512"/>
    <x v="4"/>
    <n v="2020"/>
    <s v="Q3"/>
    <n v="2.0201015929392701E+17"/>
    <s v="11AI"/>
    <s v="VSHCDN9B6C6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73"/>
    <n v="68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2880439811"/>
    <m/>
    <s v="VSHCDN9B6C6E"/>
    <s v="SA11AI"/>
    <s v="F3"/>
    <n v="4.1016202018576502E+18"/>
    <s v="t"/>
    <s v="* EARMARKED CONTRIBUTION: SEE BELOW"/>
    <n v="2020"/>
    <s v="SA"/>
    <m/>
    <n v="4.1126202019614198E+18"/>
    <s v="http://docquery.fec.gov/cgi-bin/fecimg/?202010159293927567"/>
    <s v="Contributions From Individuals/Persons Other Than Political Committees"/>
  </r>
  <r>
    <s v="C00213512"/>
    <x v="4"/>
    <n v="2020"/>
    <s v="Q3"/>
    <n v="2.0201015929392701E+17"/>
    <s v="11AI"/>
    <s v="VSHCDP07J86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103"/>
    <n v="68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2854189815"/>
    <m/>
    <s v="VSHCDP07J86E"/>
    <s v="SA11AI"/>
    <s v="F3"/>
    <n v="4.1016202018576502E+18"/>
    <s v="t"/>
    <s v="* EARMARKED CONTRIBUTION: SEE BELOW"/>
    <n v="2020"/>
    <s v="SA"/>
    <m/>
    <n v="4.1126202019614198E+18"/>
    <s v="http://docquery.fec.gov/cgi-bin/fecimg/?202010159293927083"/>
    <s v="Contributions From Individuals/Persons Other Than Political Committees"/>
  </r>
  <r>
    <s v="C00213512"/>
    <x v="4"/>
    <n v="2020"/>
    <s v="Q3"/>
    <n v="2.0201015929393798E+17"/>
    <s v="11AI"/>
    <s v="VSHCDMN4JE9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19"/>
    <n v="100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3151041668"/>
    <m/>
    <s v="VSHCDMN4JE9E"/>
    <s v="SA11AI"/>
    <s v="F3"/>
    <n v="4.1016202018576502E+18"/>
    <s v="t"/>
    <s v="* EARMARKED CONTRIBUTION: SEE BELOW"/>
    <n v="2020"/>
    <s v="SA"/>
    <m/>
    <n v="4.1126202019614602E+18"/>
    <s v="http://docquery.fec.gov/cgi-bin/fecimg/?202010159293938683"/>
    <s v="Contributions From Individuals/Persons Other Than Political Committees"/>
  </r>
  <r>
    <s v="C00213512"/>
    <x v="4"/>
    <n v="2020"/>
    <s v="Q3"/>
    <n v="2.02010159293904E+17"/>
    <s v="11AI"/>
    <s v="VSHCDMTXN10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41"/>
    <n v="67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4004618053"/>
    <m/>
    <s v="VSHCDMTXN10E"/>
    <s v="SA11AI"/>
    <s v="F3"/>
    <n v="4.1016202018576502E+18"/>
    <s v="t"/>
    <s v="* EARMARKED CONTRIBUTION: SEE BELOW"/>
    <n v="2020"/>
    <s v="SA"/>
    <m/>
    <n v="4.1126202019613501E+18"/>
    <s v="http://docquery.fec.gov/cgi-bin/fecimg/?202010159293904772"/>
    <s v="Contributions From Individuals/Persons Other Than Political Committees"/>
  </r>
  <r>
    <s v="C00213512"/>
    <x v="4"/>
    <n v="2020"/>
    <s v="Q3"/>
    <n v="2.0201015929392099E+17"/>
    <s v="11AI"/>
    <s v="VSHCDNVWSK4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98"/>
    <n v="68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4705590277"/>
    <m/>
    <s v="VSHCDNVWSK4E"/>
    <s v="SA11AI"/>
    <s v="F3"/>
    <n v="4.1016202018576502E+18"/>
    <s v="t"/>
    <s v="* EARMARKED CONTRIBUTION: SEE BELOW"/>
    <n v="2020"/>
    <s v="SA"/>
    <m/>
    <n v="4.1126202019613998E+18"/>
    <s v="http://docquery.fec.gov/cgi-bin/fecimg/?202010159293921243"/>
    <s v="Contributions From Individuals/Persons Other Than Political Committees"/>
  </r>
  <r>
    <s v="C00213512"/>
    <x v="4"/>
    <n v="2020"/>
    <s v="Q3"/>
    <n v="2.0201015929392E+17"/>
    <s v="11AI"/>
    <s v="VSHCDN2DDB4"/>
    <n v="1449188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053"/>
    <n v="100"/>
    <n v="1484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61.154638344909"/>
    <m/>
    <s v="VSHCDN2DDB4E"/>
    <s v="SA11AI"/>
    <s v="F3"/>
    <n v="4.1016202018576502E+18"/>
    <s v="t"/>
    <s v="* EARMARKED CONTRIBUTION: SEE BELOW"/>
    <n v="2020"/>
    <s v="SA"/>
    <m/>
    <n v="4.1126202019613998E+18"/>
    <s v="http://docquery.fec.gov/cgi-bin/fecimg/?202010159293920322"/>
    <s v="Contributions From Individuals/Persons Other Than Political Committees"/>
  </r>
  <r>
    <s v="C00213512"/>
    <x v="4"/>
    <n v="2020"/>
    <s v="12G"/>
    <n v="2.0201022933296301E+17"/>
    <s v="11AI"/>
    <s v="VSHCDP20Q52"/>
    <n v="1462600"/>
    <m/>
    <s v="IND"/>
    <s v="INDIVIDUAL"/>
    <s v="C00401224"/>
    <m/>
    <s v="TAYLOR, DIANA"/>
    <s v="H"/>
    <m/>
    <s v="P"/>
    <s v="DIANA"/>
    <m/>
    <s v="TAYLOR"/>
    <m/>
    <s v="75 CAMBRIDGE PKWY"/>
    <m/>
    <s v="CAMBRIDGE"/>
    <s v="MA"/>
    <n v="21421229"/>
    <s v="N/A"/>
    <s v="RETIRED"/>
    <s v="C00401224"/>
    <s v="15E"/>
    <s v="EARMARKED CONTRIBUTION"/>
    <m/>
    <m/>
    <m/>
    <n v="44104"/>
    <n v="68"/>
    <n v="1552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74.162684641204"/>
    <m/>
    <s v="VSHCDP20Q52E"/>
    <s v="SA11AI"/>
    <s v="F3"/>
    <n v="4.1023202018827402E+18"/>
    <s v="t"/>
    <s v="* EARMARKED CONTRIBUTION: SEE BELOW"/>
    <n v="2020"/>
    <s v="SA"/>
    <m/>
    <n v="4.12092020196749E+18"/>
    <s v="http://docquery.fec.gov/cgi-bin/fecimg/?202010229332963547"/>
    <s v="Contributions From Individuals/Persons Other Than Political Committees"/>
  </r>
  <r>
    <s v="C00696153"/>
    <x v="13"/>
    <n v="2020"/>
    <s v="30G"/>
    <n v="2.0210503944622899E+17"/>
    <s v="11AI"/>
    <s v="VVC3HV1P8F7"/>
    <n v="1514941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30"/>
    <n v="25"/>
    <n v="318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3730648151"/>
    <m/>
    <s v="VVC3HV1P8F7E"/>
    <s v="SA11AI"/>
    <s v="F3"/>
    <n v="4.0504202112851799E+18"/>
    <s v="t"/>
    <s v="* EARMARKED CONTRIBUTION: SEE BELOW"/>
    <n v="2020"/>
    <s v="SA"/>
    <m/>
    <n v="4.0508202112894802E+18"/>
    <s v="https://docquery.fec.gov/cgi-bin/fecimg/?202105039446229385"/>
    <s v="Contributions From Individuals/Persons Other Than Political Committees"/>
  </r>
  <r>
    <s v="C00696153"/>
    <x v="13"/>
    <n v="2020"/>
    <s v="12G"/>
    <n v="2.0210426944541798E+17"/>
    <s v="11AI"/>
    <s v="VVC3HT631F4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07"/>
    <n v="26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631F4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2"/>
    <s v="Contributions From Individuals/Persons Other Than Political Committees"/>
  </r>
  <r>
    <s v="C00696153"/>
    <x v="13"/>
    <n v="2020"/>
    <s v="12G"/>
    <n v="2.0210426944541798E+17"/>
    <s v="11AI"/>
    <s v="VVC3HT5KNW6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07"/>
    <n v="26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00463"/>
    <m/>
    <s v="VVC3HT5KNW6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0"/>
    <s v="Contributions From Individuals/Persons Other Than Political Committees"/>
  </r>
  <r>
    <s v="C00696153"/>
    <x v="13"/>
    <n v="2020"/>
    <s v="12G"/>
    <n v="2.0210426944541798E+17"/>
    <s v="11AI"/>
    <s v="VVC3HT5KPA6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07"/>
    <n v="26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00463"/>
    <m/>
    <s v="VVC3HT5KPA6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0"/>
    <s v="Contributions From Individuals/Persons Other Than Political Committees"/>
  </r>
  <r>
    <s v="C00696153"/>
    <x v="13"/>
    <n v="2020"/>
    <s v="12G"/>
    <n v="2.0210426944541798E+17"/>
    <s v="11AI"/>
    <s v="VVC3HT9VPJ0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10"/>
    <n v="24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9VPJ0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2"/>
    <s v="Contributions From Individuals/Persons Other Than Political Committees"/>
  </r>
  <r>
    <s v="C00696153"/>
    <x v="13"/>
    <n v="2020"/>
    <s v="12G"/>
    <n v="2.0210426944541798E+17"/>
    <s v="11AI"/>
    <s v="VVC3HT5KPB4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07"/>
    <n v="5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00463"/>
    <m/>
    <s v="VVC3HT5KPB4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1"/>
    <s v="Contributions From Individuals/Persons Other Than Political Committees"/>
  </r>
  <r>
    <s v="C00696153"/>
    <x v="13"/>
    <n v="2020"/>
    <s v="12G"/>
    <n v="2.0210426944541798E+17"/>
    <s v="11AI"/>
    <s v="VVC3HTDQHH9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14"/>
    <n v="5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DQHH9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6"/>
    <s v="Contributions From Individuals/Persons Other Than Political Committees"/>
  </r>
  <r>
    <s v="C00696153"/>
    <x v="13"/>
    <n v="2020"/>
    <s v="12G"/>
    <n v="2.0210426944541798E+17"/>
    <s v="11AI"/>
    <s v="VVC3HTDQB51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14"/>
    <n v="21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DQB51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4"/>
    <s v="Contributions From Individuals/Persons Other Than Political Committees"/>
  </r>
  <r>
    <s v="C00696153"/>
    <x v="13"/>
    <n v="2020"/>
    <s v="12G"/>
    <n v="2.0210426944541798E+17"/>
    <s v="11AI"/>
    <s v="VVC3HTDQB85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13"/>
    <n v="24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DQB85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4"/>
    <s v="Contributions From Individuals/Persons Other Than Political Committees"/>
  </r>
  <r>
    <s v="C00696153"/>
    <x v="13"/>
    <n v="2020"/>
    <s v="12G"/>
    <n v="2.0210426944541798E+17"/>
    <s v="11AI"/>
    <s v="VVC3HTDQHG1"/>
    <n v="1514397"/>
    <m/>
    <s v="IND"/>
    <s v="INDIVIDUAL"/>
    <m/>
    <m/>
    <s v="TAYLOR, DIANA"/>
    <s v="S"/>
    <m/>
    <s v="P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114"/>
    <n v="5"/>
    <n v="293.5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324.20745141204"/>
    <m/>
    <s v="VVC3HTDQHG1E"/>
    <s v="SA11AI"/>
    <s v="F3"/>
    <n v="4.0426202112790702E+18"/>
    <s v="t"/>
    <s v="* EARMARKED CONTRIBUTION: SEE BELOW"/>
    <n v="2020"/>
    <s v="SA"/>
    <m/>
    <n v="4.05082021128753E+18"/>
    <s v="https://docquery.fec.gov/cgi-bin/fecimg/?202104269445418465"/>
    <s v="Contributions From Individuals/Persons Other Than Political Committees"/>
  </r>
  <r>
    <s v="C00500843"/>
    <x v="14"/>
    <n v="2020"/>
    <s v="Q3"/>
    <n v="2.0201015929460099E+17"/>
    <s v="11AI"/>
    <n v="7018560"/>
    <n v="1451061"/>
    <m/>
    <s v="IND"/>
    <s v="INDIVIDUAL"/>
    <s v="C00401224"/>
    <m/>
    <s v="TAYLOR, DIANA"/>
    <s v="S"/>
    <m/>
    <s v="P"/>
    <s v="DIANA"/>
    <m/>
    <s v="TAYLOR"/>
    <m/>
    <s v="75 CAMBRIDGE PKWY"/>
    <m/>
    <s v="CAMBRIDGE"/>
    <s v="MA"/>
    <n v="21421229"/>
    <s v="NONE"/>
    <s v="NOT EMPLOYED"/>
    <s v="C00401224"/>
    <s v="15E"/>
    <s v="EARMARKED CONTRIBUTION"/>
    <m/>
    <m/>
    <m/>
    <n v="44041"/>
    <n v="28"/>
    <n v="203"/>
    <m/>
    <m/>
    <m/>
    <m/>
    <m/>
    <m/>
    <m/>
    <m/>
    <m/>
    <m/>
    <m/>
    <m/>
    <m/>
    <m/>
    <m/>
    <m/>
    <m/>
    <m/>
    <m/>
    <m/>
    <m/>
    <s v="P2024"/>
    <m/>
    <s v="PRIMARY"/>
    <n v="2024"/>
    <s v="A"/>
    <s v="ADD"/>
    <s v="ITEMIZED RECEIPTS"/>
    <n v="44156.159682650461"/>
    <m/>
    <s v="7018560E"/>
    <s v="SA11AI"/>
    <s v="F3"/>
    <n v="4.1016202018576502E+18"/>
    <s v="t"/>
    <s v="* EARMARKED CONTRIBUTION: SEE BELOW"/>
    <n v="2020"/>
    <s v="SA"/>
    <m/>
    <n v="4.11212020195985E+18"/>
    <s v="http://docquery.fec.gov/cgi-bin/fecimg/?202010159294601847"/>
    <s v="Contributions From Individuals/Persons Other Than Political Committees"/>
  </r>
  <r>
    <s v="C00401224"/>
    <x v="3"/>
    <n v="2020"/>
    <s v="M10"/>
    <n v="2.0201214938057501E+17"/>
    <s v="11AI"/>
    <s v="SA11AI_288308225"/>
    <n v="1482832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75"/>
    <n v="100"/>
    <n v="12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18.70489079861"/>
    <m/>
    <m/>
    <m/>
    <s v="F3X"/>
    <n v="4.1216202019742802E+18"/>
    <s v="t"/>
    <s v="EARMARKED FOR BIDEN FOR PRESIDENT (C00703975)"/>
    <n v="2020"/>
    <s v="SA"/>
    <m/>
    <n v="4.0121202120966298E+18"/>
    <s v="https://docquery.fec.gov/cgi-bin/fecimg/?202012149380575279"/>
    <s v="Contributions From Individuals/Persons Other Than Political Committees"/>
  </r>
  <r>
    <s v="C00401224"/>
    <x v="3"/>
    <n v="2020"/>
    <s v="M10"/>
    <n v="2.0201214938057501E+17"/>
    <s v="11AI"/>
    <s v="SA11AI_288308255"/>
    <n v="1482832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5"/>
    <n v="10"/>
    <n v="46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18.705409479167"/>
    <m/>
    <m/>
    <m/>
    <s v="F3X"/>
    <n v="4.1216202019742802E+18"/>
    <s v="t"/>
    <s v="CONTRIBUTION TO ACTBLUE"/>
    <n v="2020"/>
    <s v="SA"/>
    <m/>
    <n v="4.01212021209664E+18"/>
    <s v="https://docquery.fec.gov/cgi-bin/fecimg/?202012149380575279"/>
    <s v="Contributions From Individuals/Persons Other Than Political Committees"/>
  </r>
  <r>
    <s v="C00000935"/>
    <x v="15"/>
    <n v="2020"/>
    <s v="M5"/>
    <n v="2.0210324944206598E+17"/>
    <s v="11AI"/>
    <n v="29238595"/>
    <n v="1506164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3936"/>
    <n v="10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4.553159270836"/>
    <m/>
    <m/>
    <m/>
    <s v="F3X"/>
    <n v="4.0325202112685701E+18"/>
    <s v="t"/>
    <s v="* EARMARKED CONTRIBUTION THROUGH ACTBLUE PAC ON 04/15/2020"/>
    <n v="2020"/>
    <s v="SA"/>
    <m/>
    <n v="4.0329202112691799E+18"/>
    <s v="https://docquery.fec.gov/cgi-bin/fecimg/?202103249442066301"/>
    <s v="Contributions From Individuals/Persons Other Than Political Committees"/>
  </r>
  <r>
    <s v="C00401224"/>
    <x v="3"/>
    <n v="2020"/>
    <s v="M9"/>
    <n v="2.0201211937029402E+17"/>
    <s v="11AI"/>
    <s v="SA11AI_278351174"/>
    <n v="1482644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4058"/>
    <n v="100"/>
    <n v="8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09548564814"/>
    <m/>
    <m/>
    <m/>
    <s v="F3X"/>
    <n v="4.1215202019740099E+18"/>
    <s v="t"/>
    <s v="EARMARKED FOR DCCC (C00000935)"/>
    <n v="2020"/>
    <s v="SA"/>
    <m/>
    <n v="4.0112202120732001E+18"/>
    <s v="https://docquery.fec.gov/cgi-bin/fecimg/?202012119370294836"/>
    <s v="Contributions From Individuals/Persons Other Than Political Committees"/>
  </r>
  <r>
    <s v="C00401224"/>
    <x v="3"/>
    <n v="2020"/>
    <s v="M9"/>
    <n v="2.0201211937029402E+17"/>
    <s v="11AI"/>
    <s v="SA11AI_278832870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9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1040069448"/>
    <m/>
    <m/>
    <m/>
    <s v="F3X"/>
    <n v="4.1215202019740099E+18"/>
    <s v="t"/>
    <s v="CONTRIBUTION TO ACTBLUE"/>
    <n v="2020"/>
    <s v="SA"/>
    <m/>
    <n v="4.0112202120735601E+18"/>
    <s v="https://docquery.fec.gov/cgi-bin/fecimg/?202012119370294837"/>
    <s v="Contributions From Individuals/Persons Other Than Political Committees"/>
  </r>
  <r>
    <s v="C00401224"/>
    <x v="3"/>
    <n v="2020"/>
    <s v="M9"/>
    <n v="2.0201211937029402E+17"/>
    <s v="11AI"/>
    <s v="SA11AI_278832867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59"/>
    <n v="100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1040069448"/>
    <m/>
    <m/>
    <m/>
    <s v="F3X"/>
    <n v="4.1215202019740099E+18"/>
    <s v="t"/>
    <s v="EARMARKED FOR BIDEN FOR PRESIDENT (C00703975)"/>
    <n v="2020"/>
    <s v="SA"/>
    <m/>
    <n v="4.0112202120735601E+18"/>
    <s v="https://docquery.fec.gov/cgi-bin/fecimg/?202012119370294838"/>
    <s v="Contributions From Individuals/Persons Other Than Political Committees"/>
  </r>
  <r>
    <s v="C00401224"/>
    <x v="3"/>
    <n v="2020"/>
    <s v="M9"/>
    <n v="2.0201211937029402E+17"/>
    <s v="11AI"/>
    <s v="SA11AI_286921218"/>
    <n v="1482644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4073"/>
    <n v="68"/>
    <n v="748.5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720841435"/>
    <m/>
    <m/>
    <m/>
    <s v="F3X"/>
    <n v="4.1215202019740099E+18"/>
    <s v="t"/>
    <s v="EARMARKED FOR NANCY PELOSI FOR CONGRESS (C00213512)"/>
    <n v="2020"/>
    <s v="SA"/>
    <m/>
    <n v="4.0112202120800302E+18"/>
    <s v="https://docquery.fec.gov/cgi-bin/fecimg/?202012119370294858"/>
    <s v="Contributions From Individuals/Persons Other Than Political Committees"/>
  </r>
  <r>
    <s v="C00401224"/>
    <x v="3"/>
    <n v="2020"/>
    <s v="M9"/>
    <n v="2.0201211937029402E+17"/>
    <s v="11AI"/>
    <s v="SA11AI_286626080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3"/>
    <n v="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101493058"/>
    <m/>
    <m/>
    <m/>
    <s v="F3X"/>
    <n v="4.1215202019740099E+18"/>
    <s v="t"/>
    <s v="CONTRIBUTION TO ACTBLUE"/>
    <n v="2020"/>
    <s v="SA"/>
    <m/>
    <n v="4.0112202120797501E+18"/>
    <s v="https://docquery.fec.gov/cgi-bin/fecimg/?202012119370294857"/>
    <s v="Contributions From Individuals/Persons Other Than Political Committees"/>
  </r>
  <r>
    <s v="C00401224"/>
    <x v="3"/>
    <n v="2020"/>
    <s v="M9"/>
    <n v="2.0201211937029402E+17"/>
    <s v="11AI"/>
    <s v="SA11AI_286626591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3"/>
    <n v="50"/>
    <n v="1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209131945"/>
    <m/>
    <m/>
    <m/>
    <s v="F3X"/>
    <n v="4.1215202019740099E+18"/>
    <s v="t"/>
    <s v="EARMARKED FOR PROGRESSIVE TAKEOVER (C00659599)"/>
    <n v="2020"/>
    <s v="SA"/>
    <m/>
    <n v="4.0112202120797501E+18"/>
    <s v="https://docquery.fec.gov/cgi-bin/fecimg/?202012119370294860"/>
    <s v="Contributions From Individuals/Persons Other Than Political Committees"/>
  </r>
  <r>
    <s v="C00401224"/>
    <x v="3"/>
    <n v="2020"/>
    <s v="M9"/>
    <n v="2.0201211937029402E+17"/>
    <s v="11AI"/>
    <s v="SA11AI_286636001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3"/>
    <n v="50"/>
    <n v="1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160995374"/>
    <m/>
    <m/>
    <m/>
    <s v="F3X"/>
    <n v="4.1215202019740099E+18"/>
    <s v="t"/>
    <s v="EARMARKED FOR DEMOCRATIC NATIONAL COMMITTEE (C00010603)"/>
    <n v="2020"/>
    <s v="SA"/>
    <m/>
    <n v="4.0112202120797501E+18"/>
    <s v="https://docquery.fec.gov/cgi-bin/fecimg/?202012119370294859"/>
    <s v="Contributions From Individuals/Persons Other Than Political Committees"/>
  </r>
  <r>
    <s v="C00401224"/>
    <x v="3"/>
    <n v="2020"/>
    <s v="M9"/>
    <n v="2.0201211937029402E+17"/>
    <s v="11AI"/>
    <s v="SA11AI_286627473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73"/>
    <n v="25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209178242"/>
    <m/>
    <m/>
    <m/>
    <s v="F3X"/>
    <n v="4.1215202019740099E+18"/>
    <s v="t"/>
    <s v="EARMARKED FOR BIDEN FOR PRESIDENT (C00703975)"/>
    <n v="2020"/>
    <s v="SA"/>
    <m/>
    <n v="4.0112202120797501E+18"/>
    <s v="https://docquery.fec.gov/cgi-bin/fecimg/?202012119370294858"/>
    <s v="Contributions From Individuals/Persons Other Than Political Committees"/>
  </r>
  <r>
    <s v="C00401224"/>
    <x v="3"/>
    <n v="2020"/>
    <s v="M9"/>
    <n v="2.0201211937029402E+17"/>
    <s v="11AI"/>
    <s v="SA11AI_286627491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3"/>
    <n v="2.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209212963"/>
    <m/>
    <m/>
    <m/>
    <s v="F3X"/>
    <n v="4.1215202019740099E+18"/>
    <s v="t"/>
    <s v="CONTRIBUTION TO ACTBLUE"/>
    <n v="2020"/>
    <s v="SA"/>
    <m/>
    <n v="4.0112202120797501E+18"/>
    <s v="https://docquery.fec.gov/cgi-bin/fecimg/?202012119370294857"/>
    <s v="Contributions From Individuals/Persons Other Than Political Committees"/>
  </r>
  <r>
    <s v="C00401224"/>
    <x v="3"/>
    <n v="2020"/>
    <s v="M9"/>
    <n v="2.0201211937029402E+17"/>
    <s v="11AI"/>
    <s v="SA11AI_286636021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3"/>
    <n v="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18209756943"/>
    <m/>
    <m/>
    <m/>
    <s v="F3X"/>
    <n v="4.1215202019740099E+18"/>
    <s v="t"/>
    <s v="CONTRIBUTION TO ACTBLUE"/>
    <n v="2020"/>
    <s v="SA"/>
    <m/>
    <n v="4.0112202120797501E+18"/>
    <s v="https://docquery.fec.gov/cgi-bin/fecimg/?202012119370294861"/>
    <s v="Contributions From Individuals/Persons Other Than Political Committees"/>
  </r>
  <r>
    <s v="C00401224"/>
    <x v="3"/>
    <n v="2020"/>
    <s v="M9"/>
    <n v="2.0201211937029402E+17"/>
    <s v="11AI"/>
    <s v="SA11AI_277386196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56"/>
    <n v="100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27937939814"/>
    <m/>
    <m/>
    <m/>
    <s v="F3X"/>
    <n v="4.1215202019740099E+18"/>
    <s v="t"/>
    <s v="EARMARKED FOR BIDEN FOR PRESIDENT (C00703975)"/>
    <n v="2020"/>
    <s v="SA"/>
    <m/>
    <n v="4.0112202120723599E+18"/>
    <s v="https://docquery.fec.gov/cgi-bin/fecimg/?202012119370294835"/>
    <s v="Contributions From Individuals/Persons Other Than Political Committees"/>
  </r>
  <r>
    <s v="C00401224"/>
    <x v="3"/>
    <n v="2020"/>
    <s v="M9"/>
    <n v="2.0201211937029402E+17"/>
    <s v="11AI"/>
    <s v="SA11AI_277386246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6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2802929398"/>
    <m/>
    <m/>
    <m/>
    <s v="F3X"/>
    <n v="4.1215202019740099E+18"/>
    <s v="t"/>
    <s v="CONTRIBUTION TO ACTBLUE"/>
    <n v="2020"/>
    <s v="SA"/>
    <m/>
    <n v="4.0112202120723702E+18"/>
    <s v="https://docquery.fec.gov/cgi-bin/fecimg/?202012119370294834"/>
    <s v="Contributions From Individuals/Persons Other Than Political Committees"/>
  </r>
  <r>
    <s v="C00401224"/>
    <x v="3"/>
    <n v="2020"/>
    <s v="M9"/>
    <n v="2.0201211937029402E+17"/>
    <s v="11AI"/>
    <s v="SA11AI_285463492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1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33162337962"/>
    <m/>
    <m/>
    <m/>
    <s v="F3X"/>
    <n v="4.1215202019740099E+18"/>
    <s v="t"/>
    <s v="CONTRIBUTION TO ACTBLUE"/>
    <n v="2020"/>
    <s v="SA"/>
    <m/>
    <n v="4.0112202120789898E+18"/>
    <s v="https://docquery.fec.gov/cgi-bin/fecimg/?202012119370294854"/>
    <s v="Contributions From Individuals/Persons Other Than Political Committees"/>
  </r>
  <r>
    <s v="C00401224"/>
    <x v="3"/>
    <n v="2020"/>
    <s v="M9"/>
    <n v="2.0201211937029402E+17"/>
    <s v="11AI"/>
    <s v="SA11AI_275387392"/>
    <n v="1482644"/>
    <m/>
    <s v="IND"/>
    <s v="INDIVIDUAL"/>
    <s v="C00213512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213512"/>
    <s v="24T"/>
    <s v="EARMARKED INTERMEDIARY TREASURY OUT"/>
    <s v="EARMARK"/>
    <m/>
    <m/>
    <n v="44053"/>
    <n v="100"/>
    <n v="748.5"/>
    <s v="H8CA05035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015923611"/>
    <m/>
    <m/>
    <m/>
    <s v="F3X"/>
    <n v="4.1215202019740099E+18"/>
    <s v="t"/>
    <s v="EARMARKED FOR NANCY PELOSI FOR CONGRESS (C00213512)"/>
    <n v="2020"/>
    <s v="SA"/>
    <m/>
    <n v="4.0112202120707302E+18"/>
    <s v="https://docquery.fec.gov/cgi-bin/fecimg/?202012119370294824"/>
    <s v="Contributions From Individuals/Persons Other Than Political Committees"/>
  </r>
  <r>
    <s v="C00401224"/>
    <x v="3"/>
    <n v="2020"/>
    <s v="M9"/>
    <n v="2.0201211937029402E+17"/>
    <s v="11AI"/>
    <s v="SA11AI_275387407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3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0159282407"/>
    <m/>
    <m/>
    <m/>
    <s v="F3X"/>
    <n v="4.1215202019740099E+18"/>
    <s v="t"/>
    <s v="CONTRIBUTION TO ACTBLUE"/>
    <n v="2020"/>
    <s v="SA"/>
    <m/>
    <n v="4.0112202120707302E+18"/>
    <s v="https://docquery.fec.gov/cgi-bin/fecimg/?202012119370294824"/>
    <s v="Contributions From Individuals/Persons Other Than Political Committees"/>
  </r>
  <r>
    <s v="C00401224"/>
    <x v="3"/>
    <n v="2020"/>
    <s v="M9"/>
    <n v="2.0201211937029402E+17"/>
    <s v="11AI"/>
    <s v="SA11AI_273444466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48"/>
    <n v="2.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4584837962"/>
    <m/>
    <m/>
    <m/>
    <s v="F3X"/>
    <n v="4.1215202019740099E+18"/>
    <s v="t"/>
    <s v="CONTRIBUTION TO ACTBLUE"/>
    <n v="2020"/>
    <s v="SA"/>
    <m/>
    <n v="4.01122021206927E+18"/>
    <s v="https://docquery.fec.gov/cgi-bin/fecimg/?202012119370294817"/>
    <s v="Contributions From Individuals/Persons Other Than Political Committees"/>
  </r>
  <r>
    <s v="C00401224"/>
    <x v="3"/>
    <n v="2020"/>
    <s v="M9"/>
    <n v="2.0201211937029402E+17"/>
    <s v="11AI"/>
    <s v="SA11AI_273444467"/>
    <n v="1482644"/>
    <m/>
    <s v="IND"/>
    <s v="INDIVIDUAL"/>
    <s v="C0000093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000935"/>
    <s v="24T"/>
    <s v="EARMARKED INTERMEDIARY TREASURY OUT"/>
    <s v="EARMARK"/>
    <m/>
    <m/>
    <n v="44048"/>
    <n v="25"/>
    <n v="8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4584837962"/>
    <m/>
    <m/>
    <m/>
    <s v="F3X"/>
    <n v="4.1215202019740099E+18"/>
    <s v="t"/>
    <s v="EARMARKED FOR DCCC (C00000935)"/>
    <n v="2020"/>
    <s v="SA"/>
    <m/>
    <n v="4.01122021206927E+18"/>
    <s v="https://docquery.fec.gov/cgi-bin/fecimg/?202012119370294818"/>
    <s v="Contributions From Individuals/Persons Other Than Political Committees"/>
  </r>
  <r>
    <s v="C00401224"/>
    <x v="3"/>
    <n v="2020"/>
    <s v="M9"/>
    <n v="2.0201211937029402E+17"/>
    <s v="11AI"/>
    <s v="SA11AI_285462804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1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571133102"/>
    <m/>
    <m/>
    <m/>
    <s v="F3X"/>
    <n v="4.1215202019740099E+18"/>
    <s v="t"/>
    <s v="CONTRIBUTION TO ACTBLUE"/>
    <n v="2020"/>
    <s v="SA"/>
    <m/>
    <n v="4.0112202120790098E+18"/>
    <s v="https://docquery.fec.gov/cgi-bin/fecimg/?202012119370294855"/>
    <s v="Contributions From Individuals/Persons Other Than Political Committees"/>
  </r>
  <r>
    <s v="C00401224"/>
    <x v="3"/>
    <n v="2020"/>
    <s v="M9"/>
    <n v="2.0201211937029402E+17"/>
    <s v="11AI"/>
    <s v="SA11AI_285462768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1"/>
    <n v="100"/>
    <n v="1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565991898"/>
    <m/>
    <m/>
    <m/>
    <s v="F3X"/>
    <n v="4.1215202019740099E+18"/>
    <s v="t"/>
    <s v="EARMARKED FOR DEMOCRATIC NATIONAL COMMITTEE (C00010603)"/>
    <n v="2020"/>
    <s v="SA"/>
    <m/>
    <n v="4.0112202120790098E+18"/>
    <s v="https://docquery.fec.gov/cgi-bin/fecimg/?202012119370294855"/>
    <s v="Contributions From Individuals/Persons Other Than Political Committees"/>
  </r>
  <r>
    <s v="C00401224"/>
    <x v="3"/>
    <n v="2020"/>
    <s v="M9"/>
    <n v="2.0201211937029402E+17"/>
    <s v="11AI"/>
    <s v="SA11AI_276210377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54"/>
    <n v="100"/>
    <n v="1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5724618054"/>
    <m/>
    <m/>
    <m/>
    <s v="F3X"/>
    <n v="4.1215202019740099E+18"/>
    <s v="t"/>
    <s v="EARMARKED FOR BIDEN VICTORY FUND (C00744946)"/>
    <n v="2020"/>
    <s v="SA"/>
    <m/>
    <n v="4.0112202120714102E+18"/>
    <s v="https://docquery.fec.gov/cgi-bin/fecimg/?202012119370294829"/>
    <s v="Contributions From Individuals/Persons Other Than Political Committees"/>
  </r>
  <r>
    <s v="C00401224"/>
    <x v="3"/>
    <n v="2020"/>
    <s v="M9"/>
    <n v="2.0201211937029402E+17"/>
    <s v="11AI"/>
    <s v="SA11AI_276210408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4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5751874999"/>
    <m/>
    <m/>
    <m/>
    <s v="F3X"/>
    <n v="4.1215202019740099E+18"/>
    <s v="t"/>
    <s v="CONTRIBUTION TO ACTBLUE"/>
    <n v="2020"/>
    <s v="SA"/>
    <m/>
    <n v="4.0112202120714102E+18"/>
    <s v="https://docquery.fec.gov/cgi-bin/fecimg/?202012119370294826"/>
    <s v="Contributions From Individuals/Persons Other Than Political Committees"/>
  </r>
  <r>
    <s v="C00401224"/>
    <x v="3"/>
    <n v="2020"/>
    <s v="M9"/>
    <n v="2.0201211937029402E+17"/>
    <s v="11AI"/>
    <s v="SA11AI_285463451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71"/>
    <n v="100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5738923612"/>
    <m/>
    <m/>
    <m/>
    <s v="F3X"/>
    <n v="4.1215202019740099E+18"/>
    <s v="t"/>
    <s v="EARMARKED FOR BIDEN FOR PRESIDENT (C00703975)"/>
    <n v="2020"/>
    <s v="SA"/>
    <m/>
    <n v="4.0112202120790098E+18"/>
    <s v="https://docquery.fec.gov/cgi-bin/fecimg/?202012119370294855"/>
    <s v="Contributions From Individuals/Persons Other Than Political Committees"/>
  </r>
  <r>
    <s v="C00401224"/>
    <x v="3"/>
    <n v="2020"/>
    <s v="M9"/>
    <n v="2.0201211937029402E+17"/>
    <s v="11AI"/>
    <s v="SA11AI_285432588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1"/>
    <n v="25"/>
    <n v="17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6915162036"/>
    <m/>
    <m/>
    <m/>
    <s v="F3X"/>
    <n v="4.1215202019740099E+18"/>
    <s v="t"/>
    <s v="EARMARKED FOR SAVE AMERICA FUND (C00732172)"/>
    <n v="2020"/>
    <s v="SA"/>
    <m/>
    <n v="4.0112202120790799E+18"/>
    <s v="https://docquery.fec.gov/cgi-bin/fecimg/?202012119370294854"/>
    <s v="Contributions From Individuals/Persons Other Than Political Committees"/>
  </r>
  <r>
    <s v="C00401224"/>
    <x v="3"/>
    <n v="2020"/>
    <s v="M9"/>
    <n v="2.0201211937029402E+17"/>
    <s v="11AI"/>
    <s v="SA11AI_285432606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1"/>
    <n v="2.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6940995367"/>
    <m/>
    <m/>
    <m/>
    <s v="F3X"/>
    <n v="4.1215202019740099E+18"/>
    <s v="t"/>
    <s v="CONTRIBUTION TO ACTBLUE"/>
    <n v="2020"/>
    <s v="SA"/>
    <m/>
    <n v="4.0112202120790799E+18"/>
    <s v="https://docquery.fec.gov/cgi-bin/fecimg/?202012119370294854"/>
    <s v="Contributions From Individuals/Persons Other Than Political Committees"/>
  </r>
  <r>
    <s v="C00401224"/>
    <x v="3"/>
    <n v="2020"/>
    <s v="M9"/>
    <n v="2.0201211937029402E+17"/>
    <s v="11AI"/>
    <s v="SA11AI_277181964"/>
    <n v="1482644"/>
    <m/>
    <s v="IND"/>
    <s v="INDIVIDUAL"/>
    <s v="C00632398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632398"/>
    <s v="24T"/>
    <s v="EARMARKED INTERMEDIARY TREASURY OUT"/>
    <s v="EARMARK"/>
    <m/>
    <m/>
    <n v="44056"/>
    <n v="103"/>
    <n v="308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7085486114"/>
    <m/>
    <m/>
    <m/>
    <s v="F3X"/>
    <n v="4.1215202019740099E+18"/>
    <s v="t"/>
    <s v="EARMARKED FOR LET AMERICA VOTE PAC (C00632398)"/>
    <n v="2020"/>
    <s v="SA"/>
    <m/>
    <n v="4.01122021207217E+18"/>
    <s v="https://docquery.fec.gov/cgi-bin/fecimg/?202012119370294834"/>
    <s v="Contributions From Individuals/Persons Other Than Political Committees"/>
  </r>
  <r>
    <s v="C00401224"/>
    <x v="3"/>
    <n v="2020"/>
    <s v="M9"/>
    <n v="2.0201211937029402E+17"/>
    <s v="11AI"/>
    <s v="SA11AI_277181987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6"/>
    <n v="10.3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7113888891"/>
    <m/>
    <m/>
    <m/>
    <s v="F3X"/>
    <n v="4.1215202019740099E+18"/>
    <s v="t"/>
    <s v="CONTRIBUTION TO ACTBLUE"/>
    <n v="2020"/>
    <s v="SA"/>
    <m/>
    <n v="4.01122021207217E+18"/>
    <s v="https://docquery.fec.gov/cgi-bin/fecimg/?202012119370294833"/>
    <s v="Contributions From Individuals/Persons Other Than Political Committees"/>
  </r>
  <r>
    <s v="C00401224"/>
    <x v="3"/>
    <n v="2020"/>
    <s v="M9"/>
    <n v="2.0201211937029402E+17"/>
    <s v="11AI"/>
    <s v="SA11AI_283737303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68"/>
    <n v="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7760925927"/>
    <m/>
    <m/>
    <m/>
    <s v="F3X"/>
    <n v="4.1215202019740099E+18"/>
    <s v="t"/>
    <s v="CONTRIBUTION TO ACTBLUE"/>
    <n v="2020"/>
    <s v="SA"/>
    <m/>
    <n v="4.0112202120776499E+18"/>
    <s v="https://docquery.fec.gov/cgi-bin/fecimg/?202012119370294849"/>
    <s v="Contributions From Individuals/Persons Other Than Political Committees"/>
  </r>
  <r>
    <s v="C00401224"/>
    <x v="3"/>
    <n v="2020"/>
    <s v="M9"/>
    <n v="2.0201211937029402E+17"/>
    <s v="11AI"/>
    <s v="SA11AI_276639765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55"/>
    <n v="100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8375439817"/>
    <m/>
    <m/>
    <m/>
    <s v="F3X"/>
    <n v="4.1215202019740099E+18"/>
    <s v="t"/>
    <s v="EARMARKED FOR BIDEN FOR PRESIDENT (C00703975)"/>
    <n v="2020"/>
    <s v="SA"/>
    <m/>
    <n v="4.01122021207185E+18"/>
    <s v="https://docquery.fec.gov/cgi-bin/fecimg/?202012119370294831"/>
    <s v="Contributions From Individuals/Persons Other Than Political Committees"/>
  </r>
  <r>
    <s v="C00401224"/>
    <x v="3"/>
    <n v="2020"/>
    <s v="M9"/>
    <n v="2.0201211937029402E+17"/>
    <s v="11AI"/>
    <s v="SA11AI_276639802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55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48450983793"/>
    <m/>
    <m/>
    <m/>
    <s v="F3X"/>
    <n v="4.1215202019740099E+18"/>
    <s v="t"/>
    <s v="CONTRIBUTION TO ACTBLUE"/>
    <n v="2020"/>
    <s v="SA"/>
    <m/>
    <n v="4.01122021207185E+18"/>
    <s v="https://docquery.fec.gov/cgi-bin/fecimg/?202012119370294832"/>
    <s v="Contributions From Individuals/Persons Other Than Political Committees"/>
  </r>
  <r>
    <s v="C00401224"/>
    <x v="3"/>
    <n v="2020"/>
    <s v="M9"/>
    <n v="2.0201211937029402E+17"/>
    <s v="11AI"/>
    <s v="SA11AI_286626624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3"/>
    <n v="5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51216631947"/>
    <m/>
    <m/>
    <m/>
    <s v="F3X"/>
    <n v="4.1215202019740099E+18"/>
    <s v="t"/>
    <s v="CONTRIBUTION TO ACTBLUE"/>
    <n v="2020"/>
    <s v="SA"/>
    <m/>
    <n v="4.0112202120797302E+18"/>
    <s v="https://docquery.fec.gov/cgi-bin/fecimg/?202012119370294858"/>
    <s v="Contributions From Individuals/Persons Other Than Political Committees"/>
  </r>
  <r>
    <s v="C00401224"/>
    <x v="3"/>
    <n v="2020"/>
    <s v="M9"/>
    <n v="2.0201211937029402E+17"/>
    <s v="11AI"/>
    <s v="SA11AI_286627188"/>
    <n v="1482644"/>
    <m/>
    <s v="IND"/>
    <s v="INDIVIDUAL"/>
    <s v="C00703975"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s v="C00703975"/>
    <s v="24T"/>
    <s v="EARMARKED INTERMEDIARY TREASURY OUT"/>
    <s v="EARMARK"/>
    <m/>
    <m/>
    <n v="44073"/>
    <n v="100"/>
    <n v="1125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51350902775"/>
    <m/>
    <m/>
    <m/>
    <s v="F3X"/>
    <n v="4.1215202019740099E+18"/>
    <s v="t"/>
    <s v="EARMARKED FOR BIDEN FOR PRESIDENT (C00703975)"/>
    <n v="2020"/>
    <s v="SA"/>
    <m/>
    <n v="4.0112202120797302E+18"/>
    <s v="https://docquery.fec.gov/cgi-bin/fecimg/?202012119370294856"/>
    <s v="Contributions From Individuals/Persons Other Than Political Committees"/>
  </r>
  <r>
    <s v="C00401224"/>
    <x v="3"/>
    <n v="2020"/>
    <s v="M9"/>
    <n v="2.0201211937029402E+17"/>
    <s v="11AI"/>
    <s v="SA11AI_286627215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n v="15"/>
    <s v="CONTRIBUTION"/>
    <s v="CONTRIBUTION TO ACT BLUE"/>
    <m/>
    <m/>
    <n v="44073"/>
    <n v="10"/>
    <n v="450.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51372060183"/>
    <m/>
    <m/>
    <m/>
    <s v="F3X"/>
    <n v="4.1215202019740099E+18"/>
    <s v="t"/>
    <s v="CONTRIBUTION TO ACTBLUE"/>
    <n v="2020"/>
    <s v="SA"/>
    <m/>
    <n v="4.0112202120797399E+18"/>
    <s v="https://docquery.fec.gov/cgi-bin/fecimg/?202012119370294859"/>
    <s v="Contributions From Individuals/Persons Other Than Political Committees"/>
  </r>
  <r>
    <s v="C00401224"/>
    <x v="3"/>
    <n v="2020"/>
    <s v="M9"/>
    <n v="2.0201211937029402E+17"/>
    <s v="11AI"/>
    <s v="SA11AI_286626052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73"/>
    <n v="50"/>
    <n v="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51614224534"/>
    <m/>
    <m/>
    <m/>
    <s v="F3X"/>
    <n v="4.1215202019740099E+18"/>
    <s v="t"/>
    <s v="EARMARKED FOR HOLD THE HOUSE FRONTLINE FUND (C00708909)"/>
    <n v="2020"/>
    <s v="SA"/>
    <m/>
    <n v="4.0112202120797501E+18"/>
    <s v="https://docquery.fec.gov/cgi-bin/fecimg/?202012119370294857"/>
    <s v="Contributions From Individuals/Persons Other Than Political Committees"/>
  </r>
  <r>
    <s v="C00401224"/>
    <x v="3"/>
    <n v="2020"/>
    <s v="M9"/>
    <n v="2.0201211937029402E+17"/>
    <s v="11AI"/>
    <s v="SA11AI_283737280"/>
    <n v="1482644"/>
    <m/>
    <s v="IND"/>
    <s v="INDIVIDUAL"/>
    <m/>
    <m/>
    <s v="TAYLOR, DIANA"/>
    <s v="V"/>
    <m/>
    <s v="U"/>
    <s v="DIANA"/>
    <m/>
    <s v="TAYLOR"/>
    <m/>
    <s v="75 CAMBRIDGE PARKWAY"/>
    <m/>
    <s v="CAMBRIDGE"/>
    <s v="MA"/>
    <n v="2142"/>
    <s v="NOT EMPLOYED"/>
    <s v="NOT EMPLOYED"/>
    <m/>
    <m/>
    <m/>
    <s v="EARMARK"/>
    <m/>
    <m/>
    <n v="44068"/>
    <n v="50"/>
    <n v="1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4209.462397175928"/>
    <m/>
    <m/>
    <m/>
    <s v="F3X"/>
    <n v="4.1215202019740099E+18"/>
    <s v="t"/>
    <s v="EARMARKED FOR PROGRESSIVE TAKEOVER (C00659599)"/>
    <n v="2020"/>
    <s v="SA"/>
    <m/>
    <n v="4.0112202120776499E+18"/>
    <s v="https://docquery.fec.gov/cgi-bin/fecimg/?202012119370294848"/>
    <s v="Contributions From Individuals/Persons Other Than Political Committees"/>
  </r>
  <r>
    <s v="C00000935"/>
    <x v="15"/>
    <n v="2020"/>
    <s v="M8"/>
    <n v="2.0210329944235101E+17"/>
    <s v="11AI"/>
    <n v="30160286"/>
    <n v="1506572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017"/>
    <n v="25"/>
    <n v="5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30370868056"/>
    <m/>
    <s v="30160286E"/>
    <s v="SA11AI"/>
    <s v="F3X"/>
    <n v="4.0330202112703201E+18"/>
    <s v="t"/>
    <s v="* EARMARKED CONTRIBUTION: SEE BELOW EARMARKED THROUGH ACTBLUE"/>
    <n v="2020"/>
    <s v="SA"/>
    <m/>
    <n v="4.0401202112719601E+18"/>
    <s v="https://docquery.fec.gov/cgi-bin/fecimg/?202103299442351060"/>
    <s v="Contributions From Individuals/Persons Other Than Political Committees"/>
  </r>
  <r>
    <s v="C00000935"/>
    <x v="15"/>
    <n v="2020"/>
    <s v="M6"/>
    <n v="2.0210324944208198E+17"/>
    <s v="11AI"/>
    <n v="29492489"/>
    <n v="1506190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3956"/>
    <n v="25"/>
    <n v="3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1.295124837961"/>
    <m/>
    <m/>
    <m/>
    <s v="F3X"/>
    <n v="4.0325202112685701E+18"/>
    <s v="t"/>
    <s v="* EARMARKED CONTRIBUTION THROUGH ACTBLUE PAC ON 05/05/2020"/>
    <n v="2020"/>
    <s v="SA"/>
    <m/>
    <n v="4.0326202112688502E+18"/>
    <s v="https://docquery.fec.gov/cgi-bin/fecimg/?202103249442082322"/>
    <s v="Contributions From Individuals/Persons Other Than Political Committees"/>
  </r>
  <r>
    <s v="C00000935"/>
    <x v="15"/>
    <n v="2020"/>
    <s v="M6"/>
    <n v="2.0210324944208198E+17"/>
    <s v="11AI"/>
    <n v="29571053"/>
    <n v="1506190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3968"/>
    <n v="100"/>
    <n v="4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1.295124837961"/>
    <m/>
    <m/>
    <m/>
    <s v="F3X"/>
    <n v="4.0325202112685701E+18"/>
    <s v="t"/>
    <s v="* EARMARKED CONTRIBUTION THROUGH ACTBLUE PAC ON 05/17/2020"/>
    <n v="2020"/>
    <s v="SA"/>
    <m/>
    <n v="4.0326202112688502E+18"/>
    <s v="https://docquery.fec.gov/cgi-bin/fecimg/?202103249442082323"/>
    <s v="Contributions From Individuals/Persons Other Than Political Committees"/>
  </r>
  <r>
    <s v="C00000935"/>
    <x v="15"/>
    <n v="2020"/>
    <s v="M8"/>
    <n v="2.0210329944235101E+17"/>
    <s v="11AI"/>
    <n v="30311195"/>
    <n v="1506572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027"/>
    <n v="100"/>
    <n v="6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3037099537"/>
    <m/>
    <s v="30311195E"/>
    <s v="SA11AI"/>
    <s v="F3X"/>
    <n v="4.0330202112703201E+18"/>
    <s v="t"/>
    <s v="* EARMARKED CONTRIBUTION: SEE BELOW EARMARKED THROUGH ACTBLUE"/>
    <n v="2020"/>
    <s v="SA"/>
    <m/>
    <n v="4.0401202112719601E+18"/>
    <s v="https://docquery.fec.gov/cgi-bin/fecimg/?202103299442351061"/>
    <s v="Contributions From Individuals/Persons Other Than Political Committees"/>
  </r>
  <r>
    <s v="C00000935"/>
    <x v="15"/>
    <n v="2020"/>
    <s v="M7"/>
    <n v="2.0210329944230202E+17"/>
    <s v="11AI"/>
    <n v="29817985"/>
    <n v="1506566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3989"/>
    <n v="25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40669282408"/>
    <m/>
    <s v="29817985E"/>
    <s v="SA11AI"/>
    <s v="F3X"/>
    <n v="4.0330202112703201E+18"/>
    <s v="t"/>
    <s v="* EARMARKED CONTRIBUTION: SEE BELOW EARMARKED THROUGH ACTBLUE"/>
    <n v="2020"/>
    <s v="SA"/>
    <m/>
    <n v="4.0401202112717199E+18"/>
    <s v="https://docquery.fec.gov/cgi-bin/fecimg/?202103299442302842"/>
    <s v="Contributions From Individuals/Persons Other Than Political Committees"/>
  </r>
  <r>
    <s v="C00000935"/>
    <x v="15"/>
    <n v="2020"/>
    <s v="M7"/>
    <n v="2.0210329944230202E+17"/>
    <s v="11AI"/>
    <n v="29869444"/>
    <n v="1506566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3997"/>
    <n v="10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40669282408"/>
    <m/>
    <s v="29869444E"/>
    <s v="SA11AI"/>
    <s v="F3X"/>
    <n v="4.0330202112703201E+18"/>
    <s v="t"/>
    <s v="* EARMARKED CONTRIBUTION: SEE BELOW EARMARKED THROUGH ACTBLUE"/>
    <n v="2020"/>
    <s v="SA"/>
    <m/>
    <n v="4.0401202112717199E+18"/>
    <s v="https://docquery.fec.gov/cgi-bin/fecimg/?202103299442302843"/>
    <s v="Contributions From Individuals/Persons Other Than Political Committees"/>
  </r>
  <r>
    <s v="C00000935"/>
    <x v="15"/>
    <n v="2020"/>
    <s v="M9"/>
    <n v="2.02103299442604E+17"/>
    <s v="11AI"/>
    <n v="30647019"/>
    <n v="1506587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048"/>
    <n v="25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4783"/>
    <m/>
    <s v="30647019E"/>
    <s v="SA11AI"/>
    <s v="F3X"/>
    <n v="4.0330202112703201E+18"/>
    <s v="t"/>
    <s v="* EARMARKED CONTRIBUTION: SEE BELOW EARMARKED THROUGH ACTBLUE"/>
    <n v="2020"/>
    <s v="SA"/>
    <m/>
    <n v="4.04012021127341E+18"/>
    <s v="https://docquery.fec.gov/cgi-bin/fecimg/?202103299442604967"/>
    <s v="Contributions From Individuals/Persons Other Than Political Committees"/>
  </r>
  <r>
    <s v="C00000935"/>
    <x v="15"/>
    <n v="2020"/>
    <s v="M9"/>
    <n v="2.02103299442604E+17"/>
    <s v="11AI"/>
    <n v="30829031"/>
    <n v="1506587"/>
    <m/>
    <s v="IND"/>
    <s v="INDIVIDUAL"/>
    <m/>
    <m/>
    <s v="TAYLOR, DIANA"/>
    <s v="Y"/>
    <m/>
    <s v="U"/>
    <s v="DIANA"/>
    <m/>
    <s v="TAYLOR"/>
    <m/>
    <s v="75 CAMBRIDGE PKWY"/>
    <m/>
    <s v="CAMBRIDGE"/>
    <s v="MA"/>
    <n v="21421229"/>
    <s v="N/A"/>
    <s v="NOT EMPLOYED"/>
    <m/>
    <s v="15E"/>
    <s v="EARMARKED CONTRIBUTION"/>
    <m/>
    <m/>
    <m/>
    <n v="44059"/>
    <n v="10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87.24783"/>
    <m/>
    <s v="30829031E"/>
    <s v="SA11AI"/>
    <s v="F3X"/>
    <n v="4.0330202112703201E+18"/>
    <s v="t"/>
    <s v="* EARMARKED CONTRIBUTION: SEE BELOW EARMARKED THROUGH ACTBLUE"/>
    <n v="2020"/>
    <s v="SA"/>
    <m/>
    <n v="4.04012021127341E+18"/>
    <s v="https://docquery.fec.gov/cgi-bin/fecimg/?202103299442604969"/>
    <s v="Contributions From Individuals/Persons Other Than Political Committee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">
  <r>
    <s v="C00744946"/>
    <x v="0"/>
    <n v="2020"/>
    <s v="12G"/>
    <n v="2.02103089440336E+17"/>
    <s v="11AI"/>
    <n v="20405806"/>
    <n v="1503262"/>
    <m/>
    <s v="IND"/>
    <s v="INDIVIDUAL"/>
    <m/>
    <m/>
    <s v="WRIGHT, DEBORAH"/>
    <s v="N"/>
    <m/>
    <s v="J"/>
    <s v="DEBORAH"/>
    <m/>
    <s v="WRIGHT"/>
    <m/>
    <s v="285 W 110TH ST"/>
    <m/>
    <s v="NEW YORK"/>
    <s v="NY"/>
    <n v="100264299"/>
    <s v="CITIGROUP"/>
    <s v="BOARD MEMBER"/>
    <m/>
    <n v="15"/>
    <s v="CONTRIBUTION"/>
    <m/>
    <m/>
    <m/>
    <n v="44111"/>
    <n v="14.56"/>
    <n v="932.3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329.167173715279"/>
    <m/>
    <m/>
    <m/>
    <s v="F3X"/>
    <n v="4.0309202112269302E+18"/>
    <s v="t"/>
    <m/>
    <n v="2020"/>
    <s v="SA"/>
    <m/>
    <n v="4.03092021123906E+18"/>
    <s v="https://docquery.fec.gov/cgi-bin/fecimg/?202103089440336576"/>
    <s v="Contributions From Individuals/Persons Other Than Political Committees"/>
  </r>
  <r>
    <s v="C00703975"/>
    <x v="1"/>
    <n v="2020"/>
    <m/>
    <n v="2.0201021932673299E+17"/>
    <n v="18"/>
    <n v="21887143"/>
    <n v="1458940"/>
    <m/>
    <s v="IND"/>
    <s v="INDIVIDUAL"/>
    <m/>
    <m/>
    <s v="WRIGHT, DEBORAH"/>
    <s v="P"/>
    <m/>
    <s v="P"/>
    <s v="DEBORAH"/>
    <m/>
    <s v="WRIGHT"/>
    <m/>
    <s v="285 W 110TH ST"/>
    <s v="APT 7F"/>
    <s v="NEW YORK"/>
    <s v="NY"/>
    <n v="100264299"/>
    <s v="CITIGROUP"/>
    <s v="BOARD MEMBER"/>
    <m/>
    <s v="15J"/>
    <s v="MEMO (FILER'S % OF CONTRIBUTION GIVEN TO JOIN"/>
    <m/>
    <s v="X"/>
    <m/>
    <n v="44089"/>
    <n v="250"/>
    <n v="917.83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40.217213587966"/>
    <m/>
    <n v="20811179"/>
    <s v="SA18"/>
    <s v="F3P"/>
    <n v="4.1022202018826598E+18"/>
    <s v="t"/>
    <s v="* BIDEN VICTORY FUND"/>
    <n v="2020"/>
    <s v="SA"/>
    <m/>
    <n v="4.1023202018853898E+18"/>
    <s v="http://docquery.fec.gov/cgi-bin/fecimg/?202010219326733310"/>
    <s v="Transfers From Other Authorized Committees"/>
  </r>
  <r>
    <s v="C00703975"/>
    <x v="1"/>
    <n v="2020"/>
    <s v="12G"/>
    <n v="2.0201022933617101E+17"/>
    <n v="18"/>
    <n v="24798128"/>
    <n v="1463690"/>
    <m/>
    <s v="IND"/>
    <s v="INDIVIDUAL"/>
    <m/>
    <m/>
    <s v="WRIGHT, DEBORAH"/>
    <s v="P"/>
    <m/>
    <s v="P"/>
    <s v="DEBORAH"/>
    <m/>
    <s v="WRIGHT"/>
    <m/>
    <s v="285 W 110TH ST"/>
    <s v="APT 7F"/>
    <s v="NEW YORK"/>
    <s v="NY"/>
    <n v="100264299"/>
    <s v="CITIGROUP"/>
    <s v="BOARD MEMBER"/>
    <m/>
    <s v="15J"/>
    <s v="MEMO (FILER'S % OF CONTRIBUTION GIVEN TO JOIN"/>
    <m/>
    <s v="X"/>
    <m/>
    <n v="44111"/>
    <n v="14.56"/>
    <n v="932.39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32.199978472221"/>
    <m/>
    <n v="20811384"/>
    <s v="SA18"/>
    <s v="F3P"/>
    <n v="4.10242020188542E+18"/>
    <s v="t"/>
    <s v="* BIDEN VICTORY FUND"/>
    <n v="2020"/>
    <s v="SA"/>
    <m/>
    <n v="4.1028202018886502E+18"/>
    <s v="http://docquery.fec.gov/cgi-bin/fecimg/?202010229336171829"/>
    <s v="Transfers From Other Authorized Committees"/>
  </r>
  <r>
    <s v="C00703975"/>
    <x v="1"/>
    <n v="2020"/>
    <m/>
    <n v="2.0201021932662E+17"/>
    <n v="18"/>
    <n v="17056815"/>
    <n v="1458940"/>
    <m/>
    <s v="IND"/>
    <s v="INDIVIDUAL"/>
    <m/>
    <m/>
    <s v="WRIGHT, DEBORAH"/>
    <s v="P"/>
    <m/>
    <s v="P"/>
    <s v="DEBORAH"/>
    <m/>
    <s v="WRIGHT"/>
    <m/>
    <s v="285 W 110TH ST"/>
    <s v="APT 7F"/>
    <s v="NEW YORK"/>
    <s v="NY"/>
    <n v="100264299"/>
    <s v="CITIGROUP"/>
    <s v="BOARD MEMBER"/>
    <m/>
    <s v="15J"/>
    <s v="MEMO (FILER'S % OF CONTRIBUTION GIVEN TO JOIN"/>
    <m/>
    <s v="X"/>
    <m/>
    <n v="44055"/>
    <n v="124.58"/>
    <n v="624.58000000000004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140.244457627312"/>
    <m/>
    <n v="13794280"/>
    <s v="SA18"/>
    <s v="F3P"/>
    <n v="4.1022202018826598E+18"/>
    <s v="t"/>
    <s v="* BIDEN VICTORY FUND"/>
    <n v="2020"/>
    <s v="SA"/>
    <m/>
    <n v="4.1023202018850499E+18"/>
    <s v="http://docquery.fec.gov/cgi-bin/fecimg/?202010219326620824"/>
    <s v="Transfers From Other Authorized Committees"/>
  </r>
  <r>
    <s v="C00703975"/>
    <x v="1"/>
    <n v="2020"/>
    <m/>
    <n v="2.0201021932664E+17"/>
    <n v="18"/>
    <n v="21210207"/>
    <n v="1458940"/>
    <m/>
    <s v="IND"/>
    <s v="INDIVIDUAL"/>
    <m/>
    <m/>
    <s v="WRIGHT, DEBORAH"/>
    <s v="P"/>
    <m/>
    <s v="P"/>
    <s v="DEBORAH"/>
    <m/>
    <s v="WRIGHT"/>
    <m/>
    <s v="285 W 110TH ST"/>
    <s v="APT 7F"/>
    <s v="NEW YORK"/>
    <s v="NY"/>
    <n v="100264299"/>
    <s v="CITIGROUP"/>
    <s v="BOARD MEMBER"/>
    <m/>
    <s v="15J"/>
    <s v="MEMO (FILER'S % OF CONTRIBUTION GIVEN TO JOIN"/>
    <m/>
    <s v="X"/>
    <m/>
    <n v="44066"/>
    <n v="43.25"/>
    <n v="667.83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40.246943923608"/>
    <m/>
    <n v="16969473"/>
    <s v="SA18"/>
    <s v="F3P"/>
    <n v="4.1022202018826598E+18"/>
    <s v="t"/>
    <s v="* BIDEN VICTORY FUND"/>
    <n v="2020"/>
    <s v="SA"/>
    <m/>
    <n v="4.1023202018851098E+18"/>
    <s v="http://docquery.fec.gov/cgi-bin/fecimg/?202010219326640672"/>
    <s v="Transfers From Other Authorized Committees"/>
  </r>
  <r>
    <s v="C00744946"/>
    <x v="0"/>
    <n v="2020"/>
    <s v="Q3"/>
    <n v="2.0210114940458202E+17"/>
    <s v="11AI"/>
    <n v="14967170"/>
    <n v="1487959"/>
    <m/>
    <s v="IND"/>
    <s v="INDIVIDUAL"/>
    <m/>
    <m/>
    <s v="WRIGHT, DEBORAH"/>
    <s v="N"/>
    <m/>
    <s v="J"/>
    <s v="DEBORAH"/>
    <m/>
    <s v="WRIGHT"/>
    <m/>
    <s v="285 W 110TH ST"/>
    <m/>
    <s v="NEW YORK"/>
    <s v="NY"/>
    <n v="100264299"/>
    <s v="CITIGROUP"/>
    <s v="BOARD MEMBER"/>
    <m/>
    <n v="15"/>
    <s v="CONTRIBUTION"/>
    <m/>
    <m/>
    <m/>
    <n v="44089"/>
    <n v="250"/>
    <n v="917.8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31601620374"/>
    <m/>
    <m/>
    <m/>
    <s v="F3X"/>
    <n v="4.0115202120936602E+18"/>
    <s v="t"/>
    <m/>
    <n v="2020"/>
    <s v="SA"/>
    <m/>
    <n v="4.02032021201871E+18"/>
    <s v="https://docquery.fec.gov/cgi-bin/fecimg/?202101149404582160"/>
    <s v="Contributions From Individuals/Persons Other Than Political Committees"/>
  </r>
  <r>
    <s v="C00744946"/>
    <x v="0"/>
    <n v="2020"/>
    <s v="Q3"/>
    <n v="2.0210114940468198E+17"/>
    <s v="11AI"/>
    <n v="7449648"/>
    <n v="1487959"/>
    <m/>
    <s v="IND"/>
    <s v="INDIVIDUAL"/>
    <m/>
    <m/>
    <s v="WRIGHT, DEBORAH"/>
    <s v="N"/>
    <m/>
    <s v="J"/>
    <s v="DEBORAH"/>
    <m/>
    <s v="WRIGHT"/>
    <m/>
    <s v="285 W 110TH ST"/>
    <m/>
    <s v="NEW YORK"/>
    <s v="NY"/>
    <n v="100264299"/>
    <s v="CITIGROUP"/>
    <s v="BOARD MEMBER"/>
    <m/>
    <n v="15"/>
    <s v="CONTRIBUTION"/>
    <m/>
    <m/>
    <m/>
    <n v="44018"/>
    <n v="50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44977303239"/>
    <m/>
    <m/>
    <m/>
    <s v="F3X"/>
    <n v="4.0115202120936602E+18"/>
    <s v="t"/>
    <m/>
    <n v="2020"/>
    <s v="SA"/>
    <m/>
    <n v="4.02032021201901E+18"/>
    <s v="https://docquery.fec.gov/cgi-bin/fecimg/?202101149404682569"/>
    <s v="Contributions From Individuals/Persons Other Than Political Committees"/>
  </r>
  <r>
    <s v="C00744946"/>
    <x v="0"/>
    <n v="2020"/>
    <s v="Q3"/>
    <n v="2.0210114940461402E+17"/>
    <s v="11AI"/>
    <n v="11856823"/>
    <n v="1487959"/>
    <m/>
    <s v="IND"/>
    <s v="INDIVIDUAL"/>
    <m/>
    <m/>
    <s v="WRIGHT, DEBORAH"/>
    <s v="N"/>
    <m/>
    <s v="J"/>
    <s v="DEBORAH"/>
    <m/>
    <s v="WRIGHT"/>
    <m/>
    <s v="285 W 110TH ST"/>
    <m/>
    <s v="NEW YORK"/>
    <s v="NY"/>
    <n v="100264299"/>
    <s v="CITIGROUP"/>
    <s v="BOARD MEMBER"/>
    <m/>
    <n v="15"/>
    <s v="CONTRIBUTION"/>
    <m/>
    <m/>
    <m/>
    <n v="44066"/>
    <n v="43.25"/>
    <n v="667.8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46614675922"/>
    <m/>
    <m/>
    <m/>
    <s v="F3X"/>
    <n v="4.0115202120936602E+18"/>
    <s v="t"/>
    <m/>
    <n v="2020"/>
    <s v="SA"/>
    <m/>
    <n v="4.0203202120188001E+18"/>
    <s v="https://docquery.fec.gov/cgi-bin/fecimg/?202101149404614421"/>
    <s v="Contributions From Individuals/Persons Other Than Political Committees"/>
  </r>
  <r>
    <s v="C00744946"/>
    <x v="0"/>
    <n v="2020"/>
    <s v="Q3"/>
    <n v="2.0210114940466499E+17"/>
    <s v="11AI"/>
    <n v="10238617"/>
    <n v="1487959"/>
    <m/>
    <s v="IND"/>
    <s v="INDIVIDUAL"/>
    <m/>
    <m/>
    <s v="WRIGHT, DEBORAH"/>
    <s v="N"/>
    <m/>
    <s v="J"/>
    <s v="DEBORAH"/>
    <m/>
    <s v="WRIGHT"/>
    <m/>
    <s v="285 W 110TH ST"/>
    <m/>
    <s v="NEW YORK"/>
    <s v="NY"/>
    <n v="100264299"/>
    <s v="CITIGROUP"/>
    <s v="BOARD MEMBER"/>
    <m/>
    <n v="15"/>
    <s v="CONTRIBUTION"/>
    <m/>
    <m/>
    <m/>
    <n v="44055"/>
    <n v="124.58"/>
    <n v="624.580000000000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48311250002"/>
    <m/>
    <m/>
    <m/>
    <s v="F3X"/>
    <n v="4.0115202120936602E+18"/>
    <s v="t"/>
    <m/>
    <n v="2020"/>
    <s v="SA"/>
    <m/>
    <n v="4.0203202120189599E+18"/>
    <s v="https://docquery.fec.gov/cgi-bin/fecimg/?202101149404665219"/>
    <s v="Contributions From Individuals/Persons Other Than Political Committee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">
  <r>
    <s v="C00008474"/>
    <x v="0"/>
    <n v="2019"/>
    <s v="M5"/>
    <n v="2.0191121916606899E+17"/>
    <s v="11AI"/>
    <s v="A2019-841516"/>
    <n v="1364454"/>
    <m/>
    <s v="IND"/>
    <s v="INDIVIDUAL"/>
    <m/>
    <m/>
    <s v="CORBAT, MICHAEL L"/>
    <s v="Q"/>
    <s v="C"/>
    <s v="B"/>
    <s v="MICHAEL"/>
    <s v="L"/>
    <s v="CORBAT"/>
    <m/>
    <s v="388 GREENWICH STREET"/>
    <m/>
    <s v="NEW YORK"/>
    <s v="NY"/>
    <n v="10013"/>
    <s v="CITIBANK N.A."/>
    <s v="MANAGING DIRECTOR"/>
    <m/>
    <n v="15"/>
    <s v="CONTRIBUTION"/>
    <m/>
    <m/>
    <m/>
    <d v="2019-04-11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11-24T02:03:41"/>
    <m/>
    <m/>
    <m/>
    <s v="F3X"/>
    <n v="4.11232019168002E+18"/>
    <s v="t"/>
    <m/>
    <n v="2020"/>
    <s v="SA"/>
    <m/>
    <n v="4.1123201916803702E+18"/>
    <s v="http://docquery.fec.gov/cgi-bin/fecimg/?201911219166069773"/>
    <s v="Contributions From Individuals/Persons Other Than Political Committees"/>
  </r>
  <r>
    <s v="C00008474"/>
    <x v="0"/>
    <n v="2020"/>
    <s v="YE"/>
    <n v="2.02101299418056E+17"/>
    <s v="11AI"/>
    <s v="A2020-2624038"/>
    <n v="1494727"/>
    <m/>
    <s v="IND"/>
    <s v="INDIVIDUAL"/>
    <m/>
    <m/>
    <s v="CORBAT, MICHAEL L"/>
    <s v="Q"/>
    <s v="C"/>
    <s v="B"/>
    <s v="MICHAEL"/>
    <s v="L"/>
    <s v="CORBAT"/>
    <m/>
    <s v="388 GREENWICH STREET"/>
    <m/>
    <s v="NEW YORK"/>
    <s v="NY"/>
    <n v="10013"/>
    <s v="CITIBANK N.A."/>
    <s v="MANAGING DIRECTOR"/>
    <m/>
    <n v="15"/>
    <s v="CONTRIBUTION"/>
    <m/>
    <m/>
    <m/>
    <d v="2020-11-25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4:48"/>
    <m/>
    <m/>
    <m/>
    <s v="F3X"/>
    <n v="4.01302021213907E+18"/>
    <s v="t"/>
    <m/>
    <n v="2020"/>
    <s v="SA"/>
    <m/>
    <n v="4.0203202121404099E+18"/>
    <s v="https://docquery.fec.gov/cgi-bin/fecimg/?202101299418056947"/>
    <s v="Contributions From Individuals/Persons Other Than Political Committee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">
  <r>
    <s v="C00008474"/>
    <x v="0"/>
    <n v="2019"/>
    <s v="M2"/>
    <n v="2.0191120916588099E+17"/>
    <s v="11AI"/>
    <s v="A2019-26284"/>
    <n v="1364266"/>
    <m/>
    <s v="IND"/>
    <s v="INDIVIDUAL"/>
    <m/>
    <m/>
    <s v="MASON, MARK"/>
    <s v="Q"/>
    <s v="C"/>
    <s v="B"/>
    <s v="MARK"/>
    <m/>
    <s v="MASON"/>
    <m/>
    <s v="388 GREENWICH ST"/>
    <m/>
    <s v="NEW YORK"/>
    <s v="NY"/>
    <n v="100132375"/>
    <s v="CITIGROUP MANAGEMENT CORP"/>
    <s v="MANAGING DIRECTOR"/>
    <m/>
    <n v="15"/>
    <s v="CONTRIBUTION"/>
    <m/>
    <m/>
    <m/>
    <n v="43483"/>
    <n v="192.3"/>
    <n v="384.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2.075380312497"/>
    <m/>
    <m/>
    <m/>
    <s v="F3X"/>
    <n v="4.1120201916795197E+18"/>
    <s v="t"/>
    <m/>
    <n v="2020"/>
    <s v="SA"/>
    <m/>
    <n v="4.11222019168002E+18"/>
    <s v="http://docquery.fec.gov/cgi-bin/fecimg/?201911209165881175"/>
    <s v="Contributions From Individuals/Persons Other Than Political Committees"/>
  </r>
  <r>
    <s v="C00008474"/>
    <x v="0"/>
    <n v="2019"/>
    <s v="M11"/>
    <n v="2.0191120916592602E+17"/>
    <s v="11AI"/>
    <s v="A2019-2461445"/>
    <n v="1364299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56"/>
    <n v="192.3"/>
    <n v="4038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93.079771354169"/>
    <m/>
    <m/>
    <m/>
    <s v="F3X"/>
    <n v="4.1122201916797798E+18"/>
    <s v="t"/>
    <m/>
    <n v="2020"/>
    <s v="SA"/>
    <m/>
    <n v="4.1123201916802202E+18"/>
    <s v="http://docquery.fec.gov/cgi-bin/fecimg/?201911209165926308"/>
    <s v="Contributions From Individuals/Persons Other Than Political Committees"/>
  </r>
  <r>
    <s v="C00008474"/>
    <x v="0"/>
    <n v="2019"/>
    <s v="M4"/>
    <n v="2.0191121916603101E+17"/>
    <s v="11AI"/>
    <s v="A2019-377666"/>
    <n v="1364444"/>
    <m/>
    <s v="IND"/>
    <s v="INDIVIDUAL"/>
    <m/>
    <m/>
    <s v="MASON, MARK"/>
    <s v="Q"/>
    <s v="C"/>
    <s v="B"/>
    <s v="MARK"/>
    <m/>
    <s v="MASON"/>
    <m/>
    <s v="388 GREENWICH ST"/>
    <m/>
    <s v="NEW YORK"/>
    <s v="NY"/>
    <n v="100132375"/>
    <s v="CITIGROUP MANAGEMENT CORP"/>
    <s v="MANAGING DIRECTOR"/>
    <m/>
    <n v="15"/>
    <s v="CONTRIBUTION"/>
    <m/>
    <m/>
    <m/>
    <n v="43525"/>
    <n v="192.3"/>
    <n v="961.5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2254687499"/>
    <m/>
    <m/>
    <m/>
    <s v="F3X"/>
    <n v="4.11232019168002E+18"/>
    <s v="t"/>
    <m/>
    <n v="2020"/>
    <s v="SA"/>
    <m/>
    <n v="4.1123201916802601E+18"/>
    <s v="http://docquery.fec.gov/cgi-bin/fecimg/?201911219166031799"/>
    <s v="Contributions From Individuals/Persons Other Than Political Committees"/>
  </r>
  <r>
    <s v="C00008474"/>
    <x v="0"/>
    <n v="2019"/>
    <s v="M11"/>
    <n v="2.0191120916592602E+17"/>
    <s v="11AI"/>
    <s v="A2019-2289143"/>
    <n v="1364299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42"/>
    <n v="192.3"/>
    <n v="384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93.079771354169"/>
    <m/>
    <m/>
    <m/>
    <s v="F3X"/>
    <n v="4.1122201916797798E+18"/>
    <s v="t"/>
    <m/>
    <n v="2020"/>
    <s v="SA"/>
    <m/>
    <n v="4.1123201916802202E+18"/>
    <s v="http://docquery.fec.gov/cgi-bin/fecimg/?201911209165926308"/>
    <s v="Contributions From Individuals/Persons Other Than Political Committees"/>
  </r>
  <r>
    <s v="C00008474"/>
    <x v="0"/>
    <n v="2019"/>
    <s v="M3"/>
    <n v="2.0191121916603101E+17"/>
    <s v="11AI"/>
    <s v="A2019-93129"/>
    <n v="1364440"/>
    <m/>
    <s v="IND"/>
    <s v="INDIVIDUAL"/>
    <m/>
    <m/>
    <s v="MASON, MARK"/>
    <s v="Q"/>
    <s v="C"/>
    <s v="B"/>
    <s v="MARK"/>
    <m/>
    <s v="MASON"/>
    <m/>
    <s v="388 GREENWICH ST"/>
    <m/>
    <s v="NEW YORK"/>
    <s v="NY"/>
    <n v="100132375"/>
    <s v="CITIGROUP MANAGEMENT CORP"/>
    <s v="MANAGING DIRECTOR"/>
    <m/>
    <n v="15"/>
    <s v="CONTRIBUTION"/>
    <m/>
    <m/>
    <m/>
    <n v="43497"/>
    <n v="192.3"/>
    <n v="576.9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2254340276"/>
    <m/>
    <m/>
    <m/>
    <s v="F3X"/>
    <n v="4.11232019168002E+18"/>
    <s v="t"/>
    <m/>
    <n v="2020"/>
    <s v="SA"/>
    <m/>
    <n v="4.1123201916802601E+18"/>
    <s v="http://docquery.fec.gov/cgi-bin/fecimg/?201911219166031597"/>
    <s v="Contributions From Individuals/Persons Other Than Political Committees"/>
  </r>
  <r>
    <s v="C00008474"/>
    <x v="0"/>
    <n v="2019"/>
    <s v="M3"/>
    <n v="2.0191121916603101E+17"/>
    <s v="11AI"/>
    <s v="A2019-271750"/>
    <n v="1364440"/>
    <m/>
    <s v="IND"/>
    <s v="INDIVIDUAL"/>
    <m/>
    <m/>
    <s v="MASON, MARK"/>
    <s v="Q"/>
    <s v="C"/>
    <s v="B"/>
    <s v="MARK"/>
    <m/>
    <s v="MASON"/>
    <m/>
    <s v="388 GREENWICH ST"/>
    <m/>
    <s v="NEW YORK"/>
    <s v="NY"/>
    <n v="100132375"/>
    <s v="CITIGROUP MANAGEMENT CORP"/>
    <s v="MANAGING DIRECTOR"/>
    <m/>
    <n v="15"/>
    <s v="CONTRIBUTION"/>
    <m/>
    <m/>
    <m/>
    <n v="43511"/>
    <n v="192.3"/>
    <n v="769.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2254340276"/>
    <m/>
    <m/>
    <m/>
    <s v="F3X"/>
    <n v="4.11232019168002E+18"/>
    <s v="t"/>
    <m/>
    <n v="2020"/>
    <s v="SA"/>
    <m/>
    <n v="4.1123201916802601E+18"/>
    <s v="http://docquery.fec.gov/cgi-bin/fecimg/?201911219166031598"/>
    <s v="Contributions From Individuals/Persons Other Than Political Committees"/>
  </r>
  <r>
    <s v="C00008474"/>
    <x v="0"/>
    <n v="2019"/>
    <s v="M4"/>
    <n v="2.0191121916603101E+17"/>
    <s v="11AI"/>
    <s v="A2019-523875"/>
    <n v="1364444"/>
    <m/>
    <s v="IND"/>
    <s v="INDIVIDUAL"/>
    <m/>
    <m/>
    <s v="MASON, MARK"/>
    <s v="Q"/>
    <s v="C"/>
    <s v="B"/>
    <s v="MARK"/>
    <m/>
    <s v="MASON"/>
    <m/>
    <s v="388 GREENWICH ST"/>
    <m/>
    <s v="NEW YORK"/>
    <s v="NY"/>
    <n v="100132375"/>
    <s v="CITIGROUP MANAGEMENT CORP"/>
    <s v="MANAGING DIRECTOR"/>
    <m/>
    <n v="15"/>
    <s v="CONTRIBUTION"/>
    <m/>
    <m/>
    <m/>
    <n v="43539"/>
    <n v="192.3"/>
    <n v="1153.8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2254687499"/>
    <m/>
    <m/>
    <m/>
    <s v="F3X"/>
    <n v="4.11232019168002E+18"/>
    <s v="t"/>
    <m/>
    <n v="2020"/>
    <s v="SA"/>
    <m/>
    <n v="4.1123201916802601E+18"/>
    <s v="http://docquery.fec.gov/cgi-bin/fecimg/?201911219166031799"/>
    <s v="Contributions From Individuals/Persons Other Than Political Committees"/>
  </r>
  <r>
    <s v="C00008474"/>
    <x v="0"/>
    <n v="2019"/>
    <s v="M5"/>
    <n v="2.0191121916606899E+17"/>
    <s v="11AI"/>
    <s v="A2019-591861"/>
    <n v="136445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560"/>
    <n v="192.3"/>
    <n v="1346.1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5895023149"/>
    <m/>
    <m/>
    <m/>
    <s v="F3X"/>
    <n v="4.11232019168002E+18"/>
    <s v="t"/>
    <m/>
    <n v="2020"/>
    <s v="SA"/>
    <m/>
    <n v="4.1123201916803702E+18"/>
    <s v="http://docquery.fec.gov/cgi-bin/fecimg/?201911219166069822"/>
    <s v="Contributions From Individuals/Persons Other Than Political Committees"/>
  </r>
  <r>
    <s v="C00008474"/>
    <x v="0"/>
    <n v="2019"/>
    <s v="M5"/>
    <n v="2.0191121916606899E+17"/>
    <s v="11AI"/>
    <s v="A2019-804441"/>
    <n v="136445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574"/>
    <n v="192.3"/>
    <n v="1538.4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5895023149"/>
    <m/>
    <m/>
    <m/>
    <s v="F3X"/>
    <n v="4.11232019168002E+18"/>
    <s v="t"/>
    <m/>
    <n v="2020"/>
    <s v="SA"/>
    <m/>
    <n v="4.1123201916803702E+18"/>
    <s v="http://docquery.fec.gov/cgi-bin/fecimg/?201911219166069823"/>
    <s v="Contributions From Individuals/Persons Other Than Political Committees"/>
  </r>
  <r>
    <s v="C00008474"/>
    <x v="0"/>
    <n v="2019"/>
    <s v="M7"/>
    <n v="2.0191121916607002E+17"/>
    <s v="11AI"/>
    <s v="A2019-1264055"/>
    <n v="136446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30"/>
    <n v="192.3"/>
    <n v="2307.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078958331"/>
    <m/>
    <m/>
    <m/>
    <s v="F3X"/>
    <n v="4.11232019168002E+18"/>
    <s v="t"/>
    <m/>
    <n v="2020"/>
    <s v="SA"/>
    <m/>
    <n v="4.1123201916803799E+18"/>
    <s v="http://docquery.fec.gov/cgi-bin/fecimg/?201911219166070440"/>
    <s v="Contributions From Individuals/Persons Other Than Political Committees"/>
  </r>
  <r>
    <s v="C00008474"/>
    <x v="0"/>
    <n v="2019"/>
    <s v="M7"/>
    <n v="2.0191121916607002E+17"/>
    <s v="11AI"/>
    <s v="A2019-1404079"/>
    <n v="136446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44"/>
    <n v="192.3"/>
    <n v="2499.9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078958331"/>
    <m/>
    <m/>
    <m/>
    <s v="F3X"/>
    <n v="4.11232019168002E+18"/>
    <s v="t"/>
    <m/>
    <n v="2020"/>
    <s v="SA"/>
    <m/>
    <n v="4.1123201916803799E+18"/>
    <s v="http://docquery.fec.gov/cgi-bin/fecimg/?201911219166070440"/>
    <s v="Contributions From Individuals/Persons Other Than Political Committees"/>
  </r>
  <r>
    <s v="C00008474"/>
    <x v="0"/>
    <n v="2019"/>
    <s v="M10"/>
    <n v="2.01911219166072E+17"/>
    <s v="11AI"/>
    <s v="A2019-1996396"/>
    <n v="136447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14"/>
    <n v="192.3"/>
    <n v="3461.4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519803241"/>
    <m/>
    <m/>
    <m/>
    <s v="F3X"/>
    <n v="4.11232019168002E+18"/>
    <s v="t"/>
    <m/>
    <n v="2020"/>
    <s v="SA"/>
    <m/>
    <n v="4.1123201916803799E+18"/>
    <s v="http://docquery.fec.gov/cgi-bin/fecimg/?201911219166072938"/>
    <s v="Contributions From Individuals/Persons Other Than Political Committees"/>
  </r>
  <r>
    <s v="C00008474"/>
    <x v="0"/>
    <n v="2019"/>
    <s v="M8"/>
    <n v="2.01911219166072E+17"/>
    <s v="11AI"/>
    <s v="A2019-1508171"/>
    <n v="1364473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58"/>
    <n v="192.3"/>
    <n v="2692.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466909721"/>
    <m/>
    <m/>
    <m/>
    <s v="F3X"/>
    <n v="4.11232019168002E+18"/>
    <s v="t"/>
    <m/>
    <n v="2020"/>
    <s v="SA"/>
    <m/>
    <n v="4.1123201916803799E+18"/>
    <s v="http://docquery.fec.gov/cgi-bin/fecimg/?201911219166072564"/>
    <s v="Contributions From Individuals/Persons Other Than Political Committees"/>
  </r>
  <r>
    <s v="C00008474"/>
    <x v="0"/>
    <n v="2019"/>
    <s v="M8"/>
    <n v="2.01911219166072E+17"/>
    <s v="11AI"/>
    <s v="A2019-1677455"/>
    <n v="1364473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72"/>
    <n v="192.3"/>
    <n v="2884.5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466909721"/>
    <m/>
    <m/>
    <m/>
    <s v="F3X"/>
    <n v="4.11232019168002E+18"/>
    <s v="t"/>
    <m/>
    <n v="2020"/>
    <s v="SA"/>
    <m/>
    <n v="4.1123201916803799E+18"/>
    <s v="http://docquery.fec.gov/cgi-bin/fecimg/?201911219166072565"/>
    <s v="Contributions From Individuals/Persons Other Than Political Committees"/>
  </r>
  <r>
    <s v="C00008474"/>
    <x v="0"/>
    <n v="2019"/>
    <s v="M9"/>
    <n v="2.01911219166072E+17"/>
    <s v="11AI"/>
    <s v="A2019-1773396"/>
    <n v="136447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86"/>
    <n v="192.3"/>
    <n v="3076.8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467442132"/>
    <m/>
    <m/>
    <m/>
    <s v="F3X"/>
    <n v="4.11232019168002E+18"/>
    <s v="t"/>
    <m/>
    <n v="2020"/>
    <s v="SA"/>
    <m/>
    <n v="4.1123201916803799E+18"/>
    <s v="http://docquery.fec.gov/cgi-bin/fecimg/?201911219166072752"/>
    <s v="Contributions From Individuals/Persons Other Than Political Committees"/>
  </r>
  <r>
    <s v="C00008474"/>
    <x v="0"/>
    <n v="2019"/>
    <s v="M9"/>
    <n v="2.01911219166072E+17"/>
    <s v="11AI"/>
    <s v="A2019-1959272"/>
    <n v="136447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00"/>
    <n v="192.3"/>
    <n v="3269.1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467442132"/>
    <m/>
    <m/>
    <m/>
    <s v="F3X"/>
    <n v="4.11232019168002E+18"/>
    <s v="t"/>
    <m/>
    <n v="2020"/>
    <s v="SA"/>
    <m/>
    <n v="4.1123201916803799E+18"/>
    <s v="http://docquery.fec.gov/cgi-bin/fecimg/?201911219166072753"/>
    <s v="Contributions From Individuals/Persons Other Than Political Committees"/>
  </r>
  <r>
    <s v="C00008474"/>
    <x v="0"/>
    <n v="2019"/>
    <s v="M10"/>
    <n v="2.01911219166072E+17"/>
    <s v="11AI"/>
    <s v="A2019-2203442"/>
    <n v="136447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28"/>
    <n v="192.3"/>
    <n v="3653.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93.086519803241"/>
    <m/>
    <m/>
    <m/>
    <s v="F3X"/>
    <n v="4.11232019168002E+18"/>
    <s v="t"/>
    <m/>
    <n v="2020"/>
    <s v="SA"/>
    <m/>
    <n v="4.1123201916803799E+18"/>
    <s v="http://docquery.fec.gov/cgi-bin/fecimg/?201911219166072938"/>
    <s v="Contributions From Individuals/Persons Other Than Political Committees"/>
  </r>
  <r>
    <s v="C00008474"/>
    <x v="0"/>
    <n v="2019"/>
    <s v="M6"/>
    <n v="2.0200123916731501E+17"/>
    <s v="11AI"/>
    <s v="A2019-852507"/>
    <n v="137216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588"/>
    <n v="192.3"/>
    <n v="1730.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855.06905583333"/>
    <m/>
    <m/>
    <m/>
    <s v="F3X"/>
    <n v="4.0123202016854999E+18"/>
    <s v="t"/>
    <m/>
    <n v="2020"/>
    <s v="SA"/>
    <m/>
    <n v="4.0124202016856801E+18"/>
    <s v="http://docquery.fec.gov/cgi-bin/fecimg/?202001239167315063"/>
    <s v="Contributions From Individuals/Persons Other Than Political Committees"/>
  </r>
  <r>
    <s v="C00008474"/>
    <x v="0"/>
    <n v="2019"/>
    <s v="M6"/>
    <n v="2.0200123916731501E+17"/>
    <s v="11AI"/>
    <s v="A2019-1077821"/>
    <n v="137216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02"/>
    <n v="192.3"/>
    <n v="1923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855.06905583333"/>
    <m/>
    <m/>
    <m/>
    <s v="F3X"/>
    <n v="4.0123202016854999E+18"/>
    <s v="t"/>
    <m/>
    <n v="2020"/>
    <s v="SA"/>
    <m/>
    <n v="4.0124202016856801E+18"/>
    <s v="http://docquery.fec.gov/cgi-bin/fecimg/?202001239167315063"/>
    <s v="Contributions From Individuals/Persons Other Than Political Committees"/>
  </r>
  <r>
    <s v="C00008474"/>
    <x v="0"/>
    <n v="2019"/>
    <s v="M6"/>
    <n v="2.0200123916731501E+17"/>
    <s v="11AI"/>
    <s v="A2019-1118718"/>
    <n v="137216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616"/>
    <n v="192.3"/>
    <n v="2115.300000000000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855.06905583333"/>
    <m/>
    <m/>
    <m/>
    <s v="F3X"/>
    <n v="4.0123202016854999E+18"/>
    <s v="t"/>
    <m/>
    <n v="2020"/>
    <s v="SA"/>
    <m/>
    <n v="4.0124202016856801E+18"/>
    <s v="http://docquery.fec.gov/cgi-bin/fecimg/?202001239167315064"/>
    <s v="Contributions From Individuals/Persons Other Than Political Committees"/>
  </r>
  <r>
    <s v="C00008474"/>
    <x v="0"/>
    <n v="2019"/>
    <s v="M12"/>
    <n v="2.0191216916629299E+17"/>
    <s v="11AI"/>
    <s v="A2019-2693177"/>
    <n v="1366346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84"/>
    <n v="192.3"/>
    <n v="4422.8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769513887"/>
    <m/>
    <m/>
    <m/>
    <s v="F3X"/>
    <n v="4.1216201916815201E+18"/>
    <s v="t"/>
    <m/>
    <n v="2020"/>
    <s v="SA"/>
    <m/>
    <n v="4.1216201916815401E+18"/>
    <s v="http://docquery.fec.gov/cgi-bin/fecimg/?201912169166293911"/>
    <s v="Contributions From Individuals/Persons Other Than Political Committees"/>
  </r>
  <r>
    <s v="C00008474"/>
    <x v="0"/>
    <n v="2019"/>
    <s v="M12"/>
    <n v="2.0191216916629299E+17"/>
    <s v="11AI"/>
    <s v="A2019-2510606"/>
    <n v="1366346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70"/>
    <n v="192.3"/>
    <n v="4230.60000000000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769513887"/>
    <m/>
    <m/>
    <m/>
    <s v="F3X"/>
    <n v="4.1216201916815201E+18"/>
    <s v="t"/>
    <m/>
    <n v="2020"/>
    <s v="SA"/>
    <m/>
    <n v="4.1216201916815401E+18"/>
    <s v="http://docquery.fec.gov/cgi-bin/fecimg/?201912169166293910"/>
    <s v="Contributions From Individuals/Persons Other Than Political Committees"/>
  </r>
  <r>
    <s v="C00008474"/>
    <x v="0"/>
    <n v="2019"/>
    <s v="M12"/>
    <n v="2.0191216916629299E+17"/>
    <s v="11AI"/>
    <s v="A2019-2737285"/>
    <n v="1366346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798"/>
    <n v="192.3"/>
    <n v="4615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769513887"/>
    <m/>
    <m/>
    <m/>
    <s v="F3X"/>
    <n v="4.1216201916815201E+18"/>
    <s v="t"/>
    <m/>
    <n v="2020"/>
    <s v="SA"/>
    <m/>
    <n v="4.1216201916815401E+18"/>
    <s v="http://docquery.fec.gov/cgi-bin/fecimg/?201912169166293911"/>
    <s v="Contributions From Individuals/Persons Other Than Political Committees"/>
  </r>
  <r>
    <s v="C00008474"/>
    <x v="0"/>
    <n v="2019"/>
    <s v="YE"/>
    <n v="2.0200130918243802E+17"/>
    <s v="11AI"/>
    <s v="A2019-2953358"/>
    <n v="1375290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12"/>
    <n v="192.3"/>
    <n v="4807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81.091792754632"/>
    <m/>
    <m/>
    <m/>
    <s v="F3X"/>
    <n v="4.0130202016861302E+18"/>
    <s v="t"/>
    <m/>
    <n v="2020"/>
    <s v="SA"/>
    <m/>
    <n v="4.02192020169314E+18"/>
    <s v="http://docquery.fec.gov/cgi-bin/fecimg/?202001309182438150"/>
    <s v="Contributions From Individuals/Persons Other Than Political Committees"/>
  </r>
  <r>
    <s v="C00008474"/>
    <x v="0"/>
    <n v="2019"/>
    <s v="YE"/>
    <n v="2.0200130918243802E+17"/>
    <s v="11AI"/>
    <s v="A2019-3118562"/>
    <n v="1375290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26"/>
    <n v="192.3"/>
    <n v="499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81.091792754632"/>
    <m/>
    <m/>
    <m/>
    <s v="F3X"/>
    <n v="4.0130202016861302E+18"/>
    <s v="t"/>
    <m/>
    <n v="2020"/>
    <s v="SA"/>
    <m/>
    <n v="4.02192020169314E+18"/>
    <s v="http://docquery.fec.gov/cgi-bin/fecimg/?202001309182438151"/>
    <s v="Contributions From Individuals/Persons Other Than Political Committees"/>
  </r>
  <r>
    <s v="C00008474"/>
    <x v="0"/>
    <n v="2020"/>
    <s v="M2"/>
    <n v="2.0200219918652099E+17"/>
    <s v="11AI"/>
    <s v="A2020-55165"/>
    <n v="138330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54"/>
    <n v="192.3"/>
    <n v="384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88.063876562497"/>
    <m/>
    <m/>
    <m/>
    <s v="F3X"/>
    <n v="4.0219202016927498E+18"/>
    <s v="t"/>
    <m/>
    <n v="2020"/>
    <s v="SA"/>
    <m/>
    <n v="4.0226202016943002E+18"/>
    <s v="http://docquery.fec.gov/cgi-bin/fecimg/?202002199186521408"/>
    <s v="Contributions From Individuals/Persons Other Than Political Committees"/>
  </r>
  <r>
    <s v="C00008474"/>
    <x v="0"/>
    <n v="2020"/>
    <s v="M3"/>
    <n v="2.02003209204628E+17"/>
    <s v="11AI"/>
    <s v="A2020-373188"/>
    <n v="139142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82"/>
    <n v="192.3"/>
    <n v="769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15.27802690972"/>
    <m/>
    <m/>
    <m/>
    <s v="F3X"/>
    <n v="4.0320202017039401E+18"/>
    <s v="t"/>
    <m/>
    <n v="2020"/>
    <s v="SA"/>
    <m/>
    <n v="4.0324202017145999E+18"/>
    <s v="http://docquery.fec.gov/cgi-bin/fecimg/?202003209204628336"/>
    <s v="Contributions From Individuals/Persons Other Than Political Committees"/>
  </r>
  <r>
    <s v="C00008474"/>
    <x v="0"/>
    <n v="2020"/>
    <s v="M3"/>
    <n v="2.02003209204628E+17"/>
    <s v="11AI"/>
    <s v="A2020-131041"/>
    <n v="139142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68"/>
    <n v="192.3"/>
    <n v="57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15.296790983797"/>
    <m/>
    <m/>
    <m/>
    <s v="F3X"/>
    <n v="4.0320202017039401E+18"/>
    <s v="t"/>
    <m/>
    <n v="2020"/>
    <s v="SA"/>
    <m/>
    <n v="4.0324202017145999E+18"/>
    <s v="http://docquery.fec.gov/cgi-bin/fecimg/?202003209204628335"/>
    <s v="Contributions From Individuals/Persons Other Than Political Committees"/>
  </r>
  <r>
    <s v="C00008474"/>
    <x v="0"/>
    <n v="2020"/>
    <s v="M4"/>
    <n v="2.0200420921974499E+17"/>
    <s v="11AI"/>
    <s v="A2020-360347"/>
    <n v="1402088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896"/>
    <n v="192.3"/>
    <n v="961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42.080465277781"/>
    <m/>
    <m/>
    <m/>
    <s v="F3X"/>
    <n v="4.0420202017373501E+18"/>
    <s v="t"/>
    <m/>
    <n v="2020"/>
    <s v="SA"/>
    <m/>
    <n v="4.04202020173747E+18"/>
    <s v="http://docquery.fec.gov/cgi-bin/fecimg/?202004209219745785"/>
    <s v="Contributions From Individuals/Persons Other Than Political Committees"/>
  </r>
  <r>
    <s v="C00008474"/>
    <x v="0"/>
    <n v="2020"/>
    <s v="M4"/>
    <n v="2.0200420921974499E+17"/>
    <s v="11AI"/>
    <s v="A2020-561134"/>
    <n v="1402088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10"/>
    <n v="192.3"/>
    <n v="1153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42.080465289349"/>
    <m/>
    <m/>
    <m/>
    <s v="F3X"/>
    <n v="4.0420202017373501E+18"/>
    <s v="t"/>
    <m/>
    <n v="2020"/>
    <s v="SA"/>
    <m/>
    <n v="4.04202020173747E+18"/>
    <s v="http://docquery.fec.gov/cgi-bin/fecimg/?202004209219745785"/>
    <s v="Contributions From Individuals/Persons Other Than Political Committees"/>
  </r>
  <r>
    <s v="C00008474"/>
    <x v="0"/>
    <n v="2020"/>
    <s v="M5"/>
    <n v="2.0200518923277402E+17"/>
    <s v="11AI"/>
    <s v="A2020-598943"/>
    <n v="140616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24"/>
    <n v="192.3"/>
    <n v="1346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0.057980613426"/>
    <m/>
    <m/>
    <m/>
    <s v="F3X"/>
    <n v="4.0518202017615002E+18"/>
    <s v="t"/>
    <m/>
    <n v="2020"/>
    <s v="SA"/>
    <m/>
    <n v="4.0518202017615299E+18"/>
    <s v="http://docquery.fec.gov/cgi-bin/fecimg/?202005189232774825"/>
    <s v="Contributions From Individuals/Persons Other Than Political Committees"/>
  </r>
  <r>
    <s v="C00008474"/>
    <x v="0"/>
    <n v="2020"/>
    <s v="M5"/>
    <n v="2.0200518923277402E+17"/>
    <s v="11AI"/>
    <s v="A2020-817026"/>
    <n v="140616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38"/>
    <n v="192.3"/>
    <n v="1538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0.057980613426"/>
    <m/>
    <m/>
    <m/>
    <s v="F3X"/>
    <n v="4.0518202017615002E+18"/>
    <s v="t"/>
    <m/>
    <n v="2020"/>
    <s v="SA"/>
    <m/>
    <n v="4.0518202017615299E+18"/>
    <s v="http://docquery.fec.gov/cgi-bin/fecimg/?202005189232774826"/>
    <s v="Contributions From Individuals/Persons Other Than Political Committees"/>
  </r>
  <r>
    <s v="C00008474"/>
    <x v="0"/>
    <n v="2020"/>
    <s v="M6"/>
    <n v="2.0200619924000499E+17"/>
    <s v="11AI"/>
    <s v="A2020-1071234"/>
    <n v="141337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66"/>
    <n v="192.3"/>
    <n v="192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02.074768229169"/>
    <m/>
    <m/>
    <m/>
    <s v="F3X"/>
    <n v="4.0619202017759299E+18"/>
    <s v="t"/>
    <m/>
    <n v="2020"/>
    <s v="SA"/>
    <m/>
    <n v="4.0619202017760502E+18"/>
    <s v="http://docquery.fec.gov/cgi-bin/fecimg/?202006199240005777"/>
    <s v="Contributions From Individuals/Persons Other Than Political Committees"/>
  </r>
  <r>
    <s v="C00008474"/>
    <x v="0"/>
    <n v="2020"/>
    <s v="M6"/>
    <n v="2.0200619924000499E+17"/>
    <s v="11AI"/>
    <s v="A2020-1121881"/>
    <n v="141337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80"/>
    <n v="192.3"/>
    <n v="2115.300000000000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02.074768229169"/>
    <m/>
    <m/>
    <m/>
    <s v="F3X"/>
    <n v="4.0619202017759299E+18"/>
    <s v="t"/>
    <m/>
    <n v="2020"/>
    <s v="SA"/>
    <m/>
    <n v="4.0619202017760502E+18"/>
    <s v="http://docquery.fec.gov/cgi-bin/fecimg/?202006199240005778"/>
    <s v="Contributions From Individuals/Persons Other Than Political Committees"/>
  </r>
  <r>
    <s v="C00008474"/>
    <x v="0"/>
    <n v="2020"/>
    <s v="M6"/>
    <n v="2.0200619924000499E+17"/>
    <s v="11AI"/>
    <s v="A2020-873837"/>
    <n v="141337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52"/>
    <n v="192.3"/>
    <n v="1730.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02.074768229169"/>
    <m/>
    <m/>
    <m/>
    <s v="F3X"/>
    <n v="4.0619202017759299E+18"/>
    <s v="t"/>
    <m/>
    <n v="2020"/>
    <s v="SA"/>
    <m/>
    <n v="4.0619202017760502E+18"/>
    <s v="http://docquery.fec.gov/cgi-bin/fecimg/?202006199240005777"/>
    <s v="Contributions From Individuals/Persons Other Than Political Committees"/>
  </r>
  <r>
    <s v="C00008474"/>
    <x v="0"/>
    <n v="2020"/>
    <s v="M8"/>
    <n v="2.0200819926140899E+17"/>
    <s v="11AI"/>
    <s v="A2020-1443455"/>
    <n v="1433452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22"/>
    <n v="192.3"/>
    <n v="2692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77.151279722224"/>
    <m/>
    <m/>
    <m/>
    <s v="F3X"/>
    <n v="4.0820202018293499E+18"/>
    <s v="t"/>
    <m/>
    <n v="2020"/>
    <s v="SA"/>
    <m/>
    <n v="4.0903202018344202E+18"/>
    <s v="http://docquery.fec.gov/cgi-bin/fecimg/?202008199261409210"/>
    <s v="Contributions From Individuals/Persons Other Than Political Committees"/>
  </r>
  <r>
    <s v="C00008474"/>
    <x v="0"/>
    <n v="2020"/>
    <s v="M8"/>
    <n v="2.0200819926140899E+17"/>
    <s v="11AI"/>
    <s v="A2020-1621853"/>
    <n v="1433452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36"/>
    <n v="192.3"/>
    <n v="2884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77.151279722224"/>
    <m/>
    <m/>
    <m/>
    <s v="F3X"/>
    <n v="4.0820202018293499E+18"/>
    <s v="t"/>
    <m/>
    <n v="2020"/>
    <s v="SA"/>
    <m/>
    <n v="4.0903202018344202E+18"/>
    <s v="http://docquery.fec.gov/cgi-bin/fecimg/?202008199261409210"/>
    <s v="Contributions From Individuals/Persons Other Than Political Committees"/>
  </r>
  <r>
    <s v="C00008474"/>
    <x v="0"/>
    <n v="2020"/>
    <s v="M7"/>
    <n v="2.0200717925038099E+17"/>
    <s v="11AI"/>
    <s v="A2020-1369939"/>
    <n v="1426010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08"/>
    <n v="192.3"/>
    <n v="2499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35.113565833337"/>
    <m/>
    <m/>
    <m/>
    <s v="F3X"/>
    <n v="4.0717202017909898E+18"/>
    <s v="t"/>
    <m/>
    <n v="2020"/>
    <s v="SA"/>
    <m/>
    <n v="4.0722202017936399E+18"/>
    <s v="http://docquery.fec.gov/cgi-bin/fecimg/?202007179250381451"/>
    <s v="Contributions From Individuals/Persons Other Than Political Committees"/>
  </r>
  <r>
    <s v="C00008474"/>
    <x v="0"/>
    <n v="2020"/>
    <s v="M7"/>
    <n v="2.0200717925038099E+17"/>
    <s v="11AI"/>
    <s v="A2020-1332758"/>
    <n v="1426010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3994"/>
    <n v="192.3"/>
    <n v="2307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35.128207210648"/>
    <m/>
    <m/>
    <m/>
    <s v="F3X"/>
    <n v="4.0717202017909898E+18"/>
    <s v="t"/>
    <m/>
    <n v="2020"/>
    <s v="SA"/>
    <m/>
    <n v="4.0722202017936399E+18"/>
    <s v="http://docquery.fec.gov/cgi-bin/fecimg/?202007179250381451"/>
    <s v="Contributions From Individuals/Persons Other Than Political Committees"/>
  </r>
  <r>
    <s v="C00008474"/>
    <x v="0"/>
    <n v="2020"/>
    <s v="M9"/>
    <n v="2.0200918926743299E+17"/>
    <s v="11AI"/>
    <s v="A2020-1677361"/>
    <n v="143964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50"/>
    <n v="192.3"/>
    <n v="3076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7.160206469911"/>
    <m/>
    <m/>
    <m/>
    <s v="F3X"/>
    <n v="4.0919202018490399E+18"/>
    <s v="t"/>
    <m/>
    <n v="2020"/>
    <s v="SA"/>
    <m/>
    <n v="4.0923202018493199E+18"/>
    <s v="http://docquery.fec.gov/cgi-bin/fecimg/?202009189267433260"/>
    <s v="Contributions From Individuals/Persons Other Than Political Committees"/>
  </r>
  <r>
    <s v="C00008474"/>
    <x v="0"/>
    <n v="2020"/>
    <s v="M9"/>
    <n v="2.0200918926743299E+17"/>
    <s v="11AI"/>
    <s v="A2020-1862039"/>
    <n v="1439641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64"/>
    <n v="192.3"/>
    <n v="3269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7.160206469911"/>
    <m/>
    <m/>
    <m/>
    <s v="F3X"/>
    <n v="4.0919202018490399E+18"/>
    <s v="t"/>
    <m/>
    <n v="2020"/>
    <s v="SA"/>
    <m/>
    <n v="4.0923202018493199E+18"/>
    <s v="http://docquery.fec.gov/cgi-bin/fecimg/?202009189267433260"/>
    <s v="Contributions From Individuals/Persons Other Than Political Committees"/>
  </r>
  <r>
    <s v="C00008474"/>
    <x v="0"/>
    <n v="2020"/>
    <s v="M10"/>
    <n v="2.0201020929738499E+17"/>
    <s v="11AI"/>
    <s v="A2020-2027439"/>
    <n v="145735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78"/>
    <n v="192.3"/>
    <n v="3461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67.158316006942"/>
    <m/>
    <m/>
    <m/>
    <s v="F3X"/>
    <n v="4.1021202018822298E+18"/>
    <s v="t"/>
    <m/>
    <n v="2020"/>
    <s v="SA"/>
    <m/>
    <n v="4.1202202019629199E+18"/>
    <s v="http://docquery.fec.gov/cgi-bin/fecimg/?202010209297385338"/>
    <s v="Contributions From Individuals/Persons Other Than Political Committees"/>
  </r>
  <r>
    <s v="C00008474"/>
    <x v="0"/>
    <n v="2020"/>
    <s v="M10"/>
    <n v="2.0201020929738499E+17"/>
    <s v="11AI"/>
    <s v="A2020-2107826"/>
    <n v="1457354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092"/>
    <n v="192.3"/>
    <n v="3653.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67.158316006942"/>
    <m/>
    <m/>
    <m/>
    <s v="F3X"/>
    <n v="4.1021202018822298E+18"/>
    <s v="t"/>
    <m/>
    <n v="2020"/>
    <s v="SA"/>
    <m/>
    <n v="4.1202202019629199E+18"/>
    <s v="http://docquery.fec.gov/cgi-bin/fecimg/?202010209297385338"/>
    <s v="Contributions From Individuals/Persons Other Than Political Committees"/>
  </r>
  <r>
    <s v="C00008474"/>
    <x v="0"/>
    <n v="2020"/>
    <s v="YE"/>
    <n v="2.0210129941805699E+17"/>
    <s v="11AI"/>
    <s v="A2020-2622474"/>
    <n v="149472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62"/>
    <n v="192.3"/>
    <n v="4615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0.156114131947"/>
    <m/>
    <m/>
    <m/>
    <s v="F3X"/>
    <n v="4.01302021213907E+18"/>
    <s v="t"/>
    <m/>
    <n v="2020"/>
    <s v="SA"/>
    <m/>
    <n v="4.0203202121404099E+18"/>
    <s v="https://docquery.fec.gov/cgi-bin/fecimg/?202101299418057072"/>
    <s v="Contributions From Individuals/Persons Other Than Political Committees"/>
  </r>
  <r>
    <s v="C00008474"/>
    <x v="0"/>
    <n v="2020"/>
    <s v="YE"/>
    <n v="2.0210129941805699E+17"/>
    <s v="11AI"/>
    <s v="A2020-2681469"/>
    <n v="149472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76"/>
    <n v="192.3"/>
    <n v="4807.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0.156114131947"/>
    <m/>
    <m/>
    <m/>
    <s v="F3X"/>
    <n v="4.01302021213907E+18"/>
    <s v="t"/>
    <m/>
    <n v="2020"/>
    <s v="SA"/>
    <m/>
    <n v="4.0203202121404099E+18"/>
    <s v="https://docquery.fec.gov/cgi-bin/fecimg/?202101299418057072"/>
    <s v="Contributions From Individuals/Persons Other Than Political Committees"/>
  </r>
  <r>
    <s v="C00008474"/>
    <x v="0"/>
    <n v="2020"/>
    <s v="YE"/>
    <n v="2.0210129941805699E+17"/>
    <s v="11AI"/>
    <s v="A2020-2737580"/>
    <n v="149472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89"/>
    <n v="192.3"/>
    <n v="4999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0.156114131947"/>
    <m/>
    <m/>
    <m/>
    <s v="F3X"/>
    <n v="4.01302021213907E+18"/>
    <s v="t"/>
    <m/>
    <n v="2020"/>
    <s v="SA"/>
    <m/>
    <n v="4.0203202121404099E+18"/>
    <s v="https://docquery.fec.gov/cgi-bin/fecimg/?202101299418057072"/>
    <s v="Contributions From Individuals/Persons Other Than Political Committees"/>
  </r>
  <r>
    <s v="C00008474"/>
    <x v="0"/>
    <n v="2020"/>
    <s v="30G"/>
    <n v="2.0201202933742E+17"/>
    <s v="11AI"/>
    <s v="A2020-2317349"/>
    <n v="147624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20"/>
    <n v="192.3"/>
    <n v="4038.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5.152156099539"/>
    <m/>
    <m/>
    <m/>
    <s v="F3X"/>
    <n v="4.1203202019631401E+18"/>
    <s v="t"/>
    <m/>
    <n v="2020"/>
    <s v="SA"/>
    <m/>
    <n v="4.1220202019807401E+18"/>
    <s v="https://docquery.fec.gov/cgi-bin/fecimg/?202012029337420205"/>
    <s v="Contributions From Individuals/Persons Other Than Political Committees"/>
  </r>
  <r>
    <s v="C00008474"/>
    <x v="0"/>
    <n v="2020"/>
    <s v="30G"/>
    <n v="2.0201202933742E+17"/>
    <s v="11AI"/>
    <s v="A2020-2492527"/>
    <n v="147624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34"/>
    <n v="192.3"/>
    <n v="4230.60000000000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5.152156099539"/>
    <m/>
    <m/>
    <m/>
    <s v="F3X"/>
    <n v="4.1203202019631401E+18"/>
    <s v="t"/>
    <m/>
    <n v="2020"/>
    <s v="SA"/>
    <m/>
    <n v="4.1220202019807401E+18"/>
    <s v="https://docquery.fec.gov/cgi-bin/fecimg/?202012029337420205"/>
    <s v="Contributions From Individuals/Persons Other Than Political Committees"/>
  </r>
  <r>
    <s v="C00008474"/>
    <x v="0"/>
    <n v="2020"/>
    <s v="30G"/>
    <n v="2.0201202933742E+17"/>
    <s v="11AI"/>
    <s v="A2020-2494268"/>
    <n v="1476245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48"/>
    <n v="192.3"/>
    <n v="4422.8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5.152156099539"/>
    <m/>
    <m/>
    <m/>
    <s v="F3X"/>
    <n v="4.1203202019631401E+18"/>
    <s v="t"/>
    <m/>
    <n v="2020"/>
    <s v="SA"/>
    <m/>
    <n v="4.1220202019807401E+18"/>
    <s v="https://docquery.fec.gov/cgi-bin/fecimg/?202012029337420206"/>
    <s v="Contributions From Individuals/Persons Other Than Political Committees"/>
  </r>
  <r>
    <s v="C00008474"/>
    <x v="0"/>
    <n v="2020"/>
    <s v="12G"/>
    <n v="2.0201022933302899E+17"/>
    <s v="11AI"/>
    <s v="A2020-2154184"/>
    <n v="1462787"/>
    <m/>
    <s v="IND"/>
    <s v="INDIVIDUAL"/>
    <m/>
    <m/>
    <s v="MASON, MARK"/>
    <s v="Q"/>
    <s v="C"/>
    <s v="B"/>
    <s v="MARK"/>
    <m/>
    <s v="MASON"/>
    <m/>
    <s v="388 GREENWICH STREET"/>
    <m/>
    <s v="NEW YORK"/>
    <s v="NY"/>
    <n v="10013"/>
    <s v="CITIBANK N.A."/>
    <s v="MANAGING DIRECTOR"/>
    <m/>
    <n v="15"/>
    <s v="CONTRIBUTION"/>
    <m/>
    <m/>
    <m/>
    <n v="44106"/>
    <n v="192.3"/>
    <n v="384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69.186674074073"/>
    <m/>
    <m/>
    <m/>
    <s v="F3X"/>
    <n v="4.1023202018827602E+18"/>
    <s v="t"/>
    <m/>
    <n v="2020"/>
    <s v="SA"/>
    <m/>
    <n v="4.1204202019641702E+18"/>
    <s v="http://docquery.fec.gov/cgi-bin/fecimg/?202010229333029497"/>
    <s v="Contributions From Individuals/Persons Other Than Political Committe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4:B56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B8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5:B18" firstHeaderRow="1" firstDataRow="1" firstDataCol="1"/>
  <pivotFields count="7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54:B471" firstHeaderRow="1" firstDataRow="1" firstDataCol="1"/>
  <pivotFields count="79">
    <pivotField showAll="0"/>
    <pivotField axis="axisRow" showAll="0">
      <items count="17">
        <item x="3"/>
        <item x="6"/>
        <item x="7"/>
        <item x="15"/>
        <item x="9"/>
        <item x="1"/>
        <item x="2"/>
        <item x="13"/>
        <item x="8"/>
        <item x="5"/>
        <item x="4"/>
        <item x="11"/>
        <item x="10"/>
        <item x="12"/>
        <item x="1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35:B248" firstHeaderRow="1" firstDataRow="1" firstDataCol="1"/>
  <pivotFields count="79">
    <pivotField showAll="0"/>
    <pivotField axis="axisRow" showAll="0">
      <items count="13">
        <item x="2"/>
        <item x="6"/>
        <item x="10"/>
        <item x="1"/>
        <item x="3"/>
        <item x="0"/>
        <item x="4"/>
        <item x="7"/>
        <item x="5"/>
        <item x="9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2" firstHeaderRow="1" firstDataRow="1" firstDataCol="1"/>
  <pivotFields count="7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topLeftCell="D1" zoomScale="70" zoomScaleNormal="70" workbookViewId="0">
      <selection activeCell="Q19" sqref="Q19"/>
    </sheetView>
  </sheetViews>
  <sheetFormatPr defaultColWidth="8.85546875" defaultRowHeight="15" x14ac:dyDescent="0.25"/>
  <cols>
    <col min="1" max="1" width="17.42578125" style="3" customWidth="1"/>
    <col min="2" max="2" width="10.28515625" style="3" customWidth="1"/>
    <col min="3" max="3" width="17.85546875" style="3" customWidth="1"/>
    <col min="4" max="4" width="83.140625" style="3" customWidth="1"/>
    <col min="5" max="5" width="12" style="3" customWidth="1"/>
    <col min="6" max="6" width="4.5703125" style="3" bestFit="1" customWidth="1"/>
    <col min="7" max="7" width="15.85546875" style="3" bestFit="1" customWidth="1"/>
    <col min="8" max="8" width="10.140625" style="3" bestFit="1" customWidth="1"/>
    <col min="9" max="9" width="7.85546875" style="3" bestFit="1" customWidth="1"/>
    <col min="10" max="10" width="8.85546875" style="3"/>
    <col min="11" max="11" width="11" style="3" bestFit="1" customWidth="1"/>
    <col min="12" max="12" width="8.85546875" style="38" bestFit="1" customWidth="1"/>
    <col min="13" max="13" width="7.7109375" style="38" bestFit="1" customWidth="1"/>
    <col min="14" max="14" width="8.85546875" style="38" bestFit="1" customWidth="1"/>
    <col min="15" max="15" width="8.85546875" style="3"/>
    <col min="16" max="16" width="40.140625" style="3" bestFit="1" customWidth="1"/>
    <col min="17" max="17" width="30.5703125" style="3" bestFit="1" customWidth="1"/>
    <col min="18" max="16384" width="8.85546875" style="3"/>
  </cols>
  <sheetData>
    <row r="1" spans="1:18" s="22" customFormat="1" ht="14.25" x14ac:dyDescent="0.2">
      <c r="A1" s="21" t="s">
        <v>13</v>
      </c>
      <c r="B1" s="21" t="s">
        <v>14</v>
      </c>
      <c r="C1" s="21" t="s">
        <v>15</v>
      </c>
      <c r="D1" s="21" t="s">
        <v>12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8</v>
      </c>
      <c r="J1" s="21" t="s">
        <v>5</v>
      </c>
      <c r="K1" s="21" t="s">
        <v>20</v>
      </c>
      <c r="L1" s="37" t="s">
        <v>21</v>
      </c>
      <c r="M1" s="37" t="s">
        <v>22</v>
      </c>
      <c r="N1" s="37" t="s">
        <v>80</v>
      </c>
      <c r="O1" s="21" t="s">
        <v>23</v>
      </c>
      <c r="P1" s="21" t="s">
        <v>24</v>
      </c>
    </row>
    <row r="2" spans="1:18" ht="15.75" x14ac:dyDescent="0.25">
      <c r="C2" s="7"/>
      <c r="D2" s="9"/>
    </row>
    <row r="3" spans="1:18" ht="15.75" x14ac:dyDescent="0.25">
      <c r="A3" s="3" t="s">
        <v>84</v>
      </c>
      <c r="B3" s="3" t="s">
        <v>26</v>
      </c>
      <c r="C3" s="7" t="s">
        <v>0</v>
      </c>
      <c r="D3" s="7" t="s">
        <v>85</v>
      </c>
      <c r="E3" s="5" t="s">
        <v>81</v>
      </c>
      <c r="F3" s="3" t="s">
        <v>82</v>
      </c>
      <c r="G3" s="3" t="s">
        <v>83</v>
      </c>
      <c r="H3" s="3" t="s">
        <v>41</v>
      </c>
      <c r="I3" s="3" t="s">
        <v>1877</v>
      </c>
      <c r="J3" s="3">
        <v>66</v>
      </c>
      <c r="O3" s="3" t="s">
        <v>158</v>
      </c>
      <c r="Q3" s="3" t="str">
        <f>+E3&amp;F3&amp;G3</f>
        <v>Ellen M. Costello</v>
      </c>
      <c r="R3" s="3" t="s">
        <v>153</v>
      </c>
    </row>
    <row r="4" spans="1:18" ht="15.75" x14ac:dyDescent="0.25">
      <c r="A4" s="3" t="s">
        <v>84</v>
      </c>
      <c r="B4" s="3" t="s">
        <v>26</v>
      </c>
      <c r="C4" s="7" t="s">
        <v>0</v>
      </c>
      <c r="D4" s="7" t="s">
        <v>89</v>
      </c>
      <c r="E4" s="6" t="s">
        <v>86</v>
      </c>
      <c r="F4" s="6" t="s">
        <v>87</v>
      </c>
      <c r="G4" s="3" t="s">
        <v>88</v>
      </c>
      <c r="H4" s="3" t="s">
        <v>41</v>
      </c>
      <c r="I4" s="3" t="s">
        <v>1878</v>
      </c>
      <c r="J4" s="3">
        <v>60</v>
      </c>
      <c r="Q4" s="3" t="str">
        <f t="shared" ref="Q4:Q22" si="0">+E4&amp;F4&amp;G4</f>
        <v>Grace E. Dailey</v>
      </c>
      <c r="R4" s="3" t="s">
        <v>153</v>
      </c>
    </row>
    <row r="5" spans="1:18" ht="15.75" x14ac:dyDescent="0.25">
      <c r="A5" s="3" t="s">
        <v>84</v>
      </c>
      <c r="B5" s="3" t="s">
        <v>26</v>
      </c>
      <c r="C5" s="7" t="s">
        <v>0</v>
      </c>
      <c r="D5" s="7" t="s">
        <v>93</v>
      </c>
      <c r="E5" s="6" t="s">
        <v>90</v>
      </c>
      <c r="F5" s="6" t="s">
        <v>91</v>
      </c>
      <c r="G5" s="3" t="s">
        <v>92</v>
      </c>
      <c r="H5" s="3" t="s">
        <v>41</v>
      </c>
      <c r="I5" s="3" t="s">
        <v>52</v>
      </c>
      <c r="J5" s="3">
        <v>68</v>
      </c>
      <c r="K5" s="32">
        <v>1953</v>
      </c>
      <c r="N5" s="38">
        <f>+GETPIVOTDATA("contribution_receipt_amount",'Barbara Desoer'!$A$9)</f>
        <v>15000</v>
      </c>
      <c r="O5" s="3" t="s">
        <v>1</v>
      </c>
      <c r="P5" s="3" t="s">
        <v>276</v>
      </c>
      <c r="Q5" s="3" t="str">
        <f t="shared" si="0"/>
        <v>Barbara J. Desoer</v>
      </c>
    </row>
    <row r="6" spans="1:18" ht="15.75" x14ac:dyDescent="0.25">
      <c r="A6" s="3" t="s">
        <v>84</v>
      </c>
      <c r="B6" s="3" t="s">
        <v>26</v>
      </c>
      <c r="C6" s="7" t="s">
        <v>0</v>
      </c>
      <c r="D6" t="s">
        <v>93</v>
      </c>
      <c r="E6" s="6" t="s">
        <v>94</v>
      </c>
      <c r="F6" s="6" t="s">
        <v>95</v>
      </c>
      <c r="G6" s="3" t="s">
        <v>96</v>
      </c>
      <c r="H6" s="3" t="s">
        <v>30</v>
      </c>
      <c r="I6" s="3" t="s">
        <v>1878</v>
      </c>
      <c r="J6" s="3">
        <v>65</v>
      </c>
      <c r="K6" s="24">
        <v>20243</v>
      </c>
      <c r="Q6" s="3" t="str">
        <f t="shared" si="0"/>
        <v>John C. Dugan</v>
      </c>
      <c r="R6" s="3" t="s">
        <v>153</v>
      </c>
    </row>
    <row r="7" spans="1:18" ht="15.75" x14ac:dyDescent="0.25">
      <c r="A7" s="3" t="s">
        <v>84</v>
      </c>
      <c r="B7" s="3" t="s">
        <v>26</v>
      </c>
      <c r="C7" s="7" t="s">
        <v>26</v>
      </c>
      <c r="D7" s="7" t="s">
        <v>100</v>
      </c>
      <c r="E7" s="6" t="s">
        <v>97</v>
      </c>
      <c r="F7" s="6" t="s">
        <v>98</v>
      </c>
      <c r="G7" s="3" t="s">
        <v>99</v>
      </c>
      <c r="H7" s="3" t="s">
        <v>41</v>
      </c>
      <c r="I7" s="3" t="s">
        <v>349</v>
      </c>
      <c r="J7" s="3">
        <v>53</v>
      </c>
      <c r="L7" s="38">
        <f ca="1">+'JANE FRASER'!D250</f>
        <v>5831.4999999999991</v>
      </c>
      <c r="M7" s="38">
        <f ca="1">+'JANE FRASER'!D251</f>
        <v>1568.5</v>
      </c>
      <c r="N7" s="38">
        <f ca="1">+'JANE FRASER'!D252</f>
        <v>9422.7000000000044</v>
      </c>
      <c r="O7" s="3" t="s">
        <v>158</v>
      </c>
      <c r="P7" s="3" t="s">
        <v>902</v>
      </c>
      <c r="Q7" s="3" t="str">
        <f t="shared" si="0"/>
        <v>Jane N. Fraser</v>
      </c>
    </row>
    <row r="8" spans="1:18" ht="15.75" x14ac:dyDescent="0.25">
      <c r="A8" s="3" t="s">
        <v>84</v>
      </c>
      <c r="B8" s="3" t="s">
        <v>26</v>
      </c>
      <c r="C8" s="7" t="s">
        <v>0</v>
      </c>
      <c r="D8" s="7" t="s">
        <v>104</v>
      </c>
      <c r="E8" s="6" t="s">
        <v>101</v>
      </c>
      <c r="F8" s="6" t="s">
        <v>102</v>
      </c>
      <c r="G8" s="3" t="s">
        <v>103</v>
      </c>
      <c r="H8" s="3" t="s">
        <v>30</v>
      </c>
      <c r="I8" s="3" t="s">
        <v>52</v>
      </c>
      <c r="J8" s="3">
        <v>64</v>
      </c>
      <c r="O8" s="3" t="s">
        <v>1</v>
      </c>
      <c r="P8" s="3" t="s">
        <v>1883</v>
      </c>
      <c r="Q8" s="3" t="str">
        <f t="shared" si="0"/>
        <v>Duncan P. Hennes</v>
      </c>
      <c r="R8" s="3" t="s">
        <v>153</v>
      </c>
    </row>
    <row r="9" spans="1:18" ht="15.75" x14ac:dyDescent="0.25">
      <c r="A9" s="3" t="s">
        <v>84</v>
      </c>
      <c r="B9" s="3" t="s">
        <v>26</v>
      </c>
      <c r="C9" s="7" t="s">
        <v>0</v>
      </c>
      <c r="D9" s="23" t="s">
        <v>108</v>
      </c>
      <c r="E9" s="3" t="s">
        <v>105</v>
      </c>
      <c r="F9" s="3" t="s">
        <v>106</v>
      </c>
      <c r="G9" s="3" t="s">
        <v>107</v>
      </c>
      <c r="H9" s="3" t="s">
        <v>30</v>
      </c>
      <c r="I9" s="3" t="s">
        <v>52</v>
      </c>
      <c r="J9" s="3">
        <v>51</v>
      </c>
      <c r="O9" s="3" t="s">
        <v>158</v>
      </c>
      <c r="P9" s="3" t="s">
        <v>1884</v>
      </c>
      <c r="Q9" s="3" t="str">
        <f t="shared" si="0"/>
        <v>Peter B. Henry</v>
      </c>
      <c r="R9" s="3" t="s">
        <v>153</v>
      </c>
    </row>
    <row r="10" spans="1:18" ht="15.75" x14ac:dyDescent="0.25">
      <c r="A10" s="3" t="s">
        <v>84</v>
      </c>
      <c r="B10" s="3" t="s">
        <v>26</v>
      </c>
      <c r="C10" s="7" t="s">
        <v>0</v>
      </c>
      <c r="D10" s="7" t="s">
        <v>112</v>
      </c>
      <c r="E10" s="5" t="s">
        <v>109</v>
      </c>
      <c r="F10" s="3" t="s">
        <v>110</v>
      </c>
      <c r="G10" s="3" t="s">
        <v>111</v>
      </c>
      <c r="H10" s="3" t="s">
        <v>41</v>
      </c>
      <c r="I10" s="3" t="s">
        <v>52</v>
      </c>
      <c r="J10" s="3">
        <v>61</v>
      </c>
      <c r="K10" s="3">
        <v>1959</v>
      </c>
      <c r="Q10" s="3" t="str">
        <f t="shared" si="0"/>
        <v>S. Leslie Ireland</v>
      </c>
      <c r="R10" s="3" t="s">
        <v>153</v>
      </c>
    </row>
    <row r="11" spans="1:18" ht="15.75" x14ac:dyDescent="0.25">
      <c r="A11" s="3" t="s">
        <v>84</v>
      </c>
      <c r="B11" s="3" t="s">
        <v>26</v>
      </c>
      <c r="C11" s="7" t="s">
        <v>0</v>
      </c>
      <c r="D11" s="7" t="s">
        <v>116</v>
      </c>
      <c r="E11" s="6" t="s">
        <v>113</v>
      </c>
      <c r="F11" s="3" t="s">
        <v>114</v>
      </c>
      <c r="G11" s="3" t="s">
        <v>115</v>
      </c>
      <c r="H11" s="3" t="s">
        <v>30</v>
      </c>
      <c r="I11" s="3" t="s">
        <v>1879</v>
      </c>
      <c r="J11" s="3">
        <v>50</v>
      </c>
      <c r="Q11" s="3" t="str">
        <f t="shared" si="0"/>
        <v>Lew W. (Jay) Jacobs, IV</v>
      </c>
      <c r="R11" s="3" t="s">
        <v>153</v>
      </c>
    </row>
    <row r="12" spans="1:18" ht="15.75" x14ac:dyDescent="0.25">
      <c r="A12" s="3" t="s">
        <v>84</v>
      </c>
      <c r="B12" s="3" t="s">
        <v>26</v>
      </c>
      <c r="C12" s="7" t="s">
        <v>0</v>
      </c>
      <c r="D12" s="7" t="s">
        <v>120</v>
      </c>
      <c r="E12" s="6" t="s">
        <v>117</v>
      </c>
      <c r="F12" s="3" t="s">
        <v>118</v>
      </c>
      <c r="G12" s="3" t="s">
        <v>119</v>
      </c>
      <c r="H12" s="3" t="s">
        <v>41</v>
      </c>
      <c r="I12" s="3" t="s">
        <v>1880</v>
      </c>
      <c r="J12" s="3">
        <v>56</v>
      </c>
      <c r="K12" s="3">
        <v>1964</v>
      </c>
      <c r="O12" s="3" t="s">
        <v>158</v>
      </c>
      <c r="P12" s="3" t="s">
        <v>1885</v>
      </c>
      <c r="Q12" s="3" t="str">
        <f t="shared" si="0"/>
        <v>Renée J. James</v>
      </c>
      <c r="R12" s="3" t="s">
        <v>153</v>
      </c>
    </row>
    <row r="13" spans="1:18" ht="15.75" x14ac:dyDescent="0.25">
      <c r="A13" s="3" t="s">
        <v>84</v>
      </c>
      <c r="B13" s="3" t="s">
        <v>26</v>
      </c>
      <c r="C13" s="7" t="s">
        <v>0</v>
      </c>
      <c r="D13" s="7" t="s">
        <v>123</v>
      </c>
      <c r="E13" s="6" t="s">
        <v>121</v>
      </c>
      <c r="F13" s="3" t="s">
        <v>82</v>
      </c>
      <c r="G13" s="3" t="s">
        <v>122</v>
      </c>
      <c r="H13" s="3" t="s">
        <v>30</v>
      </c>
      <c r="I13" s="3" t="s">
        <v>52</v>
      </c>
      <c r="J13" s="3">
        <v>66</v>
      </c>
      <c r="K13" s="3">
        <v>1954</v>
      </c>
      <c r="Q13" s="3" t="str">
        <f t="shared" si="0"/>
        <v>Gary M. Reiner</v>
      </c>
      <c r="R13" s="3" t="s">
        <v>153</v>
      </c>
    </row>
    <row r="14" spans="1:18" ht="15.75" x14ac:dyDescent="0.25">
      <c r="A14" s="3" t="s">
        <v>84</v>
      </c>
      <c r="B14" s="3" t="s">
        <v>26</v>
      </c>
      <c r="C14" s="7" t="s">
        <v>0</v>
      </c>
      <c r="D14" s="7" t="s">
        <v>127</v>
      </c>
      <c r="E14" s="6" t="s">
        <v>124</v>
      </c>
      <c r="F14" s="3" t="s">
        <v>125</v>
      </c>
      <c r="G14" s="3" t="s">
        <v>126</v>
      </c>
      <c r="H14" s="3" t="s">
        <v>41</v>
      </c>
      <c r="I14" s="3" t="s">
        <v>47</v>
      </c>
      <c r="J14" s="3">
        <v>66</v>
      </c>
      <c r="L14" s="38">
        <f>+GETPIVOTDATA("contribution_receipt_amount",'Diana Taylor'!$A$454)</f>
        <v>15919.779999999999</v>
      </c>
      <c r="O14" s="3" t="s">
        <v>158</v>
      </c>
      <c r="P14" s="3" t="s">
        <v>1756</v>
      </c>
      <c r="Q14" s="3" t="str">
        <f t="shared" si="0"/>
        <v>Diana L. Taylor</v>
      </c>
    </row>
    <row r="15" spans="1:18" ht="15.75" x14ac:dyDescent="0.25">
      <c r="A15" s="3" t="s">
        <v>84</v>
      </c>
      <c r="B15" s="3" t="s">
        <v>26</v>
      </c>
      <c r="C15" s="7" t="s">
        <v>0</v>
      </c>
      <c r="D15" s="8" t="s">
        <v>130</v>
      </c>
      <c r="E15" s="6" t="s">
        <v>128</v>
      </c>
      <c r="F15" s="6" t="s">
        <v>109</v>
      </c>
      <c r="G15" s="3" t="s">
        <v>129</v>
      </c>
      <c r="H15" s="3" t="s">
        <v>30</v>
      </c>
      <c r="I15" s="3" t="s">
        <v>1879</v>
      </c>
      <c r="J15" s="3">
        <v>65</v>
      </c>
      <c r="O15" s="3" t="s">
        <v>1</v>
      </c>
      <c r="P15" s="3" t="s">
        <v>1886</v>
      </c>
      <c r="Q15" s="3" t="str">
        <f t="shared" si="0"/>
        <v>James S. Turley</v>
      </c>
      <c r="R15" s="3" t="s">
        <v>153</v>
      </c>
    </row>
    <row r="16" spans="1:18" ht="15.75" x14ac:dyDescent="0.25">
      <c r="A16" s="3" t="s">
        <v>84</v>
      </c>
      <c r="B16" s="3" t="s">
        <v>26</v>
      </c>
      <c r="C16" s="7" t="s">
        <v>0</v>
      </c>
      <c r="D16" s="10" t="s">
        <v>134</v>
      </c>
      <c r="E16" s="5" t="s">
        <v>131</v>
      </c>
      <c r="F16" s="3" t="s">
        <v>132</v>
      </c>
      <c r="G16" s="3" t="s">
        <v>133</v>
      </c>
      <c r="H16" s="3" t="s">
        <v>41</v>
      </c>
      <c r="I16" s="3" t="s">
        <v>52</v>
      </c>
      <c r="J16" s="3">
        <v>63</v>
      </c>
      <c r="L16" s="38">
        <f>+GETPIVOTDATA("contribution_receipt_amount",'Deborah Wright'!$A$15)</f>
        <v>1364.78</v>
      </c>
      <c r="O16" s="3" t="s">
        <v>158</v>
      </c>
      <c r="P16" s="3" t="s">
        <v>1777</v>
      </c>
      <c r="Q16" s="3" t="str">
        <f t="shared" si="0"/>
        <v>Deborah C. Wright</v>
      </c>
    </row>
    <row r="17" spans="1:18" ht="15.75" x14ac:dyDescent="0.25">
      <c r="A17" s="3" t="s">
        <v>84</v>
      </c>
      <c r="B17" s="3" t="s">
        <v>26</v>
      </c>
      <c r="C17" s="7" t="s">
        <v>0</v>
      </c>
      <c r="D17" s="8" t="s">
        <v>138</v>
      </c>
      <c r="E17" s="3" t="s">
        <v>135</v>
      </c>
      <c r="F17" s="3" t="s">
        <v>136</v>
      </c>
      <c r="G17" s="3" t="s">
        <v>137</v>
      </c>
      <c r="H17" s="3" t="s">
        <v>30</v>
      </c>
      <c r="I17" s="3" t="s">
        <v>1881</v>
      </c>
      <c r="J17" s="3">
        <v>60</v>
      </c>
      <c r="Q17" s="3" t="str">
        <f t="shared" si="0"/>
        <v>Alexander R. Wynaendts</v>
      </c>
      <c r="R17" s="3" t="s">
        <v>153</v>
      </c>
    </row>
    <row r="18" spans="1:18" ht="15.75" x14ac:dyDescent="0.25">
      <c r="A18" s="3" t="s">
        <v>84</v>
      </c>
      <c r="B18" s="3" t="s">
        <v>26</v>
      </c>
      <c r="C18" s="7" t="s">
        <v>0</v>
      </c>
      <c r="D18" s="10" t="s">
        <v>141</v>
      </c>
      <c r="E18" s="5" t="s">
        <v>139</v>
      </c>
      <c r="G18" s="3" t="s">
        <v>140</v>
      </c>
      <c r="H18" s="3" t="s">
        <v>30</v>
      </c>
      <c r="I18" s="3" t="s">
        <v>1882</v>
      </c>
      <c r="J18" s="3">
        <v>69</v>
      </c>
      <c r="Q18" s="3" t="str">
        <f t="shared" si="0"/>
        <v>Ernesto Zedillo Ponce de Leon</v>
      </c>
      <c r="R18" s="3" t="s">
        <v>153</v>
      </c>
    </row>
    <row r="19" spans="1:18" ht="15.75" x14ac:dyDescent="0.25">
      <c r="A19" s="3" t="s">
        <v>84</v>
      </c>
      <c r="B19" s="3" t="s">
        <v>0</v>
      </c>
      <c r="C19" s="8" t="s">
        <v>26</v>
      </c>
      <c r="D19" s="10" t="s">
        <v>142</v>
      </c>
      <c r="E19" s="5" t="s">
        <v>143</v>
      </c>
      <c r="G19" s="3" t="s">
        <v>144</v>
      </c>
      <c r="H19" s="3" t="s">
        <v>30</v>
      </c>
      <c r="I19" s="3" t="s">
        <v>52</v>
      </c>
      <c r="J19" s="3">
        <v>61</v>
      </c>
      <c r="K19" s="24">
        <v>22038</v>
      </c>
      <c r="N19" s="38">
        <f>+GETPIVOTDATA("contribution_receipt_amount",'Michael Corbat'!$A$6)</f>
        <v>10000</v>
      </c>
      <c r="P19" s="3" t="s">
        <v>1786</v>
      </c>
      <c r="Q19" s="3" t="str">
        <f t="shared" si="0"/>
        <v>Michael Corbat</v>
      </c>
    </row>
    <row r="20" spans="1:18" ht="15.75" x14ac:dyDescent="0.25">
      <c r="A20" s="3" t="s">
        <v>84</v>
      </c>
      <c r="B20" s="3" t="s">
        <v>0</v>
      </c>
      <c r="C20" s="8" t="s">
        <v>26</v>
      </c>
      <c r="D20" s="10" t="s">
        <v>145</v>
      </c>
      <c r="E20" s="5" t="s">
        <v>148</v>
      </c>
      <c r="G20" s="3" t="s">
        <v>149</v>
      </c>
      <c r="H20" s="3" t="s">
        <v>30</v>
      </c>
      <c r="I20" s="3" t="s">
        <v>1887</v>
      </c>
      <c r="N20" s="38">
        <f>+GETPIVOTDATA("contribution_receipt_amount",'Mark Mason'!$A$54)</f>
        <v>9615</v>
      </c>
      <c r="O20" s="3" t="s">
        <v>158</v>
      </c>
      <c r="P20" s="3" t="s">
        <v>1888</v>
      </c>
      <c r="Q20" s="3" t="str">
        <f t="shared" si="0"/>
        <v>Mark Mason</v>
      </c>
    </row>
    <row r="21" spans="1:18" ht="15.75" x14ac:dyDescent="0.25">
      <c r="A21" s="3" t="s">
        <v>84</v>
      </c>
      <c r="B21" s="3" t="s">
        <v>0</v>
      </c>
      <c r="C21" s="8" t="s">
        <v>26</v>
      </c>
      <c r="D21" s="10" t="s">
        <v>146</v>
      </c>
      <c r="E21" s="5" t="s">
        <v>150</v>
      </c>
      <c r="G21" s="3" t="s">
        <v>151</v>
      </c>
      <c r="H21" s="3" t="s">
        <v>30</v>
      </c>
      <c r="I21" s="3" t="s">
        <v>1876</v>
      </c>
      <c r="Q21" s="3" t="str">
        <f t="shared" si="0"/>
        <v>Paco Ybarra</v>
      </c>
      <c r="R21" s="3" t="s">
        <v>153</v>
      </c>
    </row>
    <row r="22" spans="1:18" ht="15.75" x14ac:dyDescent="0.25">
      <c r="A22" s="3" t="s">
        <v>84</v>
      </c>
      <c r="B22" s="3" t="s">
        <v>0</v>
      </c>
      <c r="C22" s="8" t="s">
        <v>26</v>
      </c>
      <c r="D22" s="10" t="s">
        <v>147</v>
      </c>
      <c r="E22" s="5" t="s">
        <v>143</v>
      </c>
      <c r="G22" s="3" t="s">
        <v>152</v>
      </c>
      <c r="H22" s="3" t="s">
        <v>30</v>
      </c>
      <c r="I22" s="3" t="s">
        <v>1876</v>
      </c>
      <c r="Q22" s="3" t="str">
        <f t="shared" si="0"/>
        <v>Michael Whitaker</v>
      </c>
      <c r="R22" s="3" t="s">
        <v>153</v>
      </c>
    </row>
    <row r="23" spans="1:18" ht="15.75" x14ac:dyDescent="0.25">
      <c r="C23" s="8"/>
      <c r="D23" s="5"/>
      <c r="E23" s="5"/>
    </row>
    <row r="24" spans="1:18" x14ac:dyDescent="0.25">
      <c r="C24" s="4"/>
    </row>
    <row r="25" spans="1:18" x14ac:dyDescent="0.25">
      <c r="C25" s="4"/>
      <c r="D25" s="5"/>
      <c r="E25" s="5"/>
    </row>
    <row r="26" spans="1:18" x14ac:dyDescent="0.25">
      <c r="C26" s="4"/>
    </row>
    <row r="27" spans="1:18" x14ac:dyDescent="0.25">
      <c r="C27" s="4"/>
      <c r="D27" s="5"/>
      <c r="E27" s="5"/>
    </row>
    <row r="28" spans="1:18" x14ac:dyDescent="0.25">
      <c r="C28" s="4"/>
      <c r="D28" s="5"/>
      <c r="E28" s="5"/>
    </row>
    <row r="29" spans="1:18" x14ac:dyDescent="0.25">
      <c r="C29" s="4"/>
      <c r="D29" s="5"/>
      <c r="E29" s="5"/>
    </row>
    <row r="30" spans="1:18" x14ac:dyDescent="0.25">
      <c r="C30" s="4"/>
    </row>
    <row r="31" spans="1:18" x14ac:dyDescent="0.25">
      <c r="C31" s="4"/>
      <c r="D31" s="5"/>
      <c r="E31" s="5"/>
    </row>
    <row r="32" spans="1:18" x14ac:dyDescent="0.25">
      <c r="C32" s="4"/>
      <c r="D32" s="5"/>
      <c r="E32" s="5"/>
    </row>
    <row r="33" spans="3:5" x14ac:dyDescent="0.25">
      <c r="C33" s="4"/>
      <c r="D33" s="5"/>
      <c r="E33" s="5"/>
    </row>
    <row r="34" spans="3:5" x14ac:dyDescent="0.25">
      <c r="C34" s="4"/>
      <c r="D34" s="5"/>
      <c r="E34" s="5"/>
    </row>
    <row r="35" spans="3:5" x14ac:dyDescent="0.25">
      <c r="C35" s="4"/>
      <c r="D35" s="5"/>
      <c r="E35" s="5"/>
    </row>
    <row r="36" spans="3:5" x14ac:dyDescent="0.25">
      <c r="C36" s="4"/>
      <c r="D36" s="5"/>
      <c r="E36" s="5"/>
    </row>
    <row r="37" spans="3:5" x14ac:dyDescent="0.25">
      <c r="C37" s="4"/>
      <c r="D37" s="5"/>
      <c r="E37" s="5"/>
    </row>
    <row r="38" spans="3:5" x14ac:dyDescent="0.25">
      <c r="C38" s="4"/>
      <c r="D38" s="5"/>
      <c r="E38" s="5"/>
    </row>
    <row r="39" spans="3:5" x14ac:dyDescent="0.25">
      <c r="C39" s="4"/>
      <c r="D39" s="5"/>
      <c r="E39" s="5"/>
    </row>
    <row r="40" spans="3:5" x14ac:dyDescent="0.25">
      <c r="C40" s="4"/>
      <c r="D40" s="5"/>
      <c r="E40" s="5"/>
    </row>
    <row r="41" spans="3:5" x14ac:dyDescent="0.25">
      <c r="C41" s="4"/>
      <c r="D41" s="5"/>
      <c r="E41" s="5"/>
    </row>
    <row r="42" spans="3:5" x14ac:dyDescent="0.25">
      <c r="C42" s="4"/>
      <c r="D42" s="5"/>
      <c r="E42" s="5"/>
    </row>
    <row r="43" spans="3:5" x14ac:dyDescent="0.25">
      <c r="C43" s="4"/>
      <c r="D43" s="5"/>
      <c r="E43" s="5"/>
    </row>
    <row r="44" spans="3:5" x14ac:dyDescent="0.25">
      <c r="C44" s="4"/>
      <c r="D44" s="5"/>
      <c r="E44" s="5"/>
    </row>
    <row r="45" spans="3:5" x14ac:dyDescent="0.25">
      <c r="C45" s="4"/>
      <c r="D45" s="5"/>
      <c r="E45" s="5"/>
    </row>
    <row r="46" spans="3:5" x14ac:dyDescent="0.25">
      <c r="C46" s="4"/>
    </row>
    <row r="47" spans="3:5" x14ac:dyDescent="0.25">
      <c r="C47" s="4"/>
      <c r="D47" s="5"/>
      <c r="E47" s="5"/>
    </row>
    <row r="48" spans="3:5" x14ac:dyDescent="0.25">
      <c r="C48" s="4"/>
      <c r="D48" s="5"/>
      <c r="E48" s="5"/>
    </row>
    <row r="49" spans="3:5" x14ac:dyDescent="0.25">
      <c r="C49" s="4"/>
      <c r="D49" s="5"/>
      <c r="E49" s="5"/>
    </row>
    <row r="50" spans="3:5" x14ac:dyDescent="0.25">
      <c r="C50" s="4"/>
      <c r="D50" s="5"/>
      <c r="E50" s="5"/>
    </row>
    <row r="51" spans="3:5" x14ac:dyDescent="0.25">
      <c r="C51" s="4"/>
    </row>
    <row r="52" spans="3:5" x14ac:dyDescent="0.25">
      <c r="C52" s="4"/>
      <c r="D52" s="5"/>
      <c r="E52" s="5"/>
    </row>
    <row r="53" spans="3:5" x14ac:dyDescent="0.25">
      <c r="C53" s="4"/>
      <c r="D53" s="5"/>
      <c r="E53" s="5"/>
    </row>
    <row r="54" spans="3:5" x14ac:dyDescent="0.25">
      <c r="C54" s="4"/>
      <c r="D54" s="5"/>
      <c r="E54" s="5"/>
    </row>
    <row r="55" spans="3:5" x14ac:dyDescent="0.25">
      <c r="C55" s="4"/>
      <c r="D55" s="5"/>
      <c r="E55" s="5"/>
    </row>
    <row r="56" spans="3:5" x14ac:dyDescent="0.25">
      <c r="C56" s="4"/>
      <c r="D56" s="5"/>
      <c r="E56" s="5"/>
    </row>
    <row r="57" spans="3:5" x14ac:dyDescent="0.25">
      <c r="C57" s="4"/>
      <c r="D57" s="5"/>
      <c r="E57" s="5"/>
    </row>
    <row r="58" spans="3:5" x14ac:dyDescent="0.25">
      <c r="C58" s="4"/>
      <c r="D58" s="5"/>
      <c r="E58" s="5"/>
    </row>
    <row r="59" spans="3:5" x14ac:dyDescent="0.25">
      <c r="C59" s="4"/>
      <c r="D59" s="5"/>
      <c r="E59" s="5"/>
    </row>
    <row r="60" spans="3:5" x14ac:dyDescent="0.25">
      <c r="C60" s="4"/>
      <c r="D60" s="5"/>
      <c r="E60" s="5"/>
    </row>
    <row r="61" spans="3:5" x14ac:dyDescent="0.25">
      <c r="C61" s="4"/>
      <c r="D61" s="5"/>
      <c r="E61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6"/>
  <sheetViews>
    <sheetView topLeftCell="J49" workbookViewId="0">
      <selection activeCell="V53" sqref="V53"/>
    </sheetView>
  </sheetViews>
  <sheetFormatPr defaultRowHeight="15" x14ac:dyDescent="0.25"/>
  <cols>
    <col min="1" max="1" width="77.42578125" bestFit="1" customWidth="1"/>
    <col min="2" max="2" width="34.5703125" bestFit="1" customWidth="1"/>
    <col min="3" max="3" width="9.28515625" bestFit="1" customWidth="1"/>
    <col min="5" max="5" width="12.42578125" bestFit="1" customWidth="1"/>
    <col min="8" max="8" width="9.28515625" bestFit="1" customWidth="1"/>
    <col min="26" max="26" width="10" bestFit="1" customWidth="1"/>
    <col min="30" max="30" width="9.28515625" bestFit="1" customWidth="1"/>
    <col min="35" max="37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34" t="s">
        <v>275</v>
      </c>
      <c r="B1" s="34" t="s">
        <v>268</v>
      </c>
      <c r="C1" s="34" t="s">
        <v>274</v>
      </c>
      <c r="D1" s="34" t="s">
        <v>273</v>
      </c>
      <c r="E1" s="34" t="s">
        <v>272</v>
      </c>
      <c r="F1" s="34" t="s">
        <v>271</v>
      </c>
      <c r="G1" s="34" t="s">
        <v>270</v>
      </c>
      <c r="H1" s="34" t="s">
        <v>269</v>
      </c>
      <c r="I1" s="34" t="s">
        <v>268</v>
      </c>
      <c r="J1" s="34" t="s">
        <v>267</v>
      </c>
      <c r="K1" s="34" t="s">
        <v>266</v>
      </c>
      <c r="L1" s="34" t="s">
        <v>265</v>
      </c>
      <c r="M1" s="34" t="s">
        <v>264</v>
      </c>
      <c r="N1" s="34" t="s">
        <v>263</v>
      </c>
      <c r="O1" s="34" t="s">
        <v>262</v>
      </c>
      <c r="P1" s="34" t="s">
        <v>261</v>
      </c>
      <c r="Q1" s="34" t="s">
        <v>260</v>
      </c>
      <c r="R1" s="34" t="s">
        <v>259</v>
      </c>
      <c r="S1" s="34" t="s">
        <v>258</v>
      </c>
      <c r="T1" s="34" t="s">
        <v>257</v>
      </c>
      <c r="U1" s="34" t="s">
        <v>256</v>
      </c>
      <c r="V1" s="34" t="s">
        <v>255</v>
      </c>
      <c r="W1" s="34" t="s">
        <v>254</v>
      </c>
      <c r="X1" s="34" t="s">
        <v>253</v>
      </c>
      <c r="Y1" s="34" t="s">
        <v>252</v>
      </c>
      <c r="Z1" s="34" t="s">
        <v>251</v>
      </c>
      <c r="AA1" s="34" t="s">
        <v>250</v>
      </c>
      <c r="AB1" s="34" t="s">
        <v>249</v>
      </c>
      <c r="AC1" s="34" t="s">
        <v>248</v>
      </c>
      <c r="AD1" s="34" t="s">
        <v>247</v>
      </c>
      <c r="AE1" s="34" t="s">
        <v>246</v>
      </c>
      <c r="AF1" s="34" t="s">
        <v>245</v>
      </c>
      <c r="AG1" s="34" t="s">
        <v>244</v>
      </c>
      <c r="AH1" s="34" t="s">
        <v>243</v>
      </c>
      <c r="AI1" s="34" t="s">
        <v>242</v>
      </c>
      <c r="AJ1" s="34" t="s">
        <v>241</v>
      </c>
      <c r="AK1" s="34" t="s">
        <v>240</v>
      </c>
      <c r="AL1" s="34" t="s">
        <v>239</v>
      </c>
      <c r="AM1" s="34" t="s">
        <v>238</v>
      </c>
      <c r="AN1" s="34" t="s">
        <v>237</v>
      </c>
      <c r="AO1" s="34" t="s">
        <v>236</v>
      </c>
      <c r="AP1" s="34" t="s">
        <v>235</v>
      </c>
      <c r="AQ1" s="34" t="s">
        <v>234</v>
      </c>
      <c r="AR1" s="34" t="s">
        <v>233</v>
      </c>
      <c r="AS1" s="34" t="s">
        <v>232</v>
      </c>
      <c r="AT1" s="34" t="s">
        <v>231</v>
      </c>
      <c r="AU1" s="34" t="s">
        <v>230</v>
      </c>
      <c r="AV1" s="34" t="s">
        <v>229</v>
      </c>
      <c r="AW1" s="34" t="s">
        <v>228</v>
      </c>
      <c r="AX1" s="34" t="s">
        <v>227</v>
      </c>
      <c r="AY1" s="34" t="s">
        <v>226</v>
      </c>
      <c r="AZ1" s="34" t="s">
        <v>225</v>
      </c>
      <c r="BA1" s="34" t="s">
        <v>224</v>
      </c>
      <c r="BB1" s="34" t="s">
        <v>223</v>
      </c>
      <c r="BC1" s="34" t="s">
        <v>222</v>
      </c>
      <c r="BD1" s="34" t="s">
        <v>221</v>
      </c>
      <c r="BE1" s="34" t="s">
        <v>220</v>
      </c>
      <c r="BF1" s="34" t="s">
        <v>219</v>
      </c>
      <c r="BG1" s="34" t="s">
        <v>218</v>
      </c>
      <c r="BH1" s="34" t="s">
        <v>217</v>
      </c>
      <c r="BI1" s="34" t="s">
        <v>216</v>
      </c>
      <c r="BJ1" s="34" t="s">
        <v>215</v>
      </c>
      <c r="BK1" s="34" t="s">
        <v>214</v>
      </c>
      <c r="BL1" s="34" t="s">
        <v>213</v>
      </c>
      <c r="BM1" s="34" t="s">
        <v>212</v>
      </c>
      <c r="BN1" s="34" t="s">
        <v>211</v>
      </c>
      <c r="BO1" s="34" t="s">
        <v>210</v>
      </c>
      <c r="BP1" s="34" t="s">
        <v>209</v>
      </c>
      <c r="BQ1" s="34" t="s">
        <v>208</v>
      </c>
      <c r="BR1" s="34" t="s">
        <v>207</v>
      </c>
      <c r="BS1" s="34" t="s">
        <v>206</v>
      </c>
      <c r="BT1" s="34" t="s">
        <v>205</v>
      </c>
      <c r="BU1" s="34" t="s">
        <v>204</v>
      </c>
      <c r="BV1" s="34" t="s">
        <v>203</v>
      </c>
      <c r="BW1" s="34" t="s">
        <v>202</v>
      </c>
      <c r="BX1" s="34" t="s">
        <v>201</v>
      </c>
      <c r="BY1" s="34" t="s">
        <v>200</v>
      </c>
      <c r="BZ1" s="34" t="s">
        <v>199</v>
      </c>
      <c r="CA1" s="34" t="s">
        <v>198</v>
      </c>
    </row>
    <row r="2" spans="1:79" x14ac:dyDescent="0.25">
      <c r="A2" s="34" t="s">
        <v>192</v>
      </c>
      <c r="B2" s="34" t="s">
        <v>157</v>
      </c>
      <c r="C2" s="34">
        <v>2019</v>
      </c>
      <c r="D2" s="34" t="s">
        <v>793</v>
      </c>
      <c r="E2" s="34">
        <v>2.0191120916588099E+17</v>
      </c>
      <c r="F2" s="34" t="s">
        <v>182</v>
      </c>
      <c r="G2" s="34" t="s">
        <v>1787</v>
      </c>
      <c r="H2" s="34">
        <v>1364266</v>
      </c>
      <c r="I2" s="34"/>
      <c r="J2" s="34" t="s">
        <v>180</v>
      </c>
      <c r="K2" s="34" t="s">
        <v>179</v>
      </c>
      <c r="L2" s="34"/>
      <c r="M2" s="34"/>
      <c r="N2" s="34" t="s">
        <v>1788</v>
      </c>
      <c r="O2" s="34" t="s">
        <v>66</v>
      </c>
      <c r="P2" s="34" t="s">
        <v>177</v>
      </c>
      <c r="Q2" s="34" t="s">
        <v>34</v>
      </c>
      <c r="R2" s="34" t="s">
        <v>1789</v>
      </c>
      <c r="S2" s="34"/>
      <c r="T2" s="34" t="s">
        <v>1790</v>
      </c>
      <c r="U2" s="34"/>
      <c r="V2" s="34" t="s">
        <v>190</v>
      </c>
      <c r="W2" s="34"/>
      <c r="X2" s="34" t="s">
        <v>189</v>
      </c>
      <c r="Y2" s="34" t="s">
        <v>52</v>
      </c>
      <c r="Z2" s="34">
        <v>100132375</v>
      </c>
      <c r="AA2" s="34" t="s">
        <v>1791</v>
      </c>
      <c r="AB2" s="34" t="s">
        <v>187</v>
      </c>
      <c r="AC2" s="34"/>
      <c r="AD2" s="34">
        <v>15</v>
      </c>
      <c r="AE2" s="34" t="s">
        <v>169</v>
      </c>
      <c r="AF2" s="34"/>
      <c r="AG2" s="34"/>
      <c r="AH2" s="34"/>
      <c r="AI2" s="34">
        <v>43483</v>
      </c>
      <c r="AJ2" s="34">
        <v>192.3</v>
      </c>
      <c r="AK2" s="34">
        <v>384.6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 t="s">
        <v>28</v>
      </c>
      <c r="BH2" s="34"/>
      <c r="BI2" s="34" t="s">
        <v>168</v>
      </c>
      <c r="BJ2" s="34"/>
      <c r="BK2" s="34" t="s">
        <v>0</v>
      </c>
      <c r="BL2" s="34" t="s">
        <v>186</v>
      </c>
      <c r="BM2" s="34" t="s">
        <v>166</v>
      </c>
      <c r="BN2" s="34">
        <v>43792.075380312497</v>
      </c>
      <c r="BO2" s="34"/>
      <c r="BP2" s="34"/>
      <c r="BQ2" s="34"/>
      <c r="BR2" s="34" t="s">
        <v>165</v>
      </c>
      <c r="BS2" s="34">
        <v>4.1120201916795197E+18</v>
      </c>
      <c r="BT2" s="34" t="s">
        <v>164</v>
      </c>
      <c r="BU2" s="34"/>
      <c r="BV2" s="34">
        <v>2020</v>
      </c>
      <c r="BW2" s="34" t="s">
        <v>163</v>
      </c>
      <c r="BX2" s="34"/>
      <c r="BY2" s="34">
        <v>4.11222019168002E+18</v>
      </c>
      <c r="BZ2" s="34" t="s">
        <v>1792</v>
      </c>
      <c r="CA2" s="34" t="s">
        <v>161</v>
      </c>
    </row>
    <row r="3" spans="1:79" x14ac:dyDescent="0.25">
      <c r="A3" s="34" t="s">
        <v>192</v>
      </c>
      <c r="B3" s="34" t="s">
        <v>157</v>
      </c>
      <c r="C3" s="34">
        <v>2019</v>
      </c>
      <c r="D3" s="34" t="s">
        <v>871</v>
      </c>
      <c r="E3" s="34">
        <v>2.0191120916592602E+17</v>
      </c>
      <c r="F3" s="34" t="s">
        <v>182</v>
      </c>
      <c r="G3" s="34" t="s">
        <v>1793</v>
      </c>
      <c r="H3" s="34">
        <v>1364299</v>
      </c>
      <c r="I3" s="34"/>
      <c r="J3" s="34" t="s">
        <v>180</v>
      </c>
      <c r="K3" s="34" t="s">
        <v>179</v>
      </c>
      <c r="L3" s="34"/>
      <c r="M3" s="34"/>
      <c r="N3" s="34" t="s">
        <v>1788</v>
      </c>
      <c r="O3" s="34" t="s">
        <v>66</v>
      </c>
      <c r="P3" s="34" t="s">
        <v>177</v>
      </c>
      <c r="Q3" s="34" t="s">
        <v>34</v>
      </c>
      <c r="R3" s="34" t="s">
        <v>1789</v>
      </c>
      <c r="S3" s="34"/>
      <c r="T3" s="34" t="s">
        <v>1790</v>
      </c>
      <c r="U3" s="34"/>
      <c r="V3" s="34" t="s">
        <v>1779</v>
      </c>
      <c r="W3" s="34"/>
      <c r="X3" s="34" t="s">
        <v>189</v>
      </c>
      <c r="Y3" s="34" t="s">
        <v>52</v>
      </c>
      <c r="Z3" s="34">
        <v>10013</v>
      </c>
      <c r="AA3" s="34" t="s">
        <v>539</v>
      </c>
      <c r="AB3" s="34" t="s">
        <v>187</v>
      </c>
      <c r="AC3" s="34"/>
      <c r="AD3" s="34">
        <v>15</v>
      </c>
      <c r="AE3" s="34" t="s">
        <v>169</v>
      </c>
      <c r="AF3" s="34"/>
      <c r="AG3" s="34"/>
      <c r="AH3" s="34"/>
      <c r="AI3" s="34">
        <v>43756</v>
      </c>
      <c r="AJ3" s="34">
        <v>192.3</v>
      </c>
      <c r="AK3" s="34">
        <v>4038.3</v>
      </c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 t="s">
        <v>28</v>
      </c>
      <c r="BH3" s="34"/>
      <c r="BI3" s="34" t="s">
        <v>168</v>
      </c>
      <c r="BJ3" s="34"/>
      <c r="BK3" s="34" t="s">
        <v>50</v>
      </c>
      <c r="BL3" s="34" t="s">
        <v>167</v>
      </c>
      <c r="BM3" s="34" t="s">
        <v>166</v>
      </c>
      <c r="BN3" s="34">
        <v>43793.079771354169</v>
      </c>
      <c r="BO3" s="34"/>
      <c r="BP3" s="34"/>
      <c r="BQ3" s="34"/>
      <c r="BR3" s="34" t="s">
        <v>165</v>
      </c>
      <c r="BS3" s="34">
        <v>4.1122201916797798E+18</v>
      </c>
      <c r="BT3" s="34" t="s">
        <v>164</v>
      </c>
      <c r="BU3" s="34"/>
      <c r="BV3" s="34">
        <v>2020</v>
      </c>
      <c r="BW3" s="34" t="s">
        <v>163</v>
      </c>
      <c r="BX3" s="34"/>
      <c r="BY3" s="34">
        <v>4.1123201916802202E+18</v>
      </c>
      <c r="BZ3" s="34" t="s">
        <v>1794</v>
      </c>
      <c r="CA3" s="34" t="s">
        <v>161</v>
      </c>
    </row>
    <row r="4" spans="1:79" x14ac:dyDescent="0.25">
      <c r="A4" s="34" t="s">
        <v>192</v>
      </c>
      <c r="B4" s="34" t="s">
        <v>157</v>
      </c>
      <c r="C4" s="34">
        <v>2019</v>
      </c>
      <c r="D4" s="34" t="s">
        <v>183</v>
      </c>
      <c r="E4" s="34">
        <v>2.0191121916603101E+17</v>
      </c>
      <c r="F4" s="34" t="s">
        <v>182</v>
      </c>
      <c r="G4" s="34" t="s">
        <v>1795</v>
      </c>
      <c r="H4" s="34">
        <v>1364444</v>
      </c>
      <c r="I4" s="34"/>
      <c r="J4" s="34" t="s">
        <v>180</v>
      </c>
      <c r="K4" s="34" t="s">
        <v>179</v>
      </c>
      <c r="L4" s="34"/>
      <c r="M4" s="34"/>
      <c r="N4" s="34" t="s">
        <v>1788</v>
      </c>
      <c r="O4" s="34" t="s">
        <v>66</v>
      </c>
      <c r="P4" s="34" t="s">
        <v>177</v>
      </c>
      <c r="Q4" s="34" t="s">
        <v>34</v>
      </c>
      <c r="R4" s="34" t="s">
        <v>1789</v>
      </c>
      <c r="S4" s="34"/>
      <c r="T4" s="34" t="s">
        <v>1790</v>
      </c>
      <c r="U4" s="34"/>
      <c r="V4" s="34" t="s">
        <v>190</v>
      </c>
      <c r="W4" s="34"/>
      <c r="X4" s="34" t="s">
        <v>189</v>
      </c>
      <c r="Y4" s="34" t="s">
        <v>52</v>
      </c>
      <c r="Z4" s="34">
        <v>100132375</v>
      </c>
      <c r="AA4" s="34" t="s">
        <v>1791</v>
      </c>
      <c r="AB4" s="34" t="s">
        <v>187</v>
      </c>
      <c r="AC4" s="34"/>
      <c r="AD4" s="34">
        <v>15</v>
      </c>
      <c r="AE4" s="34" t="s">
        <v>169</v>
      </c>
      <c r="AF4" s="34"/>
      <c r="AG4" s="34"/>
      <c r="AH4" s="34"/>
      <c r="AI4" s="34">
        <v>43525</v>
      </c>
      <c r="AJ4" s="34">
        <v>192.3</v>
      </c>
      <c r="AK4" s="34">
        <v>961.5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 t="s">
        <v>28</v>
      </c>
      <c r="BH4" s="34"/>
      <c r="BI4" s="34" t="s">
        <v>168</v>
      </c>
      <c r="BJ4" s="34"/>
      <c r="BK4" s="34" t="s">
        <v>0</v>
      </c>
      <c r="BL4" s="34" t="s">
        <v>186</v>
      </c>
      <c r="BM4" s="34" t="s">
        <v>166</v>
      </c>
      <c r="BN4" s="34">
        <v>43793.082254687499</v>
      </c>
      <c r="BO4" s="34"/>
      <c r="BP4" s="34"/>
      <c r="BQ4" s="34"/>
      <c r="BR4" s="34" t="s">
        <v>165</v>
      </c>
      <c r="BS4" s="34">
        <v>4.11232019168002E+18</v>
      </c>
      <c r="BT4" s="34" t="s">
        <v>164</v>
      </c>
      <c r="BU4" s="34"/>
      <c r="BV4" s="34">
        <v>2020</v>
      </c>
      <c r="BW4" s="34" t="s">
        <v>163</v>
      </c>
      <c r="BX4" s="34"/>
      <c r="BY4" s="34">
        <v>4.1123201916802601E+18</v>
      </c>
      <c r="BZ4" s="34" t="s">
        <v>1796</v>
      </c>
      <c r="CA4" s="34" t="s">
        <v>161</v>
      </c>
    </row>
    <row r="5" spans="1:79" x14ac:dyDescent="0.25">
      <c r="A5" s="34" t="s">
        <v>192</v>
      </c>
      <c r="B5" s="34" t="s">
        <v>157</v>
      </c>
      <c r="C5" s="34">
        <v>2019</v>
      </c>
      <c r="D5" s="34" t="s">
        <v>871</v>
      </c>
      <c r="E5" s="34">
        <v>2.0191120916592602E+17</v>
      </c>
      <c r="F5" s="34" t="s">
        <v>182</v>
      </c>
      <c r="G5" s="34" t="s">
        <v>1797</v>
      </c>
      <c r="H5" s="34">
        <v>1364299</v>
      </c>
      <c r="I5" s="34"/>
      <c r="J5" s="34" t="s">
        <v>180</v>
      </c>
      <c r="K5" s="34" t="s">
        <v>179</v>
      </c>
      <c r="L5" s="34"/>
      <c r="M5" s="34"/>
      <c r="N5" s="34" t="s">
        <v>1788</v>
      </c>
      <c r="O5" s="34" t="s">
        <v>66</v>
      </c>
      <c r="P5" s="34" t="s">
        <v>177</v>
      </c>
      <c r="Q5" s="34" t="s">
        <v>34</v>
      </c>
      <c r="R5" s="34" t="s">
        <v>1789</v>
      </c>
      <c r="S5" s="34"/>
      <c r="T5" s="34" t="s">
        <v>1790</v>
      </c>
      <c r="U5" s="34"/>
      <c r="V5" s="34" t="s">
        <v>1779</v>
      </c>
      <c r="W5" s="34"/>
      <c r="X5" s="34" t="s">
        <v>189</v>
      </c>
      <c r="Y5" s="34" t="s">
        <v>52</v>
      </c>
      <c r="Z5" s="34">
        <v>10013</v>
      </c>
      <c r="AA5" s="34" t="s">
        <v>539</v>
      </c>
      <c r="AB5" s="34" t="s">
        <v>187</v>
      </c>
      <c r="AC5" s="34"/>
      <c r="AD5" s="34">
        <v>15</v>
      </c>
      <c r="AE5" s="34" t="s">
        <v>169</v>
      </c>
      <c r="AF5" s="34"/>
      <c r="AG5" s="34"/>
      <c r="AH5" s="34"/>
      <c r="AI5" s="34">
        <v>43742</v>
      </c>
      <c r="AJ5" s="34">
        <v>192.3</v>
      </c>
      <c r="AK5" s="34">
        <v>3846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 t="s">
        <v>28</v>
      </c>
      <c r="BH5" s="34"/>
      <c r="BI5" s="34" t="s">
        <v>168</v>
      </c>
      <c r="BJ5" s="34"/>
      <c r="BK5" s="34" t="s">
        <v>50</v>
      </c>
      <c r="BL5" s="34" t="s">
        <v>167</v>
      </c>
      <c r="BM5" s="34" t="s">
        <v>166</v>
      </c>
      <c r="BN5" s="34">
        <v>43793.079771354169</v>
      </c>
      <c r="BO5" s="34"/>
      <c r="BP5" s="34"/>
      <c r="BQ5" s="34"/>
      <c r="BR5" s="34" t="s">
        <v>165</v>
      </c>
      <c r="BS5" s="34">
        <v>4.1122201916797798E+18</v>
      </c>
      <c r="BT5" s="34" t="s">
        <v>164</v>
      </c>
      <c r="BU5" s="34"/>
      <c r="BV5" s="34">
        <v>2020</v>
      </c>
      <c r="BW5" s="34" t="s">
        <v>163</v>
      </c>
      <c r="BX5" s="34"/>
      <c r="BY5" s="34">
        <v>4.1123201916802202E+18</v>
      </c>
      <c r="BZ5" s="34" t="s">
        <v>1794</v>
      </c>
      <c r="CA5" s="34" t="s">
        <v>161</v>
      </c>
    </row>
    <row r="6" spans="1:79" x14ac:dyDescent="0.25">
      <c r="A6" s="34" t="s">
        <v>192</v>
      </c>
      <c r="B6" s="34" t="s">
        <v>157</v>
      </c>
      <c r="C6" s="34">
        <v>2019</v>
      </c>
      <c r="D6" s="34" t="s">
        <v>197</v>
      </c>
      <c r="E6" s="34">
        <v>2.0191121916603101E+17</v>
      </c>
      <c r="F6" s="34" t="s">
        <v>182</v>
      </c>
      <c r="G6" s="34" t="s">
        <v>1798</v>
      </c>
      <c r="H6" s="34">
        <v>1364440</v>
      </c>
      <c r="I6" s="34"/>
      <c r="J6" s="34" t="s">
        <v>180</v>
      </c>
      <c r="K6" s="34" t="s">
        <v>179</v>
      </c>
      <c r="L6" s="34"/>
      <c r="M6" s="34"/>
      <c r="N6" s="34" t="s">
        <v>1788</v>
      </c>
      <c r="O6" s="34" t="s">
        <v>66</v>
      </c>
      <c r="P6" s="34" t="s">
        <v>177</v>
      </c>
      <c r="Q6" s="34" t="s">
        <v>34</v>
      </c>
      <c r="R6" s="34" t="s">
        <v>1789</v>
      </c>
      <c r="S6" s="34"/>
      <c r="T6" s="34" t="s">
        <v>1790</v>
      </c>
      <c r="U6" s="34"/>
      <c r="V6" s="34" t="s">
        <v>190</v>
      </c>
      <c r="W6" s="34"/>
      <c r="X6" s="34" t="s">
        <v>189</v>
      </c>
      <c r="Y6" s="34" t="s">
        <v>52</v>
      </c>
      <c r="Z6" s="34">
        <v>100132375</v>
      </c>
      <c r="AA6" s="34" t="s">
        <v>1791</v>
      </c>
      <c r="AB6" s="34" t="s">
        <v>187</v>
      </c>
      <c r="AC6" s="34"/>
      <c r="AD6" s="34">
        <v>15</v>
      </c>
      <c r="AE6" s="34" t="s">
        <v>169</v>
      </c>
      <c r="AF6" s="34"/>
      <c r="AG6" s="34"/>
      <c r="AH6" s="34"/>
      <c r="AI6" s="34">
        <v>43497</v>
      </c>
      <c r="AJ6" s="34">
        <v>192.3</v>
      </c>
      <c r="AK6" s="34">
        <v>576.9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 t="s">
        <v>28</v>
      </c>
      <c r="BH6" s="34"/>
      <c r="BI6" s="34" t="s">
        <v>168</v>
      </c>
      <c r="BJ6" s="34"/>
      <c r="BK6" s="34" t="s">
        <v>0</v>
      </c>
      <c r="BL6" s="34" t="s">
        <v>186</v>
      </c>
      <c r="BM6" s="34" t="s">
        <v>166</v>
      </c>
      <c r="BN6" s="34">
        <v>43793.082254340276</v>
      </c>
      <c r="BO6" s="34"/>
      <c r="BP6" s="34"/>
      <c r="BQ6" s="34"/>
      <c r="BR6" s="34" t="s">
        <v>165</v>
      </c>
      <c r="BS6" s="34">
        <v>4.11232019168002E+18</v>
      </c>
      <c r="BT6" s="34" t="s">
        <v>164</v>
      </c>
      <c r="BU6" s="34"/>
      <c r="BV6" s="34">
        <v>2020</v>
      </c>
      <c r="BW6" s="34" t="s">
        <v>163</v>
      </c>
      <c r="BX6" s="34"/>
      <c r="BY6" s="34">
        <v>4.1123201916802601E+18</v>
      </c>
      <c r="BZ6" s="34" t="s">
        <v>1799</v>
      </c>
      <c r="CA6" s="34" t="s">
        <v>161</v>
      </c>
    </row>
    <row r="7" spans="1:79" x14ac:dyDescent="0.25">
      <c r="A7" s="34" t="s">
        <v>192</v>
      </c>
      <c r="B7" s="34" t="s">
        <v>157</v>
      </c>
      <c r="C7" s="34">
        <v>2019</v>
      </c>
      <c r="D7" s="34" t="s">
        <v>197</v>
      </c>
      <c r="E7" s="34">
        <v>2.0191121916603101E+17</v>
      </c>
      <c r="F7" s="34" t="s">
        <v>182</v>
      </c>
      <c r="G7" s="34" t="s">
        <v>1800</v>
      </c>
      <c r="H7" s="34">
        <v>1364440</v>
      </c>
      <c r="I7" s="34"/>
      <c r="J7" s="34" t="s">
        <v>180</v>
      </c>
      <c r="K7" s="34" t="s">
        <v>179</v>
      </c>
      <c r="L7" s="34"/>
      <c r="M7" s="34"/>
      <c r="N7" s="34" t="s">
        <v>1788</v>
      </c>
      <c r="O7" s="34" t="s">
        <v>66</v>
      </c>
      <c r="P7" s="34" t="s">
        <v>177</v>
      </c>
      <c r="Q7" s="34" t="s">
        <v>34</v>
      </c>
      <c r="R7" s="34" t="s">
        <v>1789</v>
      </c>
      <c r="S7" s="34"/>
      <c r="T7" s="34" t="s">
        <v>1790</v>
      </c>
      <c r="U7" s="34"/>
      <c r="V7" s="34" t="s">
        <v>190</v>
      </c>
      <c r="W7" s="34"/>
      <c r="X7" s="34" t="s">
        <v>189</v>
      </c>
      <c r="Y7" s="34" t="s">
        <v>52</v>
      </c>
      <c r="Z7" s="34">
        <v>100132375</v>
      </c>
      <c r="AA7" s="34" t="s">
        <v>1791</v>
      </c>
      <c r="AB7" s="34" t="s">
        <v>187</v>
      </c>
      <c r="AC7" s="34"/>
      <c r="AD7" s="34">
        <v>15</v>
      </c>
      <c r="AE7" s="34" t="s">
        <v>169</v>
      </c>
      <c r="AF7" s="34"/>
      <c r="AG7" s="34"/>
      <c r="AH7" s="34"/>
      <c r="AI7" s="34">
        <v>43511</v>
      </c>
      <c r="AJ7" s="34">
        <v>192.3</v>
      </c>
      <c r="AK7" s="34">
        <v>769.2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 t="s">
        <v>28</v>
      </c>
      <c r="BH7" s="34"/>
      <c r="BI7" s="34" t="s">
        <v>168</v>
      </c>
      <c r="BJ7" s="34"/>
      <c r="BK7" s="34" t="s">
        <v>0</v>
      </c>
      <c r="BL7" s="34" t="s">
        <v>186</v>
      </c>
      <c r="BM7" s="34" t="s">
        <v>166</v>
      </c>
      <c r="BN7" s="34">
        <v>43793.082254340276</v>
      </c>
      <c r="BO7" s="34"/>
      <c r="BP7" s="34"/>
      <c r="BQ7" s="34"/>
      <c r="BR7" s="34" t="s">
        <v>165</v>
      </c>
      <c r="BS7" s="34">
        <v>4.11232019168002E+18</v>
      </c>
      <c r="BT7" s="34" t="s">
        <v>164</v>
      </c>
      <c r="BU7" s="34"/>
      <c r="BV7" s="34">
        <v>2020</v>
      </c>
      <c r="BW7" s="34" t="s">
        <v>163</v>
      </c>
      <c r="BX7" s="34"/>
      <c r="BY7" s="34">
        <v>4.1123201916802601E+18</v>
      </c>
      <c r="BZ7" s="34" t="s">
        <v>1801</v>
      </c>
      <c r="CA7" s="34" t="s">
        <v>161</v>
      </c>
    </row>
    <row r="8" spans="1:79" x14ac:dyDescent="0.25">
      <c r="A8" s="34" t="s">
        <v>192</v>
      </c>
      <c r="B8" s="34" t="s">
        <v>157</v>
      </c>
      <c r="C8" s="34">
        <v>2019</v>
      </c>
      <c r="D8" s="34" t="s">
        <v>183</v>
      </c>
      <c r="E8" s="34">
        <v>2.0191121916603101E+17</v>
      </c>
      <c r="F8" s="34" t="s">
        <v>182</v>
      </c>
      <c r="G8" s="34" t="s">
        <v>1802</v>
      </c>
      <c r="H8" s="34">
        <v>1364444</v>
      </c>
      <c r="I8" s="34"/>
      <c r="J8" s="34" t="s">
        <v>180</v>
      </c>
      <c r="K8" s="34" t="s">
        <v>179</v>
      </c>
      <c r="L8" s="34"/>
      <c r="M8" s="34"/>
      <c r="N8" s="34" t="s">
        <v>1788</v>
      </c>
      <c r="O8" s="34" t="s">
        <v>66</v>
      </c>
      <c r="P8" s="34" t="s">
        <v>177</v>
      </c>
      <c r="Q8" s="34" t="s">
        <v>34</v>
      </c>
      <c r="R8" s="34" t="s">
        <v>1789</v>
      </c>
      <c r="S8" s="34"/>
      <c r="T8" s="34" t="s">
        <v>1790</v>
      </c>
      <c r="U8" s="34"/>
      <c r="V8" s="34" t="s">
        <v>190</v>
      </c>
      <c r="W8" s="34"/>
      <c r="X8" s="34" t="s">
        <v>189</v>
      </c>
      <c r="Y8" s="34" t="s">
        <v>52</v>
      </c>
      <c r="Z8" s="34">
        <v>100132375</v>
      </c>
      <c r="AA8" s="34" t="s">
        <v>1791</v>
      </c>
      <c r="AB8" s="34" t="s">
        <v>187</v>
      </c>
      <c r="AC8" s="34"/>
      <c r="AD8" s="34">
        <v>15</v>
      </c>
      <c r="AE8" s="34" t="s">
        <v>169</v>
      </c>
      <c r="AF8" s="34"/>
      <c r="AG8" s="34"/>
      <c r="AH8" s="34"/>
      <c r="AI8" s="34">
        <v>43539</v>
      </c>
      <c r="AJ8" s="34">
        <v>192.3</v>
      </c>
      <c r="AK8" s="34">
        <v>1153.8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 t="s">
        <v>28</v>
      </c>
      <c r="BH8" s="34"/>
      <c r="BI8" s="34" t="s">
        <v>168</v>
      </c>
      <c r="BJ8" s="34"/>
      <c r="BK8" s="34" t="s">
        <v>0</v>
      </c>
      <c r="BL8" s="34" t="s">
        <v>186</v>
      </c>
      <c r="BM8" s="34" t="s">
        <v>166</v>
      </c>
      <c r="BN8" s="34">
        <v>43793.082254687499</v>
      </c>
      <c r="BO8" s="34"/>
      <c r="BP8" s="34"/>
      <c r="BQ8" s="34"/>
      <c r="BR8" s="34" t="s">
        <v>165</v>
      </c>
      <c r="BS8" s="34">
        <v>4.11232019168002E+18</v>
      </c>
      <c r="BT8" s="34" t="s">
        <v>164</v>
      </c>
      <c r="BU8" s="34"/>
      <c r="BV8" s="34">
        <v>2020</v>
      </c>
      <c r="BW8" s="34" t="s">
        <v>163</v>
      </c>
      <c r="BX8" s="34"/>
      <c r="BY8" s="34">
        <v>4.1123201916802601E+18</v>
      </c>
      <c r="BZ8" s="34" t="s">
        <v>1796</v>
      </c>
      <c r="CA8" s="34" t="s">
        <v>161</v>
      </c>
    </row>
    <row r="9" spans="1:79" x14ac:dyDescent="0.25">
      <c r="A9" s="34" t="s">
        <v>192</v>
      </c>
      <c r="B9" s="34" t="s">
        <v>157</v>
      </c>
      <c r="C9" s="34">
        <v>2019</v>
      </c>
      <c r="D9" s="34" t="s">
        <v>644</v>
      </c>
      <c r="E9" s="34">
        <v>2.0191121916606899E+17</v>
      </c>
      <c r="F9" s="34" t="s">
        <v>182</v>
      </c>
      <c r="G9" s="34" t="s">
        <v>1803</v>
      </c>
      <c r="H9" s="34">
        <v>1364454</v>
      </c>
      <c r="I9" s="34"/>
      <c r="J9" s="34" t="s">
        <v>180</v>
      </c>
      <c r="K9" s="34" t="s">
        <v>179</v>
      </c>
      <c r="L9" s="34"/>
      <c r="M9" s="34"/>
      <c r="N9" s="34" t="s">
        <v>1788</v>
      </c>
      <c r="O9" s="34" t="s">
        <v>66</v>
      </c>
      <c r="P9" s="34" t="s">
        <v>177</v>
      </c>
      <c r="Q9" s="34" t="s">
        <v>34</v>
      </c>
      <c r="R9" s="34" t="s">
        <v>1789</v>
      </c>
      <c r="S9" s="34"/>
      <c r="T9" s="34" t="s">
        <v>1790</v>
      </c>
      <c r="U9" s="34"/>
      <c r="V9" s="34" t="s">
        <v>1779</v>
      </c>
      <c r="W9" s="34"/>
      <c r="X9" s="34" t="s">
        <v>189</v>
      </c>
      <c r="Y9" s="34" t="s">
        <v>52</v>
      </c>
      <c r="Z9" s="34">
        <v>10013</v>
      </c>
      <c r="AA9" s="34" t="s">
        <v>539</v>
      </c>
      <c r="AB9" s="34" t="s">
        <v>187</v>
      </c>
      <c r="AC9" s="34"/>
      <c r="AD9" s="34">
        <v>15</v>
      </c>
      <c r="AE9" s="34" t="s">
        <v>169</v>
      </c>
      <c r="AF9" s="34"/>
      <c r="AG9" s="34"/>
      <c r="AH9" s="34"/>
      <c r="AI9" s="34">
        <v>43560</v>
      </c>
      <c r="AJ9" s="34">
        <v>192.3</v>
      </c>
      <c r="AK9" s="34">
        <v>1346.1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 t="s">
        <v>28</v>
      </c>
      <c r="BH9" s="34"/>
      <c r="BI9" s="34" t="s">
        <v>168</v>
      </c>
      <c r="BJ9" s="34"/>
      <c r="BK9" s="34" t="s">
        <v>0</v>
      </c>
      <c r="BL9" s="34" t="s">
        <v>186</v>
      </c>
      <c r="BM9" s="34" t="s">
        <v>166</v>
      </c>
      <c r="BN9" s="34">
        <v>43793.085895023149</v>
      </c>
      <c r="BO9" s="34"/>
      <c r="BP9" s="34"/>
      <c r="BQ9" s="34"/>
      <c r="BR9" s="34" t="s">
        <v>165</v>
      </c>
      <c r="BS9" s="34">
        <v>4.11232019168002E+18</v>
      </c>
      <c r="BT9" s="34" t="s">
        <v>164</v>
      </c>
      <c r="BU9" s="34"/>
      <c r="BV9" s="34">
        <v>2020</v>
      </c>
      <c r="BW9" s="34" t="s">
        <v>163</v>
      </c>
      <c r="BX9" s="34"/>
      <c r="BY9" s="34">
        <v>4.1123201916803702E+18</v>
      </c>
      <c r="BZ9" s="34" t="s">
        <v>1804</v>
      </c>
      <c r="CA9" s="34" t="s">
        <v>161</v>
      </c>
    </row>
    <row r="10" spans="1:79" x14ac:dyDescent="0.25">
      <c r="A10" s="34" t="s">
        <v>192</v>
      </c>
      <c r="B10" s="34" t="s">
        <v>157</v>
      </c>
      <c r="C10" s="34">
        <v>2019</v>
      </c>
      <c r="D10" s="34" t="s">
        <v>644</v>
      </c>
      <c r="E10" s="34">
        <v>2.0191121916606899E+17</v>
      </c>
      <c r="F10" s="34" t="s">
        <v>182</v>
      </c>
      <c r="G10" s="34" t="s">
        <v>1805</v>
      </c>
      <c r="H10" s="34">
        <v>1364454</v>
      </c>
      <c r="I10" s="34"/>
      <c r="J10" s="34" t="s">
        <v>180</v>
      </c>
      <c r="K10" s="34" t="s">
        <v>179</v>
      </c>
      <c r="L10" s="34"/>
      <c r="M10" s="34"/>
      <c r="N10" s="34" t="s">
        <v>1788</v>
      </c>
      <c r="O10" s="34" t="s">
        <v>66</v>
      </c>
      <c r="P10" s="34" t="s">
        <v>177</v>
      </c>
      <c r="Q10" s="34" t="s">
        <v>34</v>
      </c>
      <c r="R10" s="34" t="s">
        <v>1789</v>
      </c>
      <c r="S10" s="34"/>
      <c r="T10" s="34" t="s">
        <v>1790</v>
      </c>
      <c r="U10" s="34"/>
      <c r="V10" s="34" t="s">
        <v>1779</v>
      </c>
      <c r="W10" s="34"/>
      <c r="X10" s="34" t="s">
        <v>189</v>
      </c>
      <c r="Y10" s="34" t="s">
        <v>52</v>
      </c>
      <c r="Z10" s="34">
        <v>10013</v>
      </c>
      <c r="AA10" s="34" t="s">
        <v>539</v>
      </c>
      <c r="AB10" s="34" t="s">
        <v>187</v>
      </c>
      <c r="AC10" s="34"/>
      <c r="AD10" s="34">
        <v>15</v>
      </c>
      <c r="AE10" s="34" t="s">
        <v>169</v>
      </c>
      <c r="AF10" s="34"/>
      <c r="AG10" s="34"/>
      <c r="AH10" s="34"/>
      <c r="AI10" s="34">
        <v>43574</v>
      </c>
      <c r="AJ10" s="34">
        <v>192.3</v>
      </c>
      <c r="AK10" s="34">
        <v>1538.4</v>
      </c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 t="s">
        <v>28</v>
      </c>
      <c r="BH10" s="34"/>
      <c r="BI10" s="34" t="s">
        <v>168</v>
      </c>
      <c r="BJ10" s="34"/>
      <c r="BK10" s="34" t="s">
        <v>0</v>
      </c>
      <c r="BL10" s="34" t="s">
        <v>186</v>
      </c>
      <c r="BM10" s="34" t="s">
        <v>166</v>
      </c>
      <c r="BN10" s="34">
        <v>43793.085895023149</v>
      </c>
      <c r="BO10" s="34"/>
      <c r="BP10" s="34"/>
      <c r="BQ10" s="34"/>
      <c r="BR10" s="34" t="s">
        <v>165</v>
      </c>
      <c r="BS10" s="34">
        <v>4.11232019168002E+18</v>
      </c>
      <c r="BT10" s="34" t="s">
        <v>164</v>
      </c>
      <c r="BU10" s="34"/>
      <c r="BV10" s="34">
        <v>2020</v>
      </c>
      <c r="BW10" s="34" t="s">
        <v>163</v>
      </c>
      <c r="BX10" s="34"/>
      <c r="BY10" s="34">
        <v>4.1123201916803702E+18</v>
      </c>
      <c r="BZ10" s="34" t="s">
        <v>1806</v>
      </c>
      <c r="CA10" s="34" t="s">
        <v>161</v>
      </c>
    </row>
    <row r="11" spans="1:79" x14ac:dyDescent="0.25">
      <c r="A11" s="34" t="s">
        <v>192</v>
      </c>
      <c r="B11" s="34" t="s">
        <v>157</v>
      </c>
      <c r="C11" s="34">
        <v>2019</v>
      </c>
      <c r="D11" s="34" t="s">
        <v>553</v>
      </c>
      <c r="E11" s="34">
        <v>2.0191121916607002E+17</v>
      </c>
      <c r="F11" s="34" t="s">
        <v>182</v>
      </c>
      <c r="G11" s="34" t="s">
        <v>1807</v>
      </c>
      <c r="H11" s="34">
        <v>1364461</v>
      </c>
      <c r="I11" s="34"/>
      <c r="J11" s="34" t="s">
        <v>180</v>
      </c>
      <c r="K11" s="34" t="s">
        <v>179</v>
      </c>
      <c r="L11" s="34"/>
      <c r="M11" s="34"/>
      <c r="N11" s="34" t="s">
        <v>1788</v>
      </c>
      <c r="O11" s="34" t="s">
        <v>66</v>
      </c>
      <c r="P11" s="34" t="s">
        <v>177</v>
      </c>
      <c r="Q11" s="34" t="s">
        <v>34</v>
      </c>
      <c r="R11" s="34" t="s">
        <v>1789</v>
      </c>
      <c r="S11" s="34"/>
      <c r="T11" s="34" t="s">
        <v>1790</v>
      </c>
      <c r="U11" s="34"/>
      <c r="V11" s="34" t="s">
        <v>1779</v>
      </c>
      <c r="W11" s="34"/>
      <c r="X11" s="34" t="s">
        <v>189</v>
      </c>
      <c r="Y11" s="34" t="s">
        <v>52</v>
      </c>
      <c r="Z11" s="34">
        <v>10013</v>
      </c>
      <c r="AA11" s="34" t="s">
        <v>539</v>
      </c>
      <c r="AB11" s="34" t="s">
        <v>187</v>
      </c>
      <c r="AC11" s="34"/>
      <c r="AD11" s="34">
        <v>15</v>
      </c>
      <c r="AE11" s="34" t="s">
        <v>169</v>
      </c>
      <c r="AF11" s="34"/>
      <c r="AG11" s="34"/>
      <c r="AH11" s="34"/>
      <c r="AI11" s="34">
        <v>43630</v>
      </c>
      <c r="AJ11" s="34">
        <v>192.3</v>
      </c>
      <c r="AK11" s="34">
        <v>2307.6</v>
      </c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 t="s">
        <v>28</v>
      </c>
      <c r="BH11" s="34"/>
      <c r="BI11" s="34" t="s">
        <v>168</v>
      </c>
      <c r="BJ11" s="34"/>
      <c r="BK11" s="34" t="s">
        <v>0</v>
      </c>
      <c r="BL11" s="34" t="s">
        <v>186</v>
      </c>
      <c r="BM11" s="34" t="s">
        <v>166</v>
      </c>
      <c r="BN11" s="34">
        <v>43793.086078958331</v>
      </c>
      <c r="BO11" s="34"/>
      <c r="BP11" s="34"/>
      <c r="BQ11" s="34"/>
      <c r="BR11" s="34" t="s">
        <v>165</v>
      </c>
      <c r="BS11" s="34">
        <v>4.11232019168002E+18</v>
      </c>
      <c r="BT11" s="34" t="s">
        <v>164</v>
      </c>
      <c r="BU11" s="34"/>
      <c r="BV11" s="34">
        <v>2020</v>
      </c>
      <c r="BW11" s="34" t="s">
        <v>163</v>
      </c>
      <c r="BX11" s="34"/>
      <c r="BY11" s="34">
        <v>4.1123201916803799E+18</v>
      </c>
      <c r="BZ11" s="34" t="s">
        <v>1808</v>
      </c>
      <c r="CA11" s="34" t="s">
        <v>161</v>
      </c>
    </row>
    <row r="12" spans="1:79" x14ac:dyDescent="0.25">
      <c r="A12" s="34" t="s">
        <v>192</v>
      </c>
      <c r="B12" s="34" t="s">
        <v>157</v>
      </c>
      <c r="C12" s="34">
        <v>2019</v>
      </c>
      <c r="D12" s="34" t="s">
        <v>553</v>
      </c>
      <c r="E12" s="34">
        <v>2.0191121916607002E+17</v>
      </c>
      <c r="F12" s="34" t="s">
        <v>182</v>
      </c>
      <c r="G12" s="34" t="s">
        <v>1809</v>
      </c>
      <c r="H12" s="34">
        <v>1364461</v>
      </c>
      <c r="I12" s="34"/>
      <c r="J12" s="34" t="s">
        <v>180</v>
      </c>
      <c r="K12" s="34" t="s">
        <v>179</v>
      </c>
      <c r="L12" s="34"/>
      <c r="M12" s="34"/>
      <c r="N12" s="34" t="s">
        <v>1788</v>
      </c>
      <c r="O12" s="34" t="s">
        <v>66</v>
      </c>
      <c r="P12" s="34" t="s">
        <v>177</v>
      </c>
      <c r="Q12" s="34" t="s">
        <v>34</v>
      </c>
      <c r="R12" s="34" t="s">
        <v>1789</v>
      </c>
      <c r="S12" s="34"/>
      <c r="T12" s="34" t="s">
        <v>1790</v>
      </c>
      <c r="U12" s="34"/>
      <c r="V12" s="34" t="s">
        <v>1779</v>
      </c>
      <c r="W12" s="34"/>
      <c r="X12" s="34" t="s">
        <v>189</v>
      </c>
      <c r="Y12" s="34" t="s">
        <v>52</v>
      </c>
      <c r="Z12" s="34">
        <v>10013</v>
      </c>
      <c r="AA12" s="34" t="s">
        <v>539</v>
      </c>
      <c r="AB12" s="34" t="s">
        <v>187</v>
      </c>
      <c r="AC12" s="34"/>
      <c r="AD12" s="34">
        <v>15</v>
      </c>
      <c r="AE12" s="34" t="s">
        <v>169</v>
      </c>
      <c r="AF12" s="34"/>
      <c r="AG12" s="34"/>
      <c r="AH12" s="34"/>
      <c r="AI12" s="34">
        <v>43644</v>
      </c>
      <c r="AJ12" s="34">
        <v>192.3</v>
      </c>
      <c r="AK12" s="34">
        <v>2499.9</v>
      </c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 t="s">
        <v>28</v>
      </c>
      <c r="BH12" s="34"/>
      <c r="BI12" s="34" t="s">
        <v>168</v>
      </c>
      <c r="BJ12" s="34"/>
      <c r="BK12" s="34" t="s">
        <v>0</v>
      </c>
      <c r="BL12" s="34" t="s">
        <v>186</v>
      </c>
      <c r="BM12" s="34" t="s">
        <v>166</v>
      </c>
      <c r="BN12" s="34">
        <v>43793.086078958331</v>
      </c>
      <c r="BO12" s="34"/>
      <c r="BP12" s="34"/>
      <c r="BQ12" s="34"/>
      <c r="BR12" s="34" t="s">
        <v>165</v>
      </c>
      <c r="BS12" s="34">
        <v>4.11232019168002E+18</v>
      </c>
      <c r="BT12" s="34" t="s">
        <v>164</v>
      </c>
      <c r="BU12" s="34"/>
      <c r="BV12" s="34">
        <v>2020</v>
      </c>
      <c r="BW12" s="34" t="s">
        <v>163</v>
      </c>
      <c r="BX12" s="34"/>
      <c r="BY12" s="34">
        <v>4.1123201916803799E+18</v>
      </c>
      <c r="BZ12" s="34" t="s">
        <v>1808</v>
      </c>
      <c r="CA12" s="34" t="s">
        <v>161</v>
      </c>
    </row>
    <row r="13" spans="1:79" x14ac:dyDescent="0.25">
      <c r="A13" s="34" t="s">
        <v>192</v>
      </c>
      <c r="B13" s="34" t="s">
        <v>157</v>
      </c>
      <c r="C13" s="34">
        <v>2019</v>
      </c>
      <c r="D13" s="34" t="s">
        <v>494</v>
      </c>
      <c r="E13" s="34">
        <v>2.01911219166072E+17</v>
      </c>
      <c r="F13" s="34" t="s">
        <v>182</v>
      </c>
      <c r="G13" s="34" t="s">
        <v>1810</v>
      </c>
      <c r="H13" s="34">
        <v>1364475</v>
      </c>
      <c r="I13" s="34"/>
      <c r="J13" s="34" t="s">
        <v>180</v>
      </c>
      <c r="K13" s="34" t="s">
        <v>179</v>
      </c>
      <c r="L13" s="34"/>
      <c r="M13" s="34"/>
      <c r="N13" s="34" t="s">
        <v>1788</v>
      </c>
      <c r="O13" s="34" t="s">
        <v>66</v>
      </c>
      <c r="P13" s="34" t="s">
        <v>177</v>
      </c>
      <c r="Q13" s="34" t="s">
        <v>34</v>
      </c>
      <c r="R13" s="34" t="s">
        <v>1789</v>
      </c>
      <c r="S13" s="34"/>
      <c r="T13" s="34" t="s">
        <v>1790</v>
      </c>
      <c r="U13" s="34"/>
      <c r="V13" s="34" t="s">
        <v>1779</v>
      </c>
      <c r="W13" s="34"/>
      <c r="X13" s="34" t="s">
        <v>189</v>
      </c>
      <c r="Y13" s="34" t="s">
        <v>52</v>
      </c>
      <c r="Z13" s="34">
        <v>10013</v>
      </c>
      <c r="AA13" s="34" t="s">
        <v>539</v>
      </c>
      <c r="AB13" s="34" t="s">
        <v>187</v>
      </c>
      <c r="AC13" s="34"/>
      <c r="AD13" s="34">
        <v>15</v>
      </c>
      <c r="AE13" s="34" t="s">
        <v>169</v>
      </c>
      <c r="AF13" s="34"/>
      <c r="AG13" s="34"/>
      <c r="AH13" s="34"/>
      <c r="AI13" s="34">
        <v>43714</v>
      </c>
      <c r="AJ13" s="34">
        <v>192.3</v>
      </c>
      <c r="AK13" s="34">
        <v>3461.4</v>
      </c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 t="s">
        <v>28</v>
      </c>
      <c r="BH13" s="34"/>
      <c r="BI13" s="34" t="s">
        <v>168</v>
      </c>
      <c r="BJ13" s="34"/>
      <c r="BK13" s="34" t="s">
        <v>0</v>
      </c>
      <c r="BL13" s="34" t="s">
        <v>186</v>
      </c>
      <c r="BM13" s="34" t="s">
        <v>166</v>
      </c>
      <c r="BN13" s="34">
        <v>43793.086519803241</v>
      </c>
      <c r="BO13" s="34"/>
      <c r="BP13" s="34"/>
      <c r="BQ13" s="34"/>
      <c r="BR13" s="34" t="s">
        <v>165</v>
      </c>
      <c r="BS13" s="34">
        <v>4.11232019168002E+18</v>
      </c>
      <c r="BT13" s="34" t="s">
        <v>164</v>
      </c>
      <c r="BU13" s="34"/>
      <c r="BV13" s="34">
        <v>2020</v>
      </c>
      <c r="BW13" s="34" t="s">
        <v>163</v>
      </c>
      <c r="BX13" s="34"/>
      <c r="BY13" s="34">
        <v>4.1123201916803799E+18</v>
      </c>
      <c r="BZ13" s="34" t="s">
        <v>1811</v>
      </c>
      <c r="CA13" s="34" t="s">
        <v>161</v>
      </c>
    </row>
    <row r="14" spans="1:79" x14ac:dyDescent="0.25">
      <c r="A14" s="34" t="s">
        <v>192</v>
      </c>
      <c r="B14" s="34" t="s">
        <v>157</v>
      </c>
      <c r="C14" s="34">
        <v>2019</v>
      </c>
      <c r="D14" s="34" t="s">
        <v>451</v>
      </c>
      <c r="E14" s="34">
        <v>2.01911219166072E+17</v>
      </c>
      <c r="F14" s="34" t="s">
        <v>182</v>
      </c>
      <c r="G14" s="34" t="s">
        <v>1812</v>
      </c>
      <c r="H14" s="34">
        <v>1364473</v>
      </c>
      <c r="I14" s="34"/>
      <c r="J14" s="34" t="s">
        <v>180</v>
      </c>
      <c r="K14" s="34" t="s">
        <v>179</v>
      </c>
      <c r="L14" s="34"/>
      <c r="M14" s="34"/>
      <c r="N14" s="34" t="s">
        <v>1788</v>
      </c>
      <c r="O14" s="34" t="s">
        <v>66</v>
      </c>
      <c r="P14" s="34" t="s">
        <v>177</v>
      </c>
      <c r="Q14" s="34" t="s">
        <v>34</v>
      </c>
      <c r="R14" s="34" t="s">
        <v>1789</v>
      </c>
      <c r="S14" s="34"/>
      <c r="T14" s="34" t="s">
        <v>1790</v>
      </c>
      <c r="U14" s="34"/>
      <c r="V14" s="34" t="s">
        <v>1779</v>
      </c>
      <c r="W14" s="34"/>
      <c r="X14" s="34" t="s">
        <v>189</v>
      </c>
      <c r="Y14" s="34" t="s">
        <v>52</v>
      </c>
      <c r="Z14" s="34">
        <v>10013</v>
      </c>
      <c r="AA14" s="34" t="s">
        <v>539</v>
      </c>
      <c r="AB14" s="34" t="s">
        <v>187</v>
      </c>
      <c r="AC14" s="34"/>
      <c r="AD14" s="34">
        <v>15</v>
      </c>
      <c r="AE14" s="34" t="s">
        <v>169</v>
      </c>
      <c r="AF14" s="34"/>
      <c r="AG14" s="34"/>
      <c r="AH14" s="34"/>
      <c r="AI14" s="34">
        <v>43658</v>
      </c>
      <c r="AJ14" s="34">
        <v>192.3</v>
      </c>
      <c r="AK14" s="34">
        <v>2692.2</v>
      </c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 t="s">
        <v>28</v>
      </c>
      <c r="BH14" s="34"/>
      <c r="BI14" s="34" t="s">
        <v>168</v>
      </c>
      <c r="BJ14" s="34"/>
      <c r="BK14" s="34" t="s">
        <v>0</v>
      </c>
      <c r="BL14" s="34" t="s">
        <v>186</v>
      </c>
      <c r="BM14" s="34" t="s">
        <v>166</v>
      </c>
      <c r="BN14" s="34">
        <v>43793.086466909721</v>
      </c>
      <c r="BO14" s="34"/>
      <c r="BP14" s="34"/>
      <c r="BQ14" s="34"/>
      <c r="BR14" s="34" t="s">
        <v>165</v>
      </c>
      <c r="BS14" s="34">
        <v>4.11232019168002E+18</v>
      </c>
      <c r="BT14" s="34" t="s">
        <v>164</v>
      </c>
      <c r="BU14" s="34"/>
      <c r="BV14" s="34">
        <v>2020</v>
      </c>
      <c r="BW14" s="34" t="s">
        <v>163</v>
      </c>
      <c r="BX14" s="34"/>
      <c r="BY14" s="34">
        <v>4.1123201916803799E+18</v>
      </c>
      <c r="BZ14" s="34" t="s">
        <v>1813</v>
      </c>
      <c r="CA14" s="34" t="s">
        <v>161</v>
      </c>
    </row>
    <row r="15" spans="1:79" x14ac:dyDescent="0.25">
      <c r="A15" s="34" t="s">
        <v>192</v>
      </c>
      <c r="B15" s="34" t="s">
        <v>157</v>
      </c>
      <c r="C15" s="34">
        <v>2019</v>
      </c>
      <c r="D15" s="34" t="s">
        <v>451</v>
      </c>
      <c r="E15" s="34">
        <v>2.01911219166072E+17</v>
      </c>
      <c r="F15" s="34" t="s">
        <v>182</v>
      </c>
      <c r="G15" s="34" t="s">
        <v>1814</v>
      </c>
      <c r="H15" s="34">
        <v>1364473</v>
      </c>
      <c r="I15" s="34"/>
      <c r="J15" s="34" t="s">
        <v>180</v>
      </c>
      <c r="K15" s="34" t="s">
        <v>179</v>
      </c>
      <c r="L15" s="34"/>
      <c r="M15" s="34"/>
      <c r="N15" s="34" t="s">
        <v>1788</v>
      </c>
      <c r="O15" s="34" t="s">
        <v>66</v>
      </c>
      <c r="P15" s="34" t="s">
        <v>177</v>
      </c>
      <c r="Q15" s="34" t="s">
        <v>34</v>
      </c>
      <c r="R15" s="34" t="s">
        <v>1789</v>
      </c>
      <c r="S15" s="34"/>
      <c r="T15" s="34" t="s">
        <v>1790</v>
      </c>
      <c r="U15" s="34"/>
      <c r="V15" s="34" t="s">
        <v>1779</v>
      </c>
      <c r="W15" s="34"/>
      <c r="X15" s="34" t="s">
        <v>189</v>
      </c>
      <c r="Y15" s="34" t="s">
        <v>52</v>
      </c>
      <c r="Z15" s="34">
        <v>10013</v>
      </c>
      <c r="AA15" s="34" t="s">
        <v>539</v>
      </c>
      <c r="AB15" s="34" t="s">
        <v>187</v>
      </c>
      <c r="AC15" s="34"/>
      <c r="AD15" s="34">
        <v>15</v>
      </c>
      <c r="AE15" s="34" t="s">
        <v>169</v>
      </c>
      <c r="AF15" s="34"/>
      <c r="AG15" s="34"/>
      <c r="AH15" s="34"/>
      <c r="AI15" s="34">
        <v>43672</v>
      </c>
      <c r="AJ15" s="34">
        <v>192.3</v>
      </c>
      <c r="AK15" s="34">
        <v>2884.5</v>
      </c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 t="s">
        <v>28</v>
      </c>
      <c r="BH15" s="34"/>
      <c r="BI15" s="34" t="s">
        <v>168</v>
      </c>
      <c r="BJ15" s="34"/>
      <c r="BK15" s="34" t="s">
        <v>0</v>
      </c>
      <c r="BL15" s="34" t="s">
        <v>186</v>
      </c>
      <c r="BM15" s="34" t="s">
        <v>166</v>
      </c>
      <c r="BN15" s="34">
        <v>43793.086466909721</v>
      </c>
      <c r="BO15" s="34"/>
      <c r="BP15" s="34"/>
      <c r="BQ15" s="34"/>
      <c r="BR15" s="34" t="s">
        <v>165</v>
      </c>
      <c r="BS15" s="34">
        <v>4.11232019168002E+18</v>
      </c>
      <c r="BT15" s="34" t="s">
        <v>164</v>
      </c>
      <c r="BU15" s="34"/>
      <c r="BV15" s="34">
        <v>2020</v>
      </c>
      <c r="BW15" s="34" t="s">
        <v>163</v>
      </c>
      <c r="BX15" s="34"/>
      <c r="BY15" s="34">
        <v>4.1123201916803799E+18</v>
      </c>
      <c r="BZ15" s="34" t="s">
        <v>1815</v>
      </c>
      <c r="CA15" s="34" t="s">
        <v>161</v>
      </c>
    </row>
    <row r="16" spans="1:79" x14ac:dyDescent="0.25">
      <c r="A16" s="34" t="s">
        <v>192</v>
      </c>
      <c r="B16" s="34" t="s">
        <v>157</v>
      </c>
      <c r="C16" s="34">
        <v>2019</v>
      </c>
      <c r="D16" s="34" t="s">
        <v>373</v>
      </c>
      <c r="E16" s="34">
        <v>2.01911219166072E+17</v>
      </c>
      <c r="F16" s="34" t="s">
        <v>182</v>
      </c>
      <c r="G16" s="34" t="s">
        <v>1816</v>
      </c>
      <c r="H16" s="34">
        <v>1364474</v>
      </c>
      <c r="I16" s="34"/>
      <c r="J16" s="34" t="s">
        <v>180</v>
      </c>
      <c r="K16" s="34" t="s">
        <v>179</v>
      </c>
      <c r="L16" s="34"/>
      <c r="M16" s="34"/>
      <c r="N16" s="34" t="s">
        <v>1788</v>
      </c>
      <c r="O16" s="34" t="s">
        <v>66</v>
      </c>
      <c r="P16" s="34" t="s">
        <v>177</v>
      </c>
      <c r="Q16" s="34" t="s">
        <v>34</v>
      </c>
      <c r="R16" s="34" t="s">
        <v>1789</v>
      </c>
      <c r="S16" s="34"/>
      <c r="T16" s="34" t="s">
        <v>1790</v>
      </c>
      <c r="U16" s="34"/>
      <c r="V16" s="34" t="s">
        <v>1779</v>
      </c>
      <c r="W16" s="34"/>
      <c r="X16" s="34" t="s">
        <v>189</v>
      </c>
      <c r="Y16" s="34" t="s">
        <v>52</v>
      </c>
      <c r="Z16" s="34">
        <v>10013</v>
      </c>
      <c r="AA16" s="34" t="s">
        <v>539</v>
      </c>
      <c r="AB16" s="34" t="s">
        <v>187</v>
      </c>
      <c r="AC16" s="34"/>
      <c r="AD16" s="34">
        <v>15</v>
      </c>
      <c r="AE16" s="34" t="s">
        <v>169</v>
      </c>
      <c r="AF16" s="34"/>
      <c r="AG16" s="34"/>
      <c r="AH16" s="34"/>
      <c r="AI16" s="34">
        <v>43686</v>
      </c>
      <c r="AJ16" s="34">
        <v>192.3</v>
      </c>
      <c r="AK16" s="34">
        <v>3076.8</v>
      </c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 t="s">
        <v>28</v>
      </c>
      <c r="BH16" s="34"/>
      <c r="BI16" s="34" t="s">
        <v>168</v>
      </c>
      <c r="BJ16" s="34"/>
      <c r="BK16" s="34" t="s">
        <v>0</v>
      </c>
      <c r="BL16" s="34" t="s">
        <v>186</v>
      </c>
      <c r="BM16" s="34" t="s">
        <v>166</v>
      </c>
      <c r="BN16" s="34">
        <v>43793.086467442132</v>
      </c>
      <c r="BO16" s="34"/>
      <c r="BP16" s="34"/>
      <c r="BQ16" s="34"/>
      <c r="BR16" s="34" t="s">
        <v>165</v>
      </c>
      <c r="BS16" s="34">
        <v>4.11232019168002E+18</v>
      </c>
      <c r="BT16" s="34" t="s">
        <v>164</v>
      </c>
      <c r="BU16" s="34"/>
      <c r="BV16" s="34">
        <v>2020</v>
      </c>
      <c r="BW16" s="34" t="s">
        <v>163</v>
      </c>
      <c r="BX16" s="34"/>
      <c r="BY16" s="34">
        <v>4.1123201916803799E+18</v>
      </c>
      <c r="BZ16" s="34" t="s">
        <v>1817</v>
      </c>
      <c r="CA16" s="34" t="s">
        <v>161</v>
      </c>
    </row>
    <row r="17" spans="1:79" x14ac:dyDescent="0.25">
      <c r="A17" s="34" t="s">
        <v>192</v>
      </c>
      <c r="B17" s="34" t="s">
        <v>157</v>
      </c>
      <c r="C17" s="34">
        <v>2019</v>
      </c>
      <c r="D17" s="34" t="s">
        <v>373</v>
      </c>
      <c r="E17" s="34">
        <v>2.01911219166072E+17</v>
      </c>
      <c r="F17" s="34" t="s">
        <v>182</v>
      </c>
      <c r="G17" s="34" t="s">
        <v>1818</v>
      </c>
      <c r="H17" s="34">
        <v>1364474</v>
      </c>
      <c r="I17" s="34"/>
      <c r="J17" s="34" t="s">
        <v>180</v>
      </c>
      <c r="K17" s="34" t="s">
        <v>179</v>
      </c>
      <c r="L17" s="34"/>
      <c r="M17" s="34"/>
      <c r="N17" s="34" t="s">
        <v>1788</v>
      </c>
      <c r="O17" s="34" t="s">
        <v>66</v>
      </c>
      <c r="P17" s="34" t="s">
        <v>177</v>
      </c>
      <c r="Q17" s="34" t="s">
        <v>34</v>
      </c>
      <c r="R17" s="34" t="s">
        <v>1789</v>
      </c>
      <c r="S17" s="34"/>
      <c r="T17" s="34" t="s">
        <v>1790</v>
      </c>
      <c r="U17" s="34"/>
      <c r="V17" s="34" t="s">
        <v>1779</v>
      </c>
      <c r="W17" s="34"/>
      <c r="X17" s="34" t="s">
        <v>189</v>
      </c>
      <c r="Y17" s="34" t="s">
        <v>52</v>
      </c>
      <c r="Z17" s="34">
        <v>10013</v>
      </c>
      <c r="AA17" s="34" t="s">
        <v>539</v>
      </c>
      <c r="AB17" s="34" t="s">
        <v>187</v>
      </c>
      <c r="AC17" s="34"/>
      <c r="AD17" s="34">
        <v>15</v>
      </c>
      <c r="AE17" s="34" t="s">
        <v>169</v>
      </c>
      <c r="AF17" s="34"/>
      <c r="AG17" s="34"/>
      <c r="AH17" s="34"/>
      <c r="AI17" s="34">
        <v>43700</v>
      </c>
      <c r="AJ17" s="34">
        <v>192.3</v>
      </c>
      <c r="AK17" s="34">
        <v>3269.1</v>
      </c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 t="s">
        <v>28</v>
      </c>
      <c r="BH17" s="34"/>
      <c r="BI17" s="34" t="s">
        <v>168</v>
      </c>
      <c r="BJ17" s="34"/>
      <c r="BK17" s="34" t="s">
        <v>0</v>
      </c>
      <c r="BL17" s="34" t="s">
        <v>186</v>
      </c>
      <c r="BM17" s="34" t="s">
        <v>166</v>
      </c>
      <c r="BN17" s="34">
        <v>43793.086467442132</v>
      </c>
      <c r="BO17" s="34"/>
      <c r="BP17" s="34"/>
      <c r="BQ17" s="34"/>
      <c r="BR17" s="34" t="s">
        <v>165</v>
      </c>
      <c r="BS17" s="34">
        <v>4.11232019168002E+18</v>
      </c>
      <c r="BT17" s="34" t="s">
        <v>164</v>
      </c>
      <c r="BU17" s="34"/>
      <c r="BV17" s="34">
        <v>2020</v>
      </c>
      <c r="BW17" s="34" t="s">
        <v>163</v>
      </c>
      <c r="BX17" s="34"/>
      <c r="BY17" s="34">
        <v>4.1123201916803799E+18</v>
      </c>
      <c r="BZ17" s="34" t="s">
        <v>1819</v>
      </c>
      <c r="CA17" s="34" t="s">
        <v>161</v>
      </c>
    </row>
    <row r="18" spans="1:79" x14ac:dyDescent="0.25">
      <c r="A18" s="34" t="s">
        <v>192</v>
      </c>
      <c r="B18" s="34" t="s">
        <v>157</v>
      </c>
      <c r="C18" s="34">
        <v>2019</v>
      </c>
      <c r="D18" s="34" t="s">
        <v>494</v>
      </c>
      <c r="E18" s="34">
        <v>2.01911219166072E+17</v>
      </c>
      <c r="F18" s="34" t="s">
        <v>182</v>
      </c>
      <c r="G18" s="34" t="s">
        <v>1820</v>
      </c>
      <c r="H18" s="34">
        <v>1364475</v>
      </c>
      <c r="I18" s="34"/>
      <c r="J18" s="34" t="s">
        <v>180</v>
      </c>
      <c r="K18" s="34" t="s">
        <v>179</v>
      </c>
      <c r="L18" s="34"/>
      <c r="M18" s="34"/>
      <c r="N18" s="34" t="s">
        <v>1788</v>
      </c>
      <c r="O18" s="34" t="s">
        <v>66</v>
      </c>
      <c r="P18" s="34" t="s">
        <v>177</v>
      </c>
      <c r="Q18" s="34" t="s">
        <v>34</v>
      </c>
      <c r="R18" s="34" t="s">
        <v>1789</v>
      </c>
      <c r="S18" s="34"/>
      <c r="T18" s="34" t="s">
        <v>1790</v>
      </c>
      <c r="U18" s="34"/>
      <c r="V18" s="34" t="s">
        <v>1779</v>
      </c>
      <c r="W18" s="34"/>
      <c r="X18" s="34" t="s">
        <v>189</v>
      </c>
      <c r="Y18" s="34" t="s">
        <v>52</v>
      </c>
      <c r="Z18" s="34">
        <v>10013</v>
      </c>
      <c r="AA18" s="34" t="s">
        <v>539</v>
      </c>
      <c r="AB18" s="34" t="s">
        <v>187</v>
      </c>
      <c r="AC18" s="34"/>
      <c r="AD18" s="34">
        <v>15</v>
      </c>
      <c r="AE18" s="34" t="s">
        <v>169</v>
      </c>
      <c r="AF18" s="34"/>
      <c r="AG18" s="34"/>
      <c r="AH18" s="34"/>
      <c r="AI18" s="34">
        <v>43728</v>
      </c>
      <c r="AJ18" s="34">
        <v>192.3</v>
      </c>
      <c r="AK18" s="34">
        <v>3653.7</v>
      </c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 t="s">
        <v>28</v>
      </c>
      <c r="BH18" s="34"/>
      <c r="BI18" s="34" t="s">
        <v>168</v>
      </c>
      <c r="BJ18" s="34"/>
      <c r="BK18" s="34" t="s">
        <v>0</v>
      </c>
      <c r="BL18" s="34" t="s">
        <v>186</v>
      </c>
      <c r="BM18" s="34" t="s">
        <v>166</v>
      </c>
      <c r="BN18" s="34">
        <v>43793.086519803241</v>
      </c>
      <c r="BO18" s="34"/>
      <c r="BP18" s="34"/>
      <c r="BQ18" s="34"/>
      <c r="BR18" s="34" t="s">
        <v>165</v>
      </c>
      <c r="BS18" s="34">
        <v>4.11232019168002E+18</v>
      </c>
      <c r="BT18" s="34" t="s">
        <v>164</v>
      </c>
      <c r="BU18" s="34"/>
      <c r="BV18" s="34">
        <v>2020</v>
      </c>
      <c r="BW18" s="34" t="s">
        <v>163</v>
      </c>
      <c r="BX18" s="34"/>
      <c r="BY18" s="34">
        <v>4.1123201916803799E+18</v>
      </c>
      <c r="BZ18" s="34" t="s">
        <v>1811</v>
      </c>
      <c r="CA18" s="34" t="s">
        <v>161</v>
      </c>
    </row>
    <row r="19" spans="1:79" x14ac:dyDescent="0.25">
      <c r="A19" s="34" t="s">
        <v>192</v>
      </c>
      <c r="B19" s="34" t="s">
        <v>157</v>
      </c>
      <c r="C19" s="34">
        <v>2019</v>
      </c>
      <c r="D19" s="34" t="s">
        <v>706</v>
      </c>
      <c r="E19" s="34">
        <v>2.0200123916731501E+17</v>
      </c>
      <c r="F19" s="34" t="s">
        <v>182</v>
      </c>
      <c r="G19" s="34" t="s">
        <v>1821</v>
      </c>
      <c r="H19" s="34">
        <v>1372167</v>
      </c>
      <c r="I19" s="34"/>
      <c r="J19" s="34" t="s">
        <v>180</v>
      </c>
      <c r="K19" s="34" t="s">
        <v>179</v>
      </c>
      <c r="L19" s="34"/>
      <c r="M19" s="34"/>
      <c r="N19" s="34" t="s">
        <v>1788</v>
      </c>
      <c r="O19" s="34" t="s">
        <v>66</v>
      </c>
      <c r="P19" s="34" t="s">
        <v>177</v>
      </c>
      <c r="Q19" s="34" t="s">
        <v>34</v>
      </c>
      <c r="R19" s="34" t="s">
        <v>1789</v>
      </c>
      <c r="S19" s="34"/>
      <c r="T19" s="34" t="s">
        <v>1790</v>
      </c>
      <c r="U19" s="34"/>
      <c r="V19" s="34" t="s">
        <v>1779</v>
      </c>
      <c r="W19" s="34"/>
      <c r="X19" s="34" t="s">
        <v>189</v>
      </c>
      <c r="Y19" s="34" t="s">
        <v>52</v>
      </c>
      <c r="Z19" s="34">
        <v>10013</v>
      </c>
      <c r="AA19" s="34" t="s">
        <v>539</v>
      </c>
      <c r="AB19" s="34" t="s">
        <v>187</v>
      </c>
      <c r="AC19" s="34"/>
      <c r="AD19" s="34">
        <v>15</v>
      </c>
      <c r="AE19" s="34" t="s">
        <v>169</v>
      </c>
      <c r="AF19" s="34"/>
      <c r="AG19" s="34"/>
      <c r="AH19" s="34"/>
      <c r="AI19" s="34">
        <v>43588</v>
      </c>
      <c r="AJ19" s="34">
        <v>192.3</v>
      </c>
      <c r="AK19" s="34">
        <v>1730.7</v>
      </c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 t="s">
        <v>28</v>
      </c>
      <c r="BH19" s="34"/>
      <c r="BI19" s="34" t="s">
        <v>168</v>
      </c>
      <c r="BJ19" s="34"/>
      <c r="BK19" s="34" t="s">
        <v>0</v>
      </c>
      <c r="BL19" s="34" t="s">
        <v>186</v>
      </c>
      <c r="BM19" s="34" t="s">
        <v>166</v>
      </c>
      <c r="BN19" s="34">
        <v>43855.06905583333</v>
      </c>
      <c r="BO19" s="34"/>
      <c r="BP19" s="34"/>
      <c r="BQ19" s="34"/>
      <c r="BR19" s="34" t="s">
        <v>165</v>
      </c>
      <c r="BS19" s="34">
        <v>4.0123202016854999E+18</v>
      </c>
      <c r="BT19" s="34" t="s">
        <v>164</v>
      </c>
      <c r="BU19" s="34"/>
      <c r="BV19" s="34">
        <v>2020</v>
      </c>
      <c r="BW19" s="34" t="s">
        <v>163</v>
      </c>
      <c r="BX19" s="34"/>
      <c r="BY19" s="34">
        <v>4.0124202016856801E+18</v>
      </c>
      <c r="BZ19" s="34" t="s">
        <v>1822</v>
      </c>
      <c r="CA19" s="34" t="s">
        <v>161</v>
      </c>
    </row>
    <row r="20" spans="1:79" x14ac:dyDescent="0.25">
      <c r="A20" s="34" t="s">
        <v>192</v>
      </c>
      <c r="B20" s="34" t="s">
        <v>157</v>
      </c>
      <c r="C20" s="34">
        <v>2019</v>
      </c>
      <c r="D20" s="34" t="s">
        <v>706</v>
      </c>
      <c r="E20" s="34">
        <v>2.0200123916731501E+17</v>
      </c>
      <c r="F20" s="34" t="s">
        <v>182</v>
      </c>
      <c r="G20" s="34" t="s">
        <v>1823</v>
      </c>
      <c r="H20" s="34">
        <v>1372167</v>
      </c>
      <c r="I20" s="34"/>
      <c r="J20" s="34" t="s">
        <v>180</v>
      </c>
      <c r="K20" s="34" t="s">
        <v>179</v>
      </c>
      <c r="L20" s="34"/>
      <c r="M20" s="34"/>
      <c r="N20" s="34" t="s">
        <v>1788</v>
      </c>
      <c r="O20" s="34" t="s">
        <v>66</v>
      </c>
      <c r="P20" s="34" t="s">
        <v>177</v>
      </c>
      <c r="Q20" s="34" t="s">
        <v>34</v>
      </c>
      <c r="R20" s="34" t="s">
        <v>1789</v>
      </c>
      <c r="S20" s="34"/>
      <c r="T20" s="34" t="s">
        <v>1790</v>
      </c>
      <c r="U20" s="34"/>
      <c r="V20" s="34" t="s">
        <v>1779</v>
      </c>
      <c r="W20" s="34"/>
      <c r="X20" s="34" t="s">
        <v>189</v>
      </c>
      <c r="Y20" s="34" t="s">
        <v>52</v>
      </c>
      <c r="Z20" s="34">
        <v>10013</v>
      </c>
      <c r="AA20" s="34" t="s">
        <v>539</v>
      </c>
      <c r="AB20" s="34" t="s">
        <v>187</v>
      </c>
      <c r="AC20" s="34"/>
      <c r="AD20" s="34">
        <v>15</v>
      </c>
      <c r="AE20" s="34" t="s">
        <v>169</v>
      </c>
      <c r="AF20" s="34"/>
      <c r="AG20" s="34"/>
      <c r="AH20" s="34"/>
      <c r="AI20" s="34">
        <v>43602</v>
      </c>
      <c r="AJ20" s="34">
        <v>192.3</v>
      </c>
      <c r="AK20" s="34">
        <v>1923</v>
      </c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 t="s">
        <v>28</v>
      </c>
      <c r="BH20" s="34"/>
      <c r="BI20" s="34" t="s">
        <v>168</v>
      </c>
      <c r="BJ20" s="34"/>
      <c r="BK20" s="34" t="s">
        <v>0</v>
      </c>
      <c r="BL20" s="34" t="s">
        <v>186</v>
      </c>
      <c r="BM20" s="34" t="s">
        <v>166</v>
      </c>
      <c r="BN20" s="34">
        <v>43855.06905583333</v>
      </c>
      <c r="BO20" s="34"/>
      <c r="BP20" s="34"/>
      <c r="BQ20" s="34"/>
      <c r="BR20" s="34" t="s">
        <v>165</v>
      </c>
      <c r="BS20" s="34">
        <v>4.0123202016854999E+18</v>
      </c>
      <c r="BT20" s="34" t="s">
        <v>164</v>
      </c>
      <c r="BU20" s="34"/>
      <c r="BV20" s="34">
        <v>2020</v>
      </c>
      <c r="BW20" s="34" t="s">
        <v>163</v>
      </c>
      <c r="BX20" s="34"/>
      <c r="BY20" s="34">
        <v>4.0124202016856801E+18</v>
      </c>
      <c r="BZ20" s="34" t="s">
        <v>1822</v>
      </c>
      <c r="CA20" s="34" t="s">
        <v>161</v>
      </c>
    </row>
    <row r="21" spans="1:79" x14ac:dyDescent="0.25">
      <c r="A21" s="34" t="s">
        <v>192</v>
      </c>
      <c r="B21" s="34" t="s">
        <v>157</v>
      </c>
      <c r="C21" s="34">
        <v>2019</v>
      </c>
      <c r="D21" s="34" t="s">
        <v>706</v>
      </c>
      <c r="E21" s="34">
        <v>2.0200123916731501E+17</v>
      </c>
      <c r="F21" s="34" t="s">
        <v>182</v>
      </c>
      <c r="G21" s="34" t="s">
        <v>1824</v>
      </c>
      <c r="H21" s="34">
        <v>1372167</v>
      </c>
      <c r="I21" s="34"/>
      <c r="J21" s="34" t="s">
        <v>180</v>
      </c>
      <c r="K21" s="34" t="s">
        <v>179</v>
      </c>
      <c r="L21" s="34"/>
      <c r="M21" s="34"/>
      <c r="N21" s="34" t="s">
        <v>1788</v>
      </c>
      <c r="O21" s="34" t="s">
        <v>66</v>
      </c>
      <c r="P21" s="34" t="s">
        <v>177</v>
      </c>
      <c r="Q21" s="34" t="s">
        <v>34</v>
      </c>
      <c r="R21" s="34" t="s">
        <v>1789</v>
      </c>
      <c r="S21" s="34"/>
      <c r="T21" s="34" t="s">
        <v>1790</v>
      </c>
      <c r="U21" s="34"/>
      <c r="V21" s="34" t="s">
        <v>1779</v>
      </c>
      <c r="W21" s="34"/>
      <c r="X21" s="34" t="s">
        <v>189</v>
      </c>
      <c r="Y21" s="34" t="s">
        <v>52</v>
      </c>
      <c r="Z21" s="34">
        <v>10013</v>
      </c>
      <c r="AA21" s="34" t="s">
        <v>539</v>
      </c>
      <c r="AB21" s="34" t="s">
        <v>187</v>
      </c>
      <c r="AC21" s="34"/>
      <c r="AD21" s="34">
        <v>15</v>
      </c>
      <c r="AE21" s="34" t="s">
        <v>169</v>
      </c>
      <c r="AF21" s="34"/>
      <c r="AG21" s="34"/>
      <c r="AH21" s="34"/>
      <c r="AI21" s="34">
        <v>43616</v>
      </c>
      <c r="AJ21" s="34">
        <v>192.3</v>
      </c>
      <c r="AK21" s="34">
        <v>2115.3000000000002</v>
      </c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 t="s">
        <v>28</v>
      </c>
      <c r="BH21" s="34"/>
      <c r="BI21" s="34" t="s">
        <v>168</v>
      </c>
      <c r="BJ21" s="34"/>
      <c r="BK21" s="34" t="s">
        <v>0</v>
      </c>
      <c r="BL21" s="34" t="s">
        <v>186</v>
      </c>
      <c r="BM21" s="34" t="s">
        <v>166</v>
      </c>
      <c r="BN21" s="34">
        <v>43855.06905583333</v>
      </c>
      <c r="BO21" s="34"/>
      <c r="BP21" s="34"/>
      <c r="BQ21" s="34"/>
      <c r="BR21" s="34" t="s">
        <v>165</v>
      </c>
      <c r="BS21" s="34">
        <v>4.0123202016854999E+18</v>
      </c>
      <c r="BT21" s="34" t="s">
        <v>164</v>
      </c>
      <c r="BU21" s="34"/>
      <c r="BV21" s="34">
        <v>2020</v>
      </c>
      <c r="BW21" s="34" t="s">
        <v>163</v>
      </c>
      <c r="BX21" s="34"/>
      <c r="BY21" s="34">
        <v>4.0124202016856801E+18</v>
      </c>
      <c r="BZ21" s="34" t="s">
        <v>1825</v>
      </c>
      <c r="CA21" s="34" t="s">
        <v>161</v>
      </c>
    </row>
    <row r="22" spans="1:79" x14ac:dyDescent="0.25">
      <c r="A22" s="34" t="s">
        <v>192</v>
      </c>
      <c r="B22" s="34" t="s">
        <v>157</v>
      </c>
      <c r="C22" s="34">
        <v>2019</v>
      </c>
      <c r="D22" s="34" t="s">
        <v>834</v>
      </c>
      <c r="E22" s="34">
        <v>2.0191216916629299E+17</v>
      </c>
      <c r="F22" s="34" t="s">
        <v>182</v>
      </c>
      <c r="G22" s="34" t="s">
        <v>1826</v>
      </c>
      <c r="H22" s="34">
        <v>1366346</v>
      </c>
      <c r="I22" s="34"/>
      <c r="J22" s="34" t="s">
        <v>180</v>
      </c>
      <c r="K22" s="34" t="s">
        <v>179</v>
      </c>
      <c r="L22" s="34"/>
      <c r="M22" s="34"/>
      <c r="N22" s="34" t="s">
        <v>1788</v>
      </c>
      <c r="O22" s="34" t="s">
        <v>66</v>
      </c>
      <c r="P22" s="34" t="s">
        <v>177</v>
      </c>
      <c r="Q22" s="34" t="s">
        <v>34</v>
      </c>
      <c r="R22" s="34" t="s">
        <v>1789</v>
      </c>
      <c r="S22" s="34"/>
      <c r="T22" s="34" t="s">
        <v>1790</v>
      </c>
      <c r="U22" s="34"/>
      <c r="V22" s="34" t="s">
        <v>1779</v>
      </c>
      <c r="W22" s="34"/>
      <c r="X22" s="34" t="s">
        <v>189</v>
      </c>
      <c r="Y22" s="34" t="s">
        <v>52</v>
      </c>
      <c r="Z22" s="34">
        <v>10013</v>
      </c>
      <c r="AA22" s="34" t="s">
        <v>539</v>
      </c>
      <c r="AB22" s="34" t="s">
        <v>187</v>
      </c>
      <c r="AC22" s="34"/>
      <c r="AD22" s="34">
        <v>15</v>
      </c>
      <c r="AE22" s="34" t="s">
        <v>169</v>
      </c>
      <c r="AF22" s="34"/>
      <c r="AG22" s="34"/>
      <c r="AH22" s="34"/>
      <c r="AI22" s="34">
        <v>43784</v>
      </c>
      <c r="AJ22" s="34">
        <v>192.3</v>
      </c>
      <c r="AK22" s="34">
        <v>4422.8999999999996</v>
      </c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 t="s">
        <v>28</v>
      </c>
      <c r="BH22" s="34"/>
      <c r="BI22" s="34" t="s">
        <v>168</v>
      </c>
      <c r="BJ22" s="34"/>
      <c r="BK22" s="34" t="s">
        <v>50</v>
      </c>
      <c r="BL22" s="34" t="s">
        <v>167</v>
      </c>
      <c r="BM22" s="34" t="s">
        <v>166</v>
      </c>
      <c r="BN22" s="34">
        <v>43816.067769513887</v>
      </c>
      <c r="BO22" s="34"/>
      <c r="BP22" s="34"/>
      <c r="BQ22" s="34"/>
      <c r="BR22" s="34" t="s">
        <v>165</v>
      </c>
      <c r="BS22" s="34">
        <v>4.1216201916815201E+18</v>
      </c>
      <c r="BT22" s="34" t="s">
        <v>164</v>
      </c>
      <c r="BU22" s="34"/>
      <c r="BV22" s="34">
        <v>2020</v>
      </c>
      <c r="BW22" s="34" t="s">
        <v>163</v>
      </c>
      <c r="BX22" s="34"/>
      <c r="BY22" s="34">
        <v>4.1216201916815401E+18</v>
      </c>
      <c r="BZ22" s="34" t="s">
        <v>1827</v>
      </c>
      <c r="CA22" s="34" t="s">
        <v>161</v>
      </c>
    </row>
    <row r="23" spans="1:79" x14ac:dyDescent="0.25">
      <c r="A23" s="34" t="s">
        <v>192</v>
      </c>
      <c r="B23" s="34" t="s">
        <v>157</v>
      </c>
      <c r="C23" s="34">
        <v>2019</v>
      </c>
      <c r="D23" s="34" t="s">
        <v>834</v>
      </c>
      <c r="E23" s="34">
        <v>2.0191216916629299E+17</v>
      </c>
      <c r="F23" s="34" t="s">
        <v>182</v>
      </c>
      <c r="G23" s="34" t="s">
        <v>1828</v>
      </c>
      <c r="H23" s="34">
        <v>1366346</v>
      </c>
      <c r="I23" s="34"/>
      <c r="J23" s="34" t="s">
        <v>180</v>
      </c>
      <c r="K23" s="34" t="s">
        <v>179</v>
      </c>
      <c r="L23" s="34"/>
      <c r="M23" s="34"/>
      <c r="N23" s="34" t="s">
        <v>1788</v>
      </c>
      <c r="O23" s="34" t="s">
        <v>66</v>
      </c>
      <c r="P23" s="34" t="s">
        <v>177</v>
      </c>
      <c r="Q23" s="34" t="s">
        <v>34</v>
      </c>
      <c r="R23" s="34" t="s">
        <v>1789</v>
      </c>
      <c r="S23" s="34"/>
      <c r="T23" s="34" t="s">
        <v>1790</v>
      </c>
      <c r="U23" s="34"/>
      <c r="V23" s="34" t="s">
        <v>1779</v>
      </c>
      <c r="W23" s="34"/>
      <c r="X23" s="34" t="s">
        <v>189</v>
      </c>
      <c r="Y23" s="34" t="s">
        <v>52</v>
      </c>
      <c r="Z23" s="34">
        <v>10013</v>
      </c>
      <c r="AA23" s="34" t="s">
        <v>539</v>
      </c>
      <c r="AB23" s="34" t="s">
        <v>187</v>
      </c>
      <c r="AC23" s="34"/>
      <c r="AD23" s="34">
        <v>15</v>
      </c>
      <c r="AE23" s="34" t="s">
        <v>169</v>
      </c>
      <c r="AF23" s="34"/>
      <c r="AG23" s="34"/>
      <c r="AH23" s="34"/>
      <c r="AI23" s="34">
        <v>43770</v>
      </c>
      <c r="AJ23" s="34">
        <v>192.3</v>
      </c>
      <c r="AK23" s="34">
        <v>4230.6000000000004</v>
      </c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 t="s">
        <v>28</v>
      </c>
      <c r="BH23" s="34"/>
      <c r="BI23" s="34" t="s">
        <v>168</v>
      </c>
      <c r="BJ23" s="34"/>
      <c r="BK23" s="34" t="s">
        <v>50</v>
      </c>
      <c r="BL23" s="34" t="s">
        <v>167</v>
      </c>
      <c r="BM23" s="34" t="s">
        <v>166</v>
      </c>
      <c r="BN23" s="34">
        <v>43816.067769513887</v>
      </c>
      <c r="BO23" s="34"/>
      <c r="BP23" s="34"/>
      <c r="BQ23" s="34"/>
      <c r="BR23" s="34" t="s">
        <v>165</v>
      </c>
      <c r="BS23" s="34">
        <v>4.1216201916815201E+18</v>
      </c>
      <c r="BT23" s="34" t="s">
        <v>164</v>
      </c>
      <c r="BU23" s="34"/>
      <c r="BV23" s="34">
        <v>2020</v>
      </c>
      <c r="BW23" s="34" t="s">
        <v>163</v>
      </c>
      <c r="BX23" s="34"/>
      <c r="BY23" s="34">
        <v>4.1216201916815401E+18</v>
      </c>
      <c r="BZ23" s="34" t="s">
        <v>1829</v>
      </c>
      <c r="CA23" s="34" t="s">
        <v>161</v>
      </c>
    </row>
    <row r="24" spans="1:79" x14ac:dyDescent="0.25">
      <c r="A24" s="34" t="s">
        <v>192</v>
      </c>
      <c r="B24" s="34" t="s">
        <v>157</v>
      </c>
      <c r="C24" s="34">
        <v>2019</v>
      </c>
      <c r="D24" s="34" t="s">
        <v>834</v>
      </c>
      <c r="E24" s="34">
        <v>2.0191216916629299E+17</v>
      </c>
      <c r="F24" s="34" t="s">
        <v>182</v>
      </c>
      <c r="G24" s="34" t="s">
        <v>1830</v>
      </c>
      <c r="H24" s="34">
        <v>1366346</v>
      </c>
      <c r="I24" s="34"/>
      <c r="J24" s="34" t="s">
        <v>180</v>
      </c>
      <c r="K24" s="34" t="s">
        <v>179</v>
      </c>
      <c r="L24" s="34"/>
      <c r="M24" s="34"/>
      <c r="N24" s="34" t="s">
        <v>1788</v>
      </c>
      <c r="O24" s="34" t="s">
        <v>66</v>
      </c>
      <c r="P24" s="34" t="s">
        <v>177</v>
      </c>
      <c r="Q24" s="34" t="s">
        <v>34</v>
      </c>
      <c r="R24" s="34" t="s">
        <v>1789</v>
      </c>
      <c r="S24" s="34"/>
      <c r="T24" s="34" t="s">
        <v>1790</v>
      </c>
      <c r="U24" s="34"/>
      <c r="V24" s="34" t="s">
        <v>1779</v>
      </c>
      <c r="W24" s="34"/>
      <c r="X24" s="34" t="s">
        <v>189</v>
      </c>
      <c r="Y24" s="34" t="s">
        <v>52</v>
      </c>
      <c r="Z24" s="34">
        <v>10013</v>
      </c>
      <c r="AA24" s="34" t="s">
        <v>539</v>
      </c>
      <c r="AB24" s="34" t="s">
        <v>187</v>
      </c>
      <c r="AC24" s="34"/>
      <c r="AD24" s="34">
        <v>15</v>
      </c>
      <c r="AE24" s="34" t="s">
        <v>169</v>
      </c>
      <c r="AF24" s="34"/>
      <c r="AG24" s="34"/>
      <c r="AH24" s="34"/>
      <c r="AI24" s="34">
        <v>43798</v>
      </c>
      <c r="AJ24" s="34">
        <v>192.3</v>
      </c>
      <c r="AK24" s="34">
        <v>4615.2</v>
      </c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 t="s">
        <v>28</v>
      </c>
      <c r="BH24" s="34"/>
      <c r="BI24" s="34" t="s">
        <v>168</v>
      </c>
      <c r="BJ24" s="34"/>
      <c r="BK24" s="34" t="s">
        <v>50</v>
      </c>
      <c r="BL24" s="34" t="s">
        <v>167</v>
      </c>
      <c r="BM24" s="34" t="s">
        <v>166</v>
      </c>
      <c r="BN24" s="34">
        <v>43816.067769513887</v>
      </c>
      <c r="BO24" s="34"/>
      <c r="BP24" s="34"/>
      <c r="BQ24" s="34"/>
      <c r="BR24" s="34" t="s">
        <v>165</v>
      </c>
      <c r="BS24" s="34">
        <v>4.1216201916815201E+18</v>
      </c>
      <c r="BT24" s="34" t="s">
        <v>164</v>
      </c>
      <c r="BU24" s="34"/>
      <c r="BV24" s="34">
        <v>2020</v>
      </c>
      <c r="BW24" s="34" t="s">
        <v>163</v>
      </c>
      <c r="BX24" s="34"/>
      <c r="BY24" s="34">
        <v>4.1216201916815401E+18</v>
      </c>
      <c r="BZ24" s="34" t="s">
        <v>1827</v>
      </c>
      <c r="CA24" s="34" t="s">
        <v>161</v>
      </c>
    </row>
    <row r="25" spans="1:79" x14ac:dyDescent="0.25">
      <c r="A25" s="34" t="s">
        <v>192</v>
      </c>
      <c r="B25" s="34" t="s">
        <v>157</v>
      </c>
      <c r="C25" s="34">
        <v>2019</v>
      </c>
      <c r="D25" s="34" t="s">
        <v>422</v>
      </c>
      <c r="E25" s="34">
        <v>2.0200130918243802E+17</v>
      </c>
      <c r="F25" s="34" t="s">
        <v>182</v>
      </c>
      <c r="G25" s="34" t="s">
        <v>1831</v>
      </c>
      <c r="H25" s="34">
        <v>1375290</v>
      </c>
      <c r="I25" s="34"/>
      <c r="J25" s="34" t="s">
        <v>180</v>
      </c>
      <c r="K25" s="34" t="s">
        <v>179</v>
      </c>
      <c r="L25" s="34"/>
      <c r="M25" s="34"/>
      <c r="N25" s="34" t="s">
        <v>1788</v>
      </c>
      <c r="O25" s="34" t="s">
        <v>66</v>
      </c>
      <c r="P25" s="34" t="s">
        <v>177</v>
      </c>
      <c r="Q25" s="34" t="s">
        <v>34</v>
      </c>
      <c r="R25" s="34" t="s">
        <v>1789</v>
      </c>
      <c r="S25" s="34"/>
      <c r="T25" s="34" t="s">
        <v>1790</v>
      </c>
      <c r="U25" s="34"/>
      <c r="V25" s="34" t="s">
        <v>1779</v>
      </c>
      <c r="W25" s="34"/>
      <c r="X25" s="34" t="s">
        <v>189</v>
      </c>
      <c r="Y25" s="34" t="s">
        <v>52</v>
      </c>
      <c r="Z25" s="34">
        <v>10013</v>
      </c>
      <c r="AA25" s="34" t="s">
        <v>539</v>
      </c>
      <c r="AB25" s="34" t="s">
        <v>187</v>
      </c>
      <c r="AC25" s="34"/>
      <c r="AD25" s="34">
        <v>15</v>
      </c>
      <c r="AE25" s="34" t="s">
        <v>169</v>
      </c>
      <c r="AF25" s="34"/>
      <c r="AG25" s="34"/>
      <c r="AH25" s="34"/>
      <c r="AI25" s="34">
        <v>43812</v>
      </c>
      <c r="AJ25" s="34">
        <v>192.3</v>
      </c>
      <c r="AK25" s="34">
        <v>4807.5</v>
      </c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 t="s">
        <v>28</v>
      </c>
      <c r="BH25" s="34"/>
      <c r="BI25" s="34" t="s">
        <v>168</v>
      </c>
      <c r="BJ25" s="34"/>
      <c r="BK25" s="34" t="s">
        <v>50</v>
      </c>
      <c r="BL25" s="34" t="s">
        <v>167</v>
      </c>
      <c r="BM25" s="34" t="s">
        <v>166</v>
      </c>
      <c r="BN25" s="34">
        <v>43881.091792754632</v>
      </c>
      <c r="BO25" s="34"/>
      <c r="BP25" s="34"/>
      <c r="BQ25" s="34"/>
      <c r="BR25" s="34" t="s">
        <v>165</v>
      </c>
      <c r="BS25" s="34">
        <v>4.0130202016861302E+18</v>
      </c>
      <c r="BT25" s="34" t="s">
        <v>164</v>
      </c>
      <c r="BU25" s="34"/>
      <c r="BV25" s="34">
        <v>2020</v>
      </c>
      <c r="BW25" s="34" t="s">
        <v>163</v>
      </c>
      <c r="BX25" s="34"/>
      <c r="BY25" s="34">
        <v>4.02192020169314E+18</v>
      </c>
      <c r="BZ25" s="34" t="s">
        <v>1832</v>
      </c>
      <c r="CA25" s="34" t="s">
        <v>161</v>
      </c>
    </row>
    <row r="26" spans="1:79" x14ac:dyDescent="0.25">
      <c r="A26" s="34" t="s">
        <v>192</v>
      </c>
      <c r="B26" s="34" t="s">
        <v>157</v>
      </c>
      <c r="C26" s="34">
        <v>2019</v>
      </c>
      <c r="D26" s="34" t="s">
        <v>422</v>
      </c>
      <c r="E26" s="34">
        <v>2.0200130918243802E+17</v>
      </c>
      <c r="F26" s="34" t="s">
        <v>182</v>
      </c>
      <c r="G26" s="34" t="s">
        <v>1833</v>
      </c>
      <c r="H26" s="34">
        <v>1375290</v>
      </c>
      <c r="I26" s="34"/>
      <c r="J26" s="34" t="s">
        <v>180</v>
      </c>
      <c r="K26" s="34" t="s">
        <v>179</v>
      </c>
      <c r="L26" s="34"/>
      <c r="M26" s="34"/>
      <c r="N26" s="34" t="s">
        <v>1788</v>
      </c>
      <c r="O26" s="34" t="s">
        <v>66</v>
      </c>
      <c r="P26" s="34" t="s">
        <v>177</v>
      </c>
      <c r="Q26" s="34" t="s">
        <v>34</v>
      </c>
      <c r="R26" s="34" t="s">
        <v>1789</v>
      </c>
      <c r="S26" s="34"/>
      <c r="T26" s="34" t="s">
        <v>1790</v>
      </c>
      <c r="U26" s="34"/>
      <c r="V26" s="34" t="s">
        <v>1779</v>
      </c>
      <c r="W26" s="34"/>
      <c r="X26" s="34" t="s">
        <v>189</v>
      </c>
      <c r="Y26" s="34" t="s">
        <v>52</v>
      </c>
      <c r="Z26" s="34">
        <v>10013</v>
      </c>
      <c r="AA26" s="34" t="s">
        <v>539</v>
      </c>
      <c r="AB26" s="34" t="s">
        <v>187</v>
      </c>
      <c r="AC26" s="34"/>
      <c r="AD26" s="34">
        <v>15</v>
      </c>
      <c r="AE26" s="34" t="s">
        <v>169</v>
      </c>
      <c r="AF26" s="34"/>
      <c r="AG26" s="34"/>
      <c r="AH26" s="34"/>
      <c r="AI26" s="34">
        <v>43826</v>
      </c>
      <c r="AJ26" s="34">
        <v>192.3</v>
      </c>
      <c r="AK26" s="34">
        <v>4999.8</v>
      </c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 t="s">
        <v>28</v>
      </c>
      <c r="BH26" s="34"/>
      <c r="BI26" s="34" t="s">
        <v>168</v>
      </c>
      <c r="BJ26" s="34"/>
      <c r="BK26" s="34" t="s">
        <v>50</v>
      </c>
      <c r="BL26" s="34" t="s">
        <v>167</v>
      </c>
      <c r="BM26" s="34" t="s">
        <v>166</v>
      </c>
      <c r="BN26" s="34">
        <v>43881.091792754632</v>
      </c>
      <c r="BO26" s="34"/>
      <c r="BP26" s="34"/>
      <c r="BQ26" s="34"/>
      <c r="BR26" s="34" t="s">
        <v>165</v>
      </c>
      <c r="BS26" s="34">
        <v>4.0130202016861302E+18</v>
      </c>
      <c r="BT26" s="34" t="s">
        <v>164</v>
      </c>
      <c r="BU26" s="34"/>
      <c r="BV26" s="34">
        <v>2020</v>
      </c>
      <c r="BW26" s="34" t="s">
        <v>163</v>
      </c>
      <c r="BX26" s="34"/>
      <c r="BY26" s="34">
        <v>4.02192020169314E+18</v>
      </c>
      <c r="BZ26" s="34" t="s">
        <v>1834</v>
      </c>
      <c r="CA26" s="34" t="s">
        <v>161</v>
      </c>
    </row>
    <row r="27" spans="1:79" x14ac:dyDescent="0.25">
      <c r="A27" s="34" t="s">
        <v>192</v>
      </c>
      <c r="B27" s="34" t="s">
        <v>157</v>
      </c>
      <c r="C27" s="34">
        <v>2020</v>
      </c>
      <c r="D27" s="34" t="s">
        <v>793</v>
      </c>
      <c r="E27" s="34">
        <v>2.0200219918652099E+17</v>
      </c>
      <c r="F27" s="34" t="s">
        <v>182</v>
      </c>
      <c r="G27" s="34" t="s">
        <v>1835</v>
      </c>
      <c r="H27" s="34">
        <v>1383305</v>
      </c>
      <c r="I27" s="34"/>
      <c r="J27" s="34" t="s">
        <v>180</v>
      </c>
      <c r="K27" s="34" t="s">
        <v>179</v>
      </c>
      <c r="L27" s="34"/>
      <c r="M27" s="34"/>
      <c r="N27" s="34" t="s">
        <v>1788</v>
      </c>
      <c r="O27" s="34" t="s">
        <v>66</v>
      </c>
      <c r="P27" s="34" t="s">
        <v>177</v>
      </c>
      <c r="Q27" s="34" t="s">
        <v>34</v>
      </c>
      <c r="R27" s="34" t="s">
        <v>1789</v>
      </c>
      <c r="S27" s="34"/>
      <c r="T27" s="34" t="s">
        <v>1790</v>
      </c>
      <c r="U27" s="34"/>
      <c r="V27" s="34" t="s">
        <v>1779</v>
      </c>
      <c r="W27" s="34"/>
      <c r="X27" s="34" t="s">
        <v>189</v>
      </c>
      <c r="Y27" s="34" t="s">
        <v>52</v>
      </c>
      <c r="Z27" s="34">
        <v>10013</v>
      </c>
      <c r="AA27" s="34" t="s">
        <v>539</v>
      </c>
      <c r="AB27" s="34" t="s">
        <v>187</v>
      </c>
      <c r="AC27" s="34"/>
      <c r="AD27" s="34">
        <v>15</v>
      </c>
      <c r="AE27" s="34" t="s">
        <v>169</v>
      </c>
      <c r="AF27" s="34"/>
      <c r="AG27" s="34"/>
      <c r="AH27" s="34"/>
      <c r="AI27" s="34">
        <v>43854</v>
      </c>
      <c r="AJ27" s="34">
        <v>192.3</v>
      </c>
      <c r="AK27" s="34">
        <v>384.6</v>
      </c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 t="s">
        <v>28</v>
      </c>
      <c r="BH27" s="34"/>
      <c r="BI27" s="34" t="s">
        <v>168</v>
      </c>
      <c r="BJ27" s="34"/>
      <c r="BK27" s="34" t="s">
        <v>50</v>
      </c>
      <c r="BL27" s="34" t="s">
        <v>167</v>
      </c>
      <c r="BM27" s="34" t="s">
        <v>166</v>
      </c>
      <c r="BN27" s="34">
        <v>43888.063876562497</v>
      </c>
      <c r="BO27" s="34"/>
      <c r="BP27" s="34"/>
      <c r="BQ27" s="34"/>
      <c r="BR27" s="34" t="s">
        <v>165</v>
      </c>
      <c r="BS27" s="34">
        <v>4.0219202016927498E+18</v>
      </c>
      <c r="BT27" s="34" t="s">
        <v>164</v>
      </c>
      <c r="BU27" s="34"/>
      <c r="BV27" s="34">
        <v>2020</v>
      </c>
      <c r="BW27" s="34" t="s">
        <v>163</v>
      </c>
      <c r="BX27" s="34"/>
      <c r="BY27" s="34">
        <v>4.0226202016943002E+18</v>
      </c>
      <c r="BZ27" s="34" t="s">
        <v>1836</v>
      </c>
      <c r="CA27" s="34" t="s">
        <v>161</v>
      </c>
    </row>
    <row r="28" spans="1:79" x14ac:dyDescent="0.25">
      <c r="A28" s="34" t="s">
        <v>192</v>
      </c>
      <c r="B28" s="34" t="s">
        <v>157</v>
      </c>
      <c r="C28" s="34">
        <v>2020</v>
      </c>
      <c r="D28" s="34" t="s">
        <v>197</v>
      </c>
      <c r="E28" s="34">
        <v>2.02003209204628E+17</v>
      </c>
      <c r="F28" s="34" t="s">
        <v>182</v>
      </c>
      <c r="G28" s="34" t="s">
        <v>1837</v>
      </c>
      <c r="H28" s="34">
        <v>1391425</v>
      </c>
      <c r="I28" s="34"/>
      <c r="J28" s="34" t="s">
        <v>180</v>
      </c>
      <c r="K28" s="34" t="s">
        <v>179</v>
      </c>
      <c r="L28" s="34"/>
      <c r="M28" s="34"/>
      <c r="N28" s="34" t="s">
        <v>1788</v>
      </c>
      <c r="O28" s="34" t="s">
        <v>66</v>
      </c>
      <c r="P28" s="34" t="s">
        <v>177</v>
      </c>
      <c r="Q28" s="34" t="s">
        <v>34</v>
      </c>
      <c r="R28" s="34" t="s">
        <v>1789</v>
      </c>
      <c r="S28" s="34"/>
      <c r="T28" s="34" t="s">
        <v>1790</v>
      </c>
      <c r="U28" s="34"/>
      <c r="V28" s="34" t="s">
        <v>1779</v>
      </c>
      <c r="W28" s="34"/>
      <c r="X28" s="34" t="s">
        <v>189</v>
      </c>
      <c r="Y28" s="34" t="s">
        <v>52</v>
      </c>
      <c r="Z28" s="34">
        <v>10013</v>
      </c>
      <c r="AA28" s="34" t="s">
        <v>539</v>
      </c>
      <c r="AB28" s="34" t="s">
        <v>187</v>
      </c>
      <c r="AC28" s="34"/>
      <c r="AD28" s="34">
        <v>15</v>
      </c>
      <c r="AE28" s="34" t="s">
        <v>169</v>
      </c>
      <c r="AF28" s="34"/>
      <c r="AG28" s="34"/>
      <c r="AH28" s="34"/>
      <c r="AI28" s="34">
        <v>43882</v>
      </c>
      <c r="AJ28" s="34">
        <v>192.3</v>
      </c>
      <c r="AK28" s="34">
        <v>769.2</v>
      </c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 t="s">
        <v>28</v>
      </c>
      <c r="BH28" s="34"/>
      <c r="BI28" s="34" t="s">
        <v>168</v>
      </c>
      <c r="BJ28" s="34"/>
      <c r="BK28" s="34" t="s">
        <v>50</v>
      </c>
      <c r="BL28" s="34" t="s">
        <v>167</v>
      </c>
      <c r="BM28" s="34" t="s">
        <v>166</v>
      </c>
      <c r="BN28" s="34">
        <v>43915.27802690972</v>
      </c>
      <c r="BO28" s="34"/>
      <c r="BP28" s="34"/>
      <c r="BQ28" s="34"/>
      <c r="BR28" s="34" t="s">
        <v>165</v>
      </c>
      <c r="BS28" s="34">
        <v>4.0320202017039401E+18</v>
      </c>
      <c r="BT28" s="34" t="s">
        <v>164</v>
      </c>
      <c r="BU28" s="34"/>
      <c r="BV28" s="34">
        <v>2020</v>
      </c>
      <c r="BW28" s="34" t="s">
        <v>163</v>
      </c>
      <c r="BX28" s="34"/>
      <c r="BY28" s="34">
        <v>4.0324202017145999E+18</v>
      </c>
      <c r="BZ28" s="34" t="s">
        <v>1838</v>
      </c>
      <c r="CA28" s="34" t="s">
        <v>161</v>
      </c>
    </row>
    <row r="29" spans="1:79" x14ac:dyDescent="0.25">
      <c r="A29" s="34" t="s">
        <v>192</v>
      </c>
      <c r="B29" s="34" t="s">
        <v>157</v>
      </c>
      <c r="C29" s="34">
        <v>2020</v>
      </c>
      <c r="D29" s="34" t="s">
        <v>197</v>
      </c>
      <c r="E29" s="34">
        <v>2.02003209204628E+17</v>
      </c>
      <c r="F29" s="34" t="s">
        <v>182</v>
      </c>
      <c r="G29" s="34" t="s">
        <v>1839</v>
      </c>
      <c r="H29" s="34">
        <v>1391425</v>
      </c>
      <c r="I29" s="34"/>
      <c r="J29" s="34" t="s">
        <v>180</v>
      </c>
      <c r="K29" s="34" t="s">
        <v>179</v>
      </c>
      <c r="L29" s="34"/>
      <c r="M29" s="34"/>
      <c r="N29" s="34" t="s">
        <v>1788</v>
      </c>
      <c r="O29" s="34" t="s">
        <v>66</v>
      </c>
      <c r="P29" s="34" t="s">
        <v>177</v>
      </c>
      <c r="Q29" s="34" t="s">
        <v>34</v>
      </c>
      <c r="R29" s="34" t="s">
        <v>1789</v>
      </c>
      <c r="S29" s="34"/>
      <c r="T29" s="34" t="s">
        <v>1790</v>
      </c>
      <c r="U29" s="34"/>
      <c r="V29" s="34" t="s">
        <v>1779</v>
      </c>
      <c r="W29" s="34"/>
      <c r="X29" s="34" t="s">
        <v>189</v>
      </c>
      <c r="Y29" s="34" t="s">
        <v>52</v>
      </c>
      <c r="Z29" s="34">
        <v>10013</v>
      </c>
      <c r="AA29" s="34" t="s">
        <v>539</v>
      </c>
      <c r="AB29" s="34" t="s">
        <v>187</v>
      </c>
      <c r="AC29" s="34"/>
      <c r="AD29" s="34">
        <v>15</v>
      </c>
      <c r="AE29" s="34" t="s">
        <v>169</v>
      </c>
      <c r="AF29" s="34"/>
      <c r="AG29" s="34"/>
      <c r="AH29" s="34"/>
      <c r="AI29" s="34">
        <v>43868</v>
      </c>
      <c r="AJ29" s="34">
        <v>192.3</v>
      </c>
      <c r="AK29" s="34">
        <v>576.9</v>
      </c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 t="s">
        <v>28</v>
      </c>
      <c r="BH29" s="34"/>
      <c r="BI29" s="34" t="s">
        <v>168</v>
      </c>
      <c r="BJ29" s="34"/>
      <c r="BK29" s="34" t="s">
        <v>50</v>
      </c>
      <c r="BL29" s="34" t="s">
        <v>167</v>
      </c>
      <c r="BM29" s="34" t="s">
        <v>166</v>
      </c>
      <c r="BN29" s="34">
        <v>43915.296790983797</v>
      </c>
      <c r="BO29" s="34"/>
      <c r="BP29" s="34"/>
      <c r="BQ29" s="34"/>
      <c r="BR29" s="34" t="s">
        <v>165</v>
      </c>
      <c r="BS29" s="34">
        <v>4.0320202017039401E+18</v>
      </c>
      <c r="BT29" s="34" t="s">
        <v>164</v>
      </c>
      <c r="BU29" s="34"/>
      <c r="BV29" s="34">
        <v>2020</v>
      </c>
      <c r="BW29" s="34" t="s">
        <v>163</v>
      </c>
      <c r="BX29" s="34"/>
      <c r="BY29" s="34">
        <v>4.0324202017145999E+18</v>
      </c>
      <c r="BZ29" s="34" t="s">
        <v>1840</v>
      </c>
      <c r="CA29" s="34" t="s">
        <v>161</v>
      </c>
    </row>
    <row r="30" spans="1:79" x14ac:dyDescent="0.25">
      <c r="A30" s="34" t="s">
        <v>192</v>
      </c>
      <c r="B30" s="34" t="s">
        <v>157</v>
      </c>
      <c r="C30" s="34">
        <v>2020</v>
      </c>
      <c r="D30" s="34" t="s">
        <v>183</v>
      </c>
      <c r="E30" s="34">
        <v>2.0200420921974499E+17</v>
      </c>
      <c r="F30" s="34" t="s">
        <v>182</v>
      </c>
      <c r="G30" s="34" t="s">
        <v>1841</v>
      </c>
      <c r="H30" s="34">
        <v>1402088</v>
      </c>
      <c r="I30" s="34"/>
      <c r="J30" s="34" t="s">
        <v>180</v>
      </c>
      <c r="K30" s="34" t="s">
        <v>179</v>
      </c>
      <c r="L30" s="34"/>
      <c r="M30" s="34"/>
      <c r="N30" s="34" t="s">
        <v>1788</v>
      </c>
      <c r="O30" s="34" t="s">
        <v>66</v>
      </c>
      <c r="P30" s="34" t="s">
        <v>177</v>
      </c>
      <c r="Q30" s="34" t="s">
        <v>34</v>
      </c>
      <c r="R30" s="34" t="s">
        <v>1789</v>
      </c>
      <c r="S30" s="34"/>
      <c r="T30" s="34" t="s">
        <v>1790</v>
      </c>
      <c r="U30" s="34"/>
      <c r="V30" s="34" t="s">
        <v>1779</v>
      </c>
      <c r="W30" s="34"/>
      <c r="X30" s="34" t="s">
        <v>189</v>
      </c>
      <c r="Y30" s="34" t="s">
        <v>52</v>
      </c>
      <c r="Z30" s="34">
        <v>10013</v>
      </c>
      <c r="AA30" s="34" t="s">
        <v>539</v>
      </c>
      <c r="AB30" s="34" t="s">
        <v>187</v>
      </c>
      <c r="AC30" s="34"/>
      <c r="AD30" s="34">
        <v>15</v>
      </c>
      <c r="AE30" s="34" t="s">
        <v>169</v>
      </c>
      <c r="AF30" s="34"/>
      <c r="AG30" s="34"/>
      <c r="AH30" s="34"/>
      <c r="AI30" s="34">
        <v>43896</v>
      </c>
      <c r="AJ30" s="34">
        <v>192.3</v>
      </c>
      <c r="AK30" s="34">
        <v>961.5</v>
      </c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 t="s">
        <v>28</v>
      </c>
      <c r="BH30" s="34"/>
      <c r="BI30" s="34" t="s">
        <v>168</v>
      </c>
      <c r="BJ30" s="34"/>
      <c r="BK30" s="34" t="s">
        <v>50</v>
      </c>
      <c r="BL30" s="34" t="s">
        <v>167</v>
      </c>
      <c r="BM30" s="34" t="s">
        <v>166</v>
      </c>
      <c r="BN30" s="34">
        <v>43942.080465277781</v>
      </c>
      <c r="BO30" s="34"/>
      <c r="BP30" s="34"/>
      <c r="BQ30" s="34"/>
      <c r="BR30" s="34" t="s">
        <v>165</v>
      </c>
      <c r="BS30" s="34">
        <v>4.0420202017373501E+18</v>
      </c>
      <c r="BT30" s="34" t="s">
        <v>164</v>
      </c>
      <c r="BU30" s="34"/>
      <c r="BV30" s="34">
        <v>2020</v>
      </c>
      <c r="BW30" s="34" t="s">
        <v>163</v>
      </c>
      <c r="BX30" s="34"/>
      <c r="BY30" s="34">
        <v>4.04202020173747E+18</v>
      </c>
      <c r="BZ30" s="34" t="s">
        <v>1842</v>
      </c>
      <c r="CA30" s="34" t="s">
        <v>161</v>
      </c>
    </row>
    <row r="31" spans="1:79" x14ac:dyDescent="0.25">
      <c r="A31" s="34" t="s">
        <v>192</v>
      </c>
      <c r="B31" s="34" t="s">
        <v>157</v>
      </c>
      <c r="C31" s="34">
        <v>2020</v>
      </c>
      <c r="D31" s="34" t="s">
        <v>183</v>
      </c>
      <c r="E31" s="34">
        <v>2.0200420921974499E+17</v>
      </c>
      <c r="F31" s="34" t="s">
        <v>182</v>
      </c>
      <c r="G31" s="34" t="s">
        <v>1843</v>
      </c>
      <c r="H31" s="34">
        <v>1402088</v>
      </c>
      <c r="I31" s="34"/>
      <c r="J31" s="34" t="s">
        <v>180</v>
      </c>
      <c r="K31" s="34" t="s">
        <v>179</v>
      </c>
      <c r="L31" s="34"/>
      <c r="M31" s="34"/>
      <c r="N31" s="34" t="s">
        <v>1788</v>
      </c>
      <c r="O31" s="34" t="s">
        <v>66</v>
      </c>
      <c r="P31" s="34" t="s">
        <v>177</v>
      </c>
      <c r="Q31" s="34" t="s">
        <v>34</v>
      </c>
      <c r="R31" s="34" t="s">
        <v>1789</v>
      </c>
      <c r="S31" s="34"/>
      <c r="T31" s="34" t="s">
        <v>1790</v>
      </c>
      <c r="U31" s="34"/>
      <c r="V31" s="34" t="s">
        <v>1779</v>
      </c>
      <c r="W31" s="34"/>
      <c r="X31" s="34" t="s">
        <v>189</v>
      </c>
      <c r="Y31" s="34" t="s">
        <v>52</v>
      </c>
      <c r="Z31" s="34">
        <v>10013</v>
      </c>
      <c r="AA31" s="34" t="s">
        <v>539</v>
      </c>
      <c r="AB31" s="34" t="s">
        <v>187</v>
      </c>
      <c r="AC31" s="34"/>
      <c r="AD31" s="34">
        <v>15</v>
      </c>
      <c r="AE31" s="34" t="s">
        <v>169</v>
      </c>
      <c r="AF31" s="34"/>
      <c r="AG31" s="34"/>
      <c r="AH31" s="34"/>
      <c r="AI31" s="34">
        <v>43910</v>
      </c>
      <c r="AJ31" s="34">
        <v>192.3</v>
      </c>
      <c r="AK31" s="34">
        <v>1153.8</v>
      </c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 t="s">
        <v>28</v>
      </c>
      <c r="BH31" s="34"/>
      <c r="BI31" s="34" t="s">
        <v>168</v>
      </c>
      <c r="BJ31" s="34"/>
      <c r="BK31" s="34" t="s">
        <v>50</v>
      </c>
      <c r="BL31" s="34" t="s">
        <v>167</v>
      </c>
      <c r="BM31" s="34" t="s">
        <v>166</v>
      </c>
      <c r="BN31" s="34">
        <v>43942.080465289349</v>
      </c>
      <c r="BO31" s="34"/>
      <c r="BP31" s="34"/>
      <c r="BQ31" s="34"/>
      <c r="BR31" s="34" t="s">
        <v>165</v>
      </c>
      <c r="BS31" s="34">
        <v>4.0420202017373501E+18</v>
      </c>
      <c r="BT31" s="34" t="s">
        <v>164</v>
      </c>
      <c r="BU31" s="34"/>
      <c r="BV31" s="34">
        <v>2020</v>
      </c>
      <c r="BW31" s="34" t="s">
        <v>163</v>
      </c>
      <c r="BX31" s="34"/>
      <c r="BY31" s="34">
        <v>4.04202020173747E+18</v>
      </c>
      <c r="BZ31" s="34" t="s">
        <v>1842</v>
      </c>
      <c r="CA31" s="34" t="s">
        <v>161</v>
      </c>
    </row>
    <row r="32" spans="1:79" x14ac:dyDescent="0.25">
      <c r="A32" s="34" t="s">
        <v>192</v>
      </c>
      <c r="B32" s="34" t="s">
        <v>157</v>
      </c>
      <c r="C32" s="34">
        <v>2020</v>
      </c>
      <c r="D32" s="34" t="s">
        <v>644</v>
      </c>
      <c r="E32" s="34">
        <v>2.0200518923277402E+17</v>
      </c>
      <c r="F32" s="34" t="s">
        <v>182</v>
      </c>
      <c r="G32" s="34" t="s">
        <v>1844</v>
      </c>
      <c r="H32" s="34">
        <v>1406165</v>
      </c>
      <c r="I32" s="34"/>
      <c r="J32" s="34" t="s">
        <v>180</v>
      </c>
      <c r="K32" s="34" t="s">
        <v>179</v>
      </c>
      <c r="L32" s="34"/>
      <c r="M32" s="34"/>
      <c r="N32" s="34" t="s">
        <v>1788</v>
      </c>
      <c r="O32" s="34" t="s">
        <v>66</v>
      </c>
      <c r="P32" s="34" t="s">
        <v>177</v>
      </c>
      <c r="Q32" s="34" t="s">
        <v>34</v>
      </c>
      <c r="R32" s="34" t="s">
        <v>1789</v>
      </c>
      <c r="S32" s="34"/>
      <c r="T32" s="34" t="s">
        <v>1790</v>
      </c>
      <c r="U32" s="34"/>
      <c r="V32" s="34" t="s">
        <v>1779</v>
      </c>
      <c r="W32" s="34"/>
      <c r="X32" s="34" t="s">
        <v>189</v>
      </c>
      <c r="Y32" s="34" t="s">
        <v>52</v>
      </c>
      <c r="Z32" s="34">
        <v>10013</v>
      </c>
      <c r="AA32" s="34" t="s">
        <v>539</v>
      </c>
      <c r="AB32" s="34" t="s">
        <v>187</v>
      </c>
      <c r="AC32" s="34"/>
      <c r="AD32" s="34">
        <v>15</v>
      </c>
      <c r="AE32" s="34" t="s">
        <v>169</v>
      </c>
      <c r="AF32" s="34"/>
      <c r="AG32" s="34"/>
      <c r="AH32" s="34"/>
      <c r="AI32" s="34">
        <v>43924</v>
      </c>
      <c r="AJ32" s="34">
        <v>192.3</v>
      </c>
      <c r="AK32" s="34">
        <v>1346.1</v>
      </c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 t="s">
        <v>28</v>
      </c>
      <c r="BH32" s="34"/>
      <c r="BI32" s="34" t="s">
        <v>168</v>
      </c>
      <c r="BJ32" s="34"/>
      <c r="BK32" s="34" t="s">
        <v>50</v>
      </c>
      <c r="BL32" s="34" t="s">
        <v>167</v>
      </c>
      <c r="BM32" s="34" t="s">
        <v>166</v>
      </c>
      <c r="BN32" s="34">
        <v>43970.057980613426</v>
      </c>
      <c r="BO32" s="34"/>
      <c r="BP32" s="34"/>
      <c r="BQ32" s="34"/>
      <c r="BR32" s="34" t="s">
        <v>165</v>
      </c>
      <c r="BS32" s="34">
        <v>4.0518202017615002E+18</v>
      </c>
      <c r="BT32" s="34" t="s">
        <v>164</v>
      </c>
      <c r="BU32" s="34"/>
      <c r="BV32" s="34">
        <v>2020</v>
      </c>
      <c r="BW32" s="34" t="s">
        <v>163</v>
      </c>
      <c r="BX32" s="34"/>
      <c r="BY32" s="34">
        <v>4.0518202017615299E+18</v>
      </c>
      <c r="BZ32" s="34" t="s">
        <v>1845</v>
      </c>
      <c r="CA32" s="34" t="s">
        <v>161</v>
      </c>
    </row>
    <row r="33" spans="1:79" x14ac:dyDescent="0.25">
      <c r="A33" s="34" t="s">
        <v>192</v>
      </c>
      <c r="B33" s="34" t="s">
        <v>157</v>
      </c>
      <c r="C33" s="34">
        <v>2020</v>
      </c>
      <c r="D33" s="34" t="s">
        <v>644</v>
      </c>
      <c r="E33" s="34">
        <v>2.0200518923277402E+17</v>
      </c>
      <c r="F33" s="34" t="s">
        <v>182</v>
      </c>
      <c r="G33" s="34" t="s">
        <v>1846</v>
      </c>
      <c r="H33" s="34">
        <v>1406165</v>
      </c>
      <c r="I33" s="34"/>
      <c r="J33" s="34" t="s">
        <v>180</v>
      </c>
      <c r="K33" s="34" t="s">
        <v>179</v>
      </c>
      <c r="L33" s="34"/>
      <c r="M33" s="34"/>
      <c r="N33" s="34" t="s">
        <v>1788</v>
      </c>
      <c r="O33" s="34" t="s">
        <v>66</v>
      </c>
      <c r="P33" s="34" t="s">
        <v>177</v>
      </c>
      <c r="Q33" s="34" t="s">
        <v>34</v>
      </c>
      <c r="R33" s="34" t="s">
        <v>1789</v>
      </c>
      <c r="S33" s="34"/>
      <c r="T33" s="34" t="s">
        <v>1790</v>
      </c>
      <c r="U33" s="34"/>
      <c r="V33" s="34" t="s">
        <v>1779</v>
      </c>
      <c r="W33" s="34"/>
      <c r="X33" s="34" t="s">
        <v>189</v>
      </c>
      <c r="Y33" s="34" t="s">
        <v>52</v>
      </c>
      <c r="Z33" s="34">
        <v>10013</v>
      </c>
      <c r="AA33" s="34" t="s">
        <v>539</v>
      </c>
      <c r="AB33" s="34" t="s">
        <v>187</v>
      </c>
      <c r="AC33" s="34"/>
      <c r="AD33" s="34">
        <v>15</v>
      </c>
      <c r="AE33" s="34" t="s">
        <v>169</v>
      </c>
      <c r="AF33" s="34"/>
      <c r="AG33" s="34"/>
      <c r="AH33" s="34"/>
      <c r="AI33" s="34">
        <v>43938</v>
      </c>
      <c r="AJ33" s="34">
        <v>192.3</v>
      </c>
      <c r="AK33" s="34">
        <v>1538.4</v>
      </c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 t="s">
        <v>28</v>
      </c>
      <c r="BH33" s="34"/>
      <c r="BI33" s="34" t="s">
        <v>168</v>
      </c>
      <c r="BJ33" s="34"/>
      <c r="BK33" s="34" t="s">
        <v>50</v>
      </c>
      <c r="BL33" s="34" t="s">
        <v>167</v>
      </c>
      <c r="BM33" s="34" t="s">
        <v>166</v>
      </c>
      <c r="BN33" s="34">
        <v>43970.057980613426</v>
      </c>
      <c r="BO33" s="34"/>
      <c r="BP33" s="34"/>
      <c r="BQ33" s="34"/>
      <c r="BR33" s="34" t="s">
        <v>165</v>
      </c>
      <c r="BS33" s="34">
        <v>4.0518202017615002E+18</v>
      </c>
      <c r="BT33" s="34" t="s">
        <v>164</v>
      </c>
      <c r="BU33" s="34"/>
      <c r="BV33" s="34">
        <v>2020</v>
      </c>
      <c r="BW33" s="34" t="s">
        <v>163</v>
      </c>
      <c r="BX33" s="34"/>
      <c r="BY33" s="34">
        <v>4.0518202017615299E+18</v>
      </c>
      <c r="BZ33" s="34" t="s">
        <v>1847</v>
      </c>
      <c r="CA33" s="34" t="s">
        <v>161</v>
      </c>
    </row>
    <row r="34" spans="1:79" x14ac:dyDescent="0.25">
      <c r="A34" s="34" t="s">
        <v>192</v>
      </c>
      <c r="B34" s="34" t="s">
        <v>157</v>
      </c>
      <c r="C34" s="34">
        <v>2020</v>
      </c>
      <c r="D34" s="34" t="s">
        <v>706</v>
      </c>
      <c r="E34" s="34">
        <v>2.0200619924000499E+17</v>
      </c>
      <c r="F34" s="34" t="s">
        <v>182</v>
      </c>
      <c r="G34" s="34" t="s">
        <v>1848</v>
      </c>
      <c r="H34" s="34">
        <v>1413371</v>
      </c>
      <c r="I34" s="34"/>
      <c r="J34" s="34" t="s">
        <v>180</v>
      </c>
      <c r="K34" s="34" t="s">
        <v>179</v>
      </c>
      <c r="L34" s="34"/>
      <c r="M34" s="34"/>
      <c r="N34" s="34" t="s">
        <v>1788</v>
      </c>
      <c r="O34" s="34" t="s">
        <v>66</v>
      </c>
      <c r="P34" s="34" t="s">
        <v>177</v>
      </c>
      <c r="Q34" s="34" t="s">
        <v>34</v>
      </c>
      <c r="R34" s="34" t="s">
        <v>1789</v>
      </c>
      <c r="S34" s="34"/>
      <c r="T34" s="34" t="s">
        <v>1790</v>
      </c>
      <c r="U34" s="34"/>
      <c r="V34" s="34" t="s">
        <v>1779</v>
      </c>
      <c r="W34" s="34"/>
      <c r="X34" s="34" t="s">
        <v>189</v>
      </c>
      <c r="Y34" s="34" t="s">
        <v>52</v>
      </c>
      <c r="Z34" s="34">
        <v>10013</v>
      </c>
      <c r="AA34" s="34" t="s">
        <v>539</v>
      </c>
      <c r="AB34" s="34" t="s">
        <v>187</v>
      </c>
      <c r="AC34" s="34"/>
      <c r="AD34" s="34">
        <v>15</v>
      </c>
      <c r="AE34" s="34" t="s">
        <v>169</v>
      </c>
      <c r="AF34" s="34"/>
      <c r="AG34" s="34"/>
      <c r="AH34" s="34"/>
      <c r="AI34" s="34">
        <v>43966</v>
      </c>
      <c r="AJ34" s="34">
        <v>192.3</v>
      </c>
      <c r="AK34" s="34">
        <v>1923</v>
      </c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 t="s">
        <v>28</v>
      </c>
      <c r="BH34" s="34"/>
      <c r="BI34" s="34" t="s">
        <v>168</v>
      </c>
      <c r="BJ34" s="34"/>
      <c r="BK34" s="34" t="s">
        <v>50</v>
      </c>
      <c r="BL34" s="34" t="s">
        <v>167</v>
      </c>
      <c r="BM34" s="34" t="s">
        <v>166</v>
      </c>
      <c r="BN34" s="34">
        <v>44002.074768229169</v>
      </c>
      <c r="BO34" s="34"/>
      <c r="BP34" s="34"/>
      <c r="BQ34" s="34"/>
      <c r="BR34" s="34" t="s">
        <v>165</v>
      </c>
      <c r="BS34" s="34">
        <v>4.0619202017759299E+18</v>
      </c>
      <c r="BT34" s="34" t="s">
        <v>164</v>
      </c>
      <c r="BU34" s="34"/>
      <c r="BV34" s="34">
        <v>2020</v>
      </c>
      <c r="BW34" s="34" t="s">
        <v>163</v>
      </c>
      <c r="BX34" s="34"/>
      <c r="BY34" s="34">
        <v>4.0619202017760502E+18</v>
      </c>
      <c r="BZ34" s="34" t="s">
        <v>1849</v>
      </c>
      <c r="CA34" s="34" t="s">
        <v>161</v>
      </c>
    </row>
    <row r="35" spans="1:79" x14ac:dyDescent="0.25">
      <c r="A35" s="34" t="s">
        <v>192</v>
      </c>
      <c r="B35" s="34" t="s">
        <v>157</v>
      </c>
      <c r="C35" s="34">
        <v>2020</v>
      </c>
      <c r="D35" s="34" t="s">
        <v>706</v>
      </c>
      <c r="E35" s="34">
        <v>2.0200619924000499E+17</v>
      </c>
      <c r="F35" s="34" t="s">
        <v>182</v>
      </c>
      <c r="G35" s="34" t="s">
        <v>1850</v>
      </c>
      <c r="H35" s="34">
        <v>1413371</v>
      </c>
      <c r="I35" s="34"/>
      <c r="J35" s="34" t="s">
        <v>180</v>
      </c>
      <c r="K35" s="34" t="s">
        <v>179</v>
      </c>
      <c r="L35" s="34"/>
      <c r="M35" s="34"/>
      <c r="N35" s="34" t="s">
        <v>1788</v>
      </c>
      <c r="O35" s="34" t="s">
        <v>66</v>
      </c>
      <c r="P35" s="34" t="s">
        <v>177</v>
      </c>
      <c r="Q35" s="34" t="s">
        <v>34</v>
      </c>
      <c r="R35" s="34" t="s">
        <v>1789</v>
      </c>
      <c r="S35" s="34"/>
      <c r="T35" s="34" t="s">
        <v>1790</v>
      </c>
      <c r="U35" s="34"/>
      <c r="V35" s="34" t="s">
        <v>1779</v>
      </c>
      <c r="W35" s="34"/>
      <c r="X35" s="34" t="s">
        <v>189</v>
      </c>
      <c r="Y35" s="34" t="s">
        <v>52</v>
      </c>
      <c r="Z35" s="34">
        <v>10013</v>
      </c>
      <c r="AA35" s="34" t="s">
        <v>539</v>
      </c>
      <c r="AB35" s="34" t="s">
        <v>187</v>
      </c>
      <c r="AC35" s="34"/>
      <c r="AD35" s="34">
        <v>15</v>
      </c>
      <c r="AE35" s="34" t="s">
        <v>169</v>
      </c>
      <c r="AF35" s="34"/>
      <c r="AG35" s="34"/>
      <c r="AH35" s="34"/>
      <c r="AI35" s="34">
        <v>43980</v>
      </c>
      <c r="AJ35" s="34">
        <v>192.3</v>
      </c>
      <c r="AK35" s="34">
        <v>2115.3000000000002</v>
      </c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 t="s">
        <v>28</v>
      </c>
      <c r="BH35" s="34"/>
      <c r="BI35" s="34" t="s">
        <v>168</v>
      </c>
      <c r="BJ35" s="34"/>
      <c r="BK35" s="34" t="s">
        <v>50</v>
      </c>
      <c r="BL35" s="34" t="s">
        <v>167</v>
      </c>
      <c r="BM35" s="34" t="s">
        <v>166</v>
      </c>
      <c r="BN35" s="34">
        <v>44002.074768229169</v>
      </c>
      <c r="BO35" s="34"/>
      <c r="BP35" s="34"/>
      <c r="BQ35" s="34"/>
      <c r="BR35" s="34" t="s">
        <v>165</v>
      </c>
      <c r="BS35" s="34">
        <v>4.0619202017759299E+18</v>
      </c>
      <c r="BT35" s="34" t="s">
        <v>164</v>
      </c>
      <c r="BU35" s="34"/>
      <c r="BV35" s="34">
        <v>2020</v>
      </c>
      <c r="BW35" s="34" t="s">
        <v>163</v>
      </c>
      <c r="BX35" s="34"/>
      <c r="BY35" s="34">
        <v>4.0619202017760502E+18</v>
      </c>
      <c r="BZ35" s="34" t="s">
        <v>1851</v>
      </c>
      <c r="CA35" s="34" t="s">
        <v>161</v>
      </c>
    </row>
    <row r="36" spans="1:79" x14ac:dyDescent="0.25">
      <c r="A36" s="34" t="s">
        <v>192</v>
      </c>
      <c r="B36" s="34" t="s">
        <v>157</v>
      </c>
      <c r="C36" s="34">
        <v>2020</v>
      </c>
      <c r="D36" s="34" t="s">
        <v>706</v>
      </c>
      <c r="E36" s="34">
        <v>2.0200619924000499E+17</v>
      </c>
      <c r="F36" s="34" t="s">
        <v>182</v>
      </c>
      <c r="G36" s="34" t="s">
        <v>1852</v>
      </c>
      <c r="H36" s="34">
        <v>1413371</v>
      </c>
      <c r="I36" s="34"/>
      <c r="J36" s="34" t="s">
        <v>180</v>
      </c>
      <c r="K36" s="34" t="s">
        <v>179</v>
      </c>
      <c r="L36" s="34"/>
      <c r="M36" s="34"/>
      <c r="N36" s="34" t="s">
        <v>1788</v>
      </c>
      <c r="O36" s="34" t="s">
        <v>66</v>
      </c>
      <c r="P36" s="34" t="s">
        <v>177</v>
      </c>
      <c r="Q36" s="34" t="s">
        <v>34</v>
      </c>
      <c r="R36" s="34" t="s">
        <v>1789</v>
      </c>
      <c r="S36" s="34"/>
      <c r="T36" s="34" t="s">
        <v>1790</v>
      </c>
      <c r="U36" s="34"/>
      <c r="V36" s="34" t="s">
        <v>1779</v>
      </c>
      <c r="W36" s="34"/>
      <c r="X36" s="34" t="s">
        <v>189</v>
      </c>
      <c r="Y36" s="34" t="s">
        <v>52</v>
      </c>
      <c r="Z36" s="34">
        <v>10013</v>
      </c>
      <c r="AA36" s="34" t="s">
        <v>539</v>
      </c>
      <c r="AB36" s="34" t="s">
        <v>187</v>
      </c>
      <c r="AC36" s="34"/>
      <c r="AD36" s="34">
        <v>15</v>
      </c>
      <c r="AE36" s="34" t="s">
        <v>169</v>
      </c>
      <c r="AF36" s="34"/>
      <c r="AG36" s="34"/>
      <c r="AH36" s="34"/>
      <c r="AI36" s="34">
        <v>43952</v>
      </c>
      <c r="AJ36" s="34">
        <v>192.3</v>
      </c>
      <c r="AK36" s="34">
        <v>1730.7</v>
      </c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 t="s">
        <v>28</v>
      </c>
      <c r="BH36" s="34"/>
      <c r="BI36" s="34" t="s">
        <v>168</v>
      </c>
      <c r="BJ36" s="34"/>
      <c r="BK36" s="34" t="s">
        <v>50</v>
      </c>
      <c r="BL36" s="34" t="s">
        <v>167</v>
      </c>
      <c r="BM36" s="34" t="s">
        <v>166</v>
      </c>
      <c r="BN36" s="34">
        <v>44002.074768229169</v>
      </c>
      <c r="BO36" s="34"/>
      <c r="BP36" s="34"/>
      <c r="BQ36" s="34"/>
      <c r="BR36" s="34" t="s">
        <v>165</v>
      </c>
      <c r="BS36" s="34">
        <v>4.0619202017759299E+18</v>
      </c>
      <c r="BT36" s="34" t="s">
        <v>164</v>
      </c>
      <c r="BU36" s="34"/>
      <c r="BV36" s="34">
        <v>2020</v>
      </c>
      <c r="BW36" s="34" t="s">
        <v>163</v>
      </c>
      <c r="BX36" s="34"/>
      <c r="BY36" s="34">
        <v>4.0619202017760502E+18</v>
      </c>
      <c r="BZ36" s="34" t="s">
        <v>1849</v>
      </c>
      <c r="CA36" s="34" t="s">
        <v>161</v>
      </c>
    </row>
    <row r="37" spans="1:79" x14ac:dyDescent="0.25">
      <c r="A37" s="34" t="s">
        <v>192</v>
      </c>
      <c r="B37" s="34" t="s">
        <v>157</v>
      </c>
      <c r="C37" s="34">
        <v>2020</v>
      </c>
      <c r="D37" s="34" t="s">
        <v>451</v>
      </c>
      <c r="E37" s="34">
        <v>2.0200819926140899E+17</v>
      </c>
      <c r="F37" s="34" t="s">
        <v>182</v>
      </c>
      <c r="G37" s="34" t="s">
        <v>1853</v>
      </c>
      <c r="H37" s="34">
        <v>1433452</v>
      </c>
      <c r="I37" s="34"/>
      <c r="J37" s="34" t="s">
        <v>180</v>
      </c>
      <c r="K37" s="34" t="s">
        <v>179</v>
      </c>
      <c r="L37" s="34"/>
      <c r="M37" s="34"/>
      <c r="N37" s="34" t="s">
        <v>1788</v>
      </c>
      <c r="O37" s="34" t="s">
        <v>66</v>
      </c>
      <c r="P37" s="34" t="s">
        <v>177</v>
      </c>
      <c r="Q37" s="34" t="s">
        <v>34</v>
      </c>
      <c r="R37" s="34" t="s">
        <v>1789</v>
      </c>
      <c r="S37" s="34"/>
      <c r="T37" s="34" t="s">
        <v>1790</v>
      </c>
      <c r="U37" s="34"/>
      <c r="V37" s="34" t="s">
        <v>1779</v>
      </c>
      <c r="W37" s="34"/>
      <c r="X37" s="34" t="s">
        <v>189</v>
      </c>
      <c r="Y37" s="34" t="s">
        <v>52</v>
      </c>
      <c r="Z37" s="34">
        <v>10013</v>
      </c>
      <c r="AA37" s="34" t="s">
        <v>539</v>
      </c>
      <c r="AB37" s="34" t="s">
        <v>187</v>
      </c>
      <c r="AC37" s="34"/>
      <c r="AD37" s="34">
        <v>15</v>
      </c>
      <c r="AE37" s="34" t="s">
        <v>169</v>
      </c>
      <c r="AF37" s="34"/>
      <c r="AG37" s="34"/>
      <c r="AH37" s="34"/>
      <c r="AI37" s="34">
        <v>44022</v>
      </c>
      <c r="AJ37" s="34">
        <v>192.3</v>
      </c>
      <c r="AK37" s="34">
        <v>2692.2</v>
      </c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 t="s">
        <v>28</v>
      </c>
      <c r="BH37" s="34"/>
      <c r="BI37" s="34" t="s">
        <v>168</v>
      </c>
      <c r="BJ37" s="34"/>
      <c r="BK37" s="34" t="s">
        <v>50</v>
      </c>
      <c r="BL37" s="34" t="s">
        <v>167</v>
      </c>
      <c r="BM37" s="34" t="s">
        <v>166</v>
      </c>
      <c r="BN37" s="34">
        <v>44077.151279722224</v>
      </c>
      <c r="BO37" s="34"/>
      <c r="BP37" s="34"/>
      <c r="BQ37" s="34"/>
      <c r="BR37" s="34" t="s">
        <v>165</v>
      </c>
      <c r="BS37" s="34">
        <v>4.0820202018293499E+18</v>
      </c>
      <c r="BT37" s="34" t="s">
        <v>164</v>
      </c>
      <c r="BU37" s="34"/>
      <c r="BV37" s="34">
        <v>2020</v>
      </c>
      <c r="BW37" s="34" t="s">
        <v>163</v>
      </c>
      <c r="BX37" s="34"/>
      <c r="BY37" s="34">
        <v>4.0903202018344202E+18</v>
      </c>
      <c r="BZ37" s="34" t="s">
        <v>1854</v>
      </c>
      <c r="CA37" s="34" t="s">
        <v>161</v>
      </c>
    </row>
    <row r="38" spans="1:79" x14ac:dyDescent="0.25">
      <c r="A38" s="34" t="s">
        <v>192</v>
      </c>
      <c r="B38" s="34" t="s">
        <v>157</v>
      </c>
      <c r="C38" s="34">
        <v>2020</v>
      </c>
      <c r="D38" s="34" t="s">
        <v>451</v>
      </c>
      <c r="E38" s="34">
        <v>2.0200819926140899E+17</v>
      </c>
      <c r="F38" s="34" t="s">
        <v>182</v>
      </c>
      <c r="G38" s="34" t="s">
        <v>1855</v>
      </c>
      <c r="H38" s="34">
        <v>1433452</v>
      </c>
      <c r="I38" s="34"/>
      <c r="J38" s="34" t="s">
        <v>180</v>
      </c>
      <c r="K38" s="34" t="s">
        <v>179</v>
      </c>
      <c r="L38" s="34"/>
      <c r="M38" s="34"/>
      <c r="N38" s="34" t="s">
        <v>1788</v>
      </c>
      <c r="O38" s="34" t="s">
        <v>66</v>
      </c>
      <c r="P38" s="34" t="s">
        <v>177</v>
      </c>
      <c r="Q38" s="34" t="s">
        <v>34</v>
      </c>
      <c r="R38" s="34" t="s">
        <v>1789</v>
      </c>
      <c r="S38" s="34"/>
      <c r="T38" s="34" t="s">
        <v>1790</v>
      </c>
      <c r="U38" s="34"/>
      <c r="V38" s="34" t="s">
        <v>1779</v>
      </c>
      <c r="W38" s="34"/>
      <c r="X38" s="34" t="s">
        <v>189</v>
      </c>
      <c r="Y38" s="34" t="s">
        <v>52</v>
      </c>
      <c r="Z38" s="34">
        <v>10013</v>
      </c>
      <c r="AA38" s="34" t="s">
        <v>539</v>
      </c>
      <c r="AB38" s="34" t="s">
        <v>187</v>
      </c>
      <c r="AC38" s="34"/>
      <c r="AD38" s="34">
        <v>15</v>
      </c>
      <c r="AE38" s="34" t="s">
        <v>169</v>
      </c>
      <c r="AF38" s="34"/>
      <c r="AG38" s="34"/>
      <c r="AH38" s="34"/>
      <c r="AI38" s="34">
        <v>44036</v>
      </c>
      <c r="AJ38" s="34">
        <v>192.3</v>
      </c>
      <c r="AK38" s="34">
        <v>2884.5</v>
      </c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 t="s">
        <v>28</v>
      </c>
      <c r="BH38" s="34"/>
      <c r="BI38" s="34" t="s">
        <v>168</v>
      </c>
      <c r="BJ38" s="34"/>
      <c r="BK38" s="34" t="s">
        <v>50</v>
      </c>
      <c r="BL38" s="34" t="s">
        <v>167</v>
      </c>
      <c r="BM38" s="34" t="s">
        <v>166</v>
      </c>
      <c r="BN38" s="34">
        <v>44077.151279722224</v>
      </c>
      <c r="BO38" s="34"/>
      <c r="BP38" s="34"/>
      <c r="BQ38" s="34"/>
      <c r="BR38" s="34" t="s">
        <v>165</v>
      </c>
      <c r="BS38" s="34">
        <v>4.0820202018293499E+18</v>
      </c>
      <c r="BT38" s="34" t="s">
        <v>164</v>
      </c>
      <c r="BU38" s="34"/>
      <c r="BV38" s="34">
        <v>2020</v>
      </c>
      <c r="BW38" s="34" t="s">
        <v>163</v>
      </c>
      <c r="BX38" s="34"/>
      <c r="BY38" s="34">
        <v>4.0903202018344202E+18</v>
      </c>
      <c r="BZ38" s="34" t="s">
        <v>1854</v>
      </c>
      <c r="CA38" s="34" t="s">
        <v>161</v>
      </c>
    </row>
    <row r="39" spans="1:79" x14ac:dyDescent="0.25">
      <c r="A39" s="34" t="s">
        <v>192</v>
      </c>
      <c r="B39" s="34" t="s">
        <v>157</v>
      </c>
      <c r="C39" s="34">
        <v>2020</v>
      </c>
      <c r="D39" s="34" t="s">
        <v>553</v>
      </c>
      <c r="E39" s="34">
        <v>2.0200717925038099E+17</v>
      </c>
      <c r="F39" s="34" t="s">
        <v>182</v>
      </c>
      <c r="G39" s="34" t="s">
        <v>1856</v>
      </c>
      <c r="H39" s="34">
        <v>1426010</v>
      </c>
      <c r="I39" s="34"/>
      <c r="J39" s="34" t="s">
        <v>180</v>
      </c>
      <c r="K39" s="34" t="s">
        <v>179</v>
      </c>
      <c r="L39" s="34"/>
      <c r="M39" s="34"/>
      <c r="N39" s="34" t="s">
        <v>1788</v>
      </c>
      <c r="O39" s="34" t="s">
        <v>66</v>
      </c>
      <c r="P39" s="34" t="s">
        <v>177</v>
      </c>
      <c r="Q39" s="34" t="s">
        <v>34</v>
      </c>
      <c r="R39" s="34" t="s">
        <v>1789</v>
      </c>
      <c r="S39" s="34"/>
      <c r="T39" s="34" t="s">
        <v>1790</v>
      </c>
      <c r="U39" s="34"/>
      <c r="V39" s="34" t="s">
        <v>1779</v>
      </c>
      <c r="W39" s="34"/>
      <c r="X39" s="34" t="s">
        <v>189</v>
      </c>
      <c r="Y39" s="34" t="s">
        <v>52</v>
      </c>
      <c r="Z39" s="34">
        <v>10013</v>
      </c>
      <c r="AA39" s="34" t="s">
        <v>539</v>
      </c>
      <c r="AB39" s="34" t="s">
        <v>187</v>
      </c>
      <c r="AC39" s="34"/>
      <c r="AD39" s="34">
        <v>15</v>
      </c>
      <c r="AE39" s="34" t="s">
        <v>169</v>
      </c>
      <c r="AF39" s="34"/>
      <c r="AG39" s="34"/>
      <c r="AH39" s="34"/>
      <c r="AI39" s="34">
        <v>44008</v>
      </c>
      <c r="AJ39" s="34">
        <v>192.3</v>
      </c>
      <c r="AK39" s="34">
        <v>2499.9</v>
      </c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 t="s">
        <v>28</v>
      </c>
      <c r="BH39" s="34"/>
      <c r="BI39" s="34" t="s">
        <v>168</v>
      </c>
      <c r="BJ39" s="34"/>
      <c r="BK39" s="34" t="s">
        <v>50</v>
      </c>
      <c r="BL39" s="34" t="s">
        <v>167</v>
      </c>
      <c r="BM39" s="34" t="s">
        <v>166</v>
      </c>
      <c r="BN39" s="34">
        <v>44035.113565833337</v>
      </c>
      <c r="BO39" s="34"/>
      <c r="BP39" s="34"/>
      <c r="BQ39" s="34"/>
      <c r="BR39" s="34" t="s">
        <v>165</v>
      </c>
      <c r="BS39" s="34">
        <v>4.0717202017909898E+18</v>
      </c>
      <c r="BT39" s="34" t="s">
        <v>164</v>
      </c>
      <c r="BU39" s="34"/>
      <c r="BV39" s="34">
        <v>2020</v>
      </c>
      <c r="BW39" s="34" t="s">
        <v>163</v>
      </c>
      <c r="BX39" s="34"/>
      <c r="BY39" s="34">
        <v>4.0722202017936399E+18</v>
      </c>
      <c r="BZ39" s="34" t="s">
        <v>1857</v>
      </c>
      <c r="CA39" s="34" t="s">
        <v>161</v>
      </c>
    </row>
    <row r="40" spans="1:79" x14ac:dyDescent="0.25">
      <c r="A40" s="34" t="s">
        <v>192</v>
      </c>
      <c r="B40" s="34" t="s">
        <v>157</v>
      </c>
      <c r="C40" s="34">
        <v>2020</v>
      </c>
      <c r="D40" s="34" t="s">
        <v>553</v>
      </c>
      <c r="E40" s="34">
        <v>2.0200717925038099E+17</v>
      </c>
      <c r="F40" s="34" t="s">
        <v>182</v>
      </c>
      <c r="G40" s="34" t="s">
        <v>1858</v>
      </c>
      <c r="H40" s="34">
        <v>1426010</v>
      </c>
      <c r="I40" s="34"/>
      <c r="J40" s="34" t="s">
        <v>180</v>
      </c>
      <c r="K40" s="34" t="s">
        <v>179</v>
      </c>
      <c r="L40" s="34"/>
      <c r="M40" s="34"/>
      <c r="N40" s="34" t="s">
        <v>1788</v>
      </c>
      <c r="O40" s="34" t="s">
        <v>66</v>
      </c>
      <c r="P40" s="34" t="s">
        <v>177</v>
      </c>
      <c r="Q40" s="34" t="s">
        <v>34</v>
      </c>
      <c r="R40" s="34" t="s">
        <v>1789</v>
      </c>
      <c r="S40" s="34"/>
      <c r="T40" s="34" t="s">
        <v>1790</v>
      </c>
      <c r="U40" s="34"/>
      <c r="V40" s="34" t="s">
        <v>1779</v>
      </c>
      <c r="W40" s="34"/>
      <c r="X40" s="34" t="s">
        <v>189</v>
      </c>
      <c r="Y40" s="34" t="s">
        <v>52</v>
      </c>
      <c r="Z40" s="34">
        <v>10013</v>
      </c>
      <c r="AA40" s="34" t="s">
        <v>539</v>
      </c>
      <c r="AB40" s="34" t="s">
        <v>187</v>
      </c>
      <c r="AC40" s="34"/>
      <c r="AD40" s="34">
        <v>15</v>
      </c>
      <c r="AE40" s="34" t="s">
        <v>169</v>
      </c>
      <c r="AF40" s="34"/>
      <c r="AG40" s="34"/>
      <c r="AH40" s="34"/>
      <c r="AI40" s="34">
        <v>43994</v>
      </c>
      <c r="AJ40" s="34">
        <v>192.3</v>
      </c>
      <c r="AK40" s="34">
        <v>2307.6</v>
      </c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 t="s">
        <v>28</v>
      </c>
      <c r="BH40" s="34"/>
      <c r="BI40" s="34" t="s">
        <v>168</v>
      </c>
      <c r="BJ40" s="34"/>
      <c r="BK40" s="34" t="s">
        <v>50</v>
      </c>
      <c r="BL40" s="34" t="s">
        <v>167</v>
      </c>
      <c r="BM40" s="34" t="s">
        <v>166</v>
      </c>
      <c r="BN40" s="34">
        <v>44035.128207210648</v>
      </c>
      <c r="BO40" s="34"/>
      <c r="BP40" s="34"/>
      <c r="BQ40" s="34"/>
      <c r="BR40" s="34" t="s">
        <v>165</v>
      </c>
      <c r="BS40" s="34">
        <v>4.0717202017909898E+18</v>
      </c>
      <c r="BT40" s="34" t="s">
        <v>164</v>
      </c>
      <c r="BU40" s="34"/>
      <c r="BV40" s="34">
        <v>2020</v>
      </c>
      <c r="BW40" s="34" t="s">
        <v>163</v>
      </c>
      <c r="BX40" s="34"/>
      <c r="BY40" s="34">
        <v>4.0722202017936399E+18</v>
      </c>
      <c r="BZ40" s="34" t="s">
        <v>1857</v>
      </c>
      <c r="CA40" s="34" t="s">
        <v>161</v>
      </c>
    </row>
    <row r="41" spans="1:79" x14ac:dyDescent="0.25">
      <c r="A41" s="34" t="s">
        <v>192</v>
      </c>
      <c r="B41" s="34" t="s">
        <v>157</v>
      </c>
      <c r="C41" s="34">
        <v>2020</v>
      </c>
      <c r="D41" s="34" t="s">
        <v>373</v>
      </c>
      <c r="E41" s="34">
        <v>2.0200918926743299E+17</v>
      </c>
      <c r="F41" s="34" t="s">
        <v>182</v>
      </c>
      <c r="G41" s="34" t="s">
        <v>1859</v>
      </c>
      <c r="H41" s="34">
        <v>1439641</v>
      </c>
      <c r="I41" s="34"/>
      <c r="J41" s="34" t="s">
        <v>180</v>
      </c>
      <c r="K41" s="34" t="s">
        <v>179</v>
      </c>
      <c r="L41" s="34"/>
      <c r="M41" s="34"/>
      <c r="N41" s="34" t="s">
        <v>1788</v>
      </c>
      <c r="O41" s="34" t="s">
        <v>66</v>
      </c>
      <c r="P41" s="34" t="s">
        <v>177</v>
      </c>
      <c r="Q41" s="34" t="s">
        <v>34</v>
      </c>
      <c r="R41" s="34" t="s">
        <v>1789</v>
      </c>
      <c r="S41" s="34"/>
      <c r="T41" s="34" t="s">
        <v>1790</v>
      </c>
      <c r="U41" s="34"/>
      <c r="V41" s="34" t="s">
        <v>1779</v>
      </c>
      <c r="W41" s="34"/>
      <c r="X41" s="34" t="s">
        <v>189</v>
      </c>
      <c r="Y41" s="34" t="s">
        <v>52</v>
      </c>
      <c r="Z41" s="34">
        <v>10013</v>
      </c>
      <c r="AA41" s="34" t="s">
        <v>539</v>
      </c>
      <c r="AB41" s="34" t="s">
        <v>187</v>
      </c>
      <c r="AC41" s="34"/>
      <c r="AD41" s="34">
        <v>15</v>
      </c>
      <c r="AE41" s="34" t="s">
        <v>169</v>
      </c>
      <c r="AF41" s="34"/>
      <c r="AG41" s="34"/>
      <c r="AH41" s="34"/>
      <c r="AI41" s="34">
        <v>44050</v>
      </c>
      <c r="AJ41" s="34">
        <v>192.3</v>
      </c>
      <c r="AK41" s="34">
        <v>3076.8</v>
      </c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 t="s">
        <v>28</v>
      </c>
      <c r="BH41" s="34"/>
      <c r="BI41" s="34" t="s">
        <v>168</v>
      </c>
      <c r="BJ41" s="34"/>
      <c r="BK41" s="34" t="s">
        <v>50</v>
      </c>
      <c r="BL41" s="34" t="s">
        <v>167</v>
      </c>
      <c r="BM41" s="34" t="s">
        <v>166</v>
      </c>
      <c r="BN41" s="34">
        <v>44097.160206469911</v>
      </c>
      <c r="BO41" s="34"/>
      <c r="BP41" s="34"/>
      <c r="BQ41" s="34"/>
      <c r="BR41" s="34" t="s">
        <v>165</v>
      </c>
      <c r="BS41" s="34">
        <v>4.0919202018490399E+18</v>
      </c>
      <c r="BT41" s="34" t="s">
        <v>164</v>
      </c>
      <c r="BU41" s="34"/>
      <c r="BV41" s="34">
        <v>2020</v>
      </c>
      <c r="BW41" s="34" t="s">
        <v>163</v>
      </c>
      <c r="BX41" s="34"/>
      <c r="BY41" s="34">
        <v>4.0923202018493199E+18</v>
      </c>
      <c r="BZ41" s="34" t="s">
        <v>1860</v>
      </c>
      <c r="CA41" s="34" t="s">
        <v>161</v>
      </c>
    </row>
    <row r="42" spans="1:79" x14ac:dyDescent="0.25">
      <c r="A42" s="34" t="s">
        <v>192</v>
      </c>
      <c r="B42" s="34" t="s">
        <v>157</v>
      </c>
      <c r="C42" s="34">
        <v>2020</v>
      </c>
      <c r="D42" s="34" t="s">
        <v>373</v>
      </c>
      <c r="E42" s="34">
        <v>2.0200918926743299E+17</v>
      </c>
      <c r="F42" s="34" t="s">
        <v>182</v>
      </c>
      <c r="G42" s="34" t="s">
        <v>1861</v>
      </c>
      <c r="H42" s="34">
        <v>1439641</v>
      </c>
      <c r="I42" s="34"/>
      <c r="J42" s="34" t="s">
        <v>180</v>
      </c>
      <c r="K42" s="34" t="s">
        <v>179</v>
      </c>
      <c r="L42" s="34"/>
      <c r="M42" s="34"/>
      <c r="N42" s="34" t="s">
        <v>1788</v>
      </c>
      <c r="O42" s="34" t="s">
        <v>66</v>
      </c>
      <c r="P42" s="34" t="s">
        <v>177</v>
      </c>
      <c r="Q42" s="34" t="s">
        <v>34</v>
      </c>
      <c r="R42" s="34" t="s">
        <v>1789</v>
      </c>
      <c r="S42" s="34"/>
      <c r="T42" s="34" t="s">
        <v>1790</v>
      </c>
      <c r="U42" s="34"/>
      <c r="V42" s="34" t="s">
        <v>1779</v>
      </c>
      <c r="W42" s="34"/>
      <c r="X42" s="34" t="s">
        <v>189</v>
      </c>
      <c r="Y42" s="34" t="s">
        <v>52</v>
      </c>
      <c r="Z42" s="34">
        <v>10013</v>
      </c>
      <c r="AA42" s="34" t="s">
        <v>539</v>
      </c>
      <c r="AB42" s="34" t="s">
        <v>187</v>
      </c>
      <c r="AC42" s="34"/>
      <c r="AD42" s="34">
        <v>15</v>
      </c>
      <c r="AE42" s="34" t="s">
        <v>169</v>
      </c>
      <c r="AF42" s="34"/>
      <c r="AG42" s="34"/>
      <c r="AH42" s="34"/>
      <c r="AI42" s="34">
        <v>44064</v>
      </c>
      <c r="AJ42" s="34">
        <v>192.3</v>
      </c>
      <c r="AK42" s="34">
        <v>3269.1</v>
      </c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 t="s">
        <v>28</v>
      </c>
      <c r="BH42" s="34"/>
      <c r="BI42" s="34" t="s">
        <v>168</v>
      </c>
      <c r="BJ42" s="34"/>
      <c r="BK42" s="34" t="s">
        <v>50</v>
      </c>
      <c r="BL42" s="34" t="s">
        <v>167</v>
      </c>
      <c r="BM42" s="34" t="s">
        <v>166</v>
      </c>
      <c r="BN42" s="34">
        <v>44097.160206469911</v>
      </c>
      <c r="BO42" s="34"/>
      <c r="BP42" s="34"/>
      <c r="BQ42" s="34"/>
      <c r="BR42" s="34" t="s">
        <v>165</v>
      </c>
      <c r="BS42" s="34">
        <v>4.0919202018490399E+18</v>
      </c>
      <c r="BT42" s="34" t="s">
        <v>164</v>
      </c>
      <c r="BU42" s="34"/>
      <c r="BV42" s="34">
        <v>2020</v>
      </c>
      <c r="BW42" s="34" t="s">
        <v>163</v>
      </c>
      <c r="BX42" s="34"/>
      <c r="BY42" s="34">
        <v>4.0923202018493199E+18</v>
      </c>
      <c r="BZ42" s="34" t="s">
        <v>1860</v>
      </c>
      <c r="CA42" s="34" t="s">
        <v>161</v>
      </c>
    </row>
    <row r="43" spans="1:79" x14ac:dyDescent="0.25">
      <c r="A43" s="34" t="s">
        <v>192</v>
      </c>
      <c r="B43" s="34" t="s">
        <v>157</v>
      </c>
      <c r="C43" s="34">
        <v>2020</v>
      </c>
      <c r="D43" s="34" t="s">
        <v>494</v>
      </c>
      <c r="E43" s="34">
        <v>2.0201020929738499E+17</v>
      </c>
      <c r="F43" s="34" t="s">
        <v>182</v>
      </c>
      <c r="G43" s="34" t="s">
        <v>1862</v>
      </c>
      <c r="H43" s="34">
        <v>1457354</v>
      </c>
      <c r="I43" s="34"/>
      <c r="J43" s="34" t="s">
        <v>180</v>
      </c>
      <c r="K43" s="34" t="s">
        <v>179</v>
      </c>
      <c r="L43" s="34"/>
      <c r="M43" s="34"/>
      <c r="N43" s="34" t="s">
        <v>1788</v>
      </c>
      <c r="O43" s="34" t="s">
        <v>66</v>
      </c>
      <c r="P43" s="34" t="s">
        <v>177</v>
      </c>
      <c r="Q43" s="34" t="s">
        <v>34</v>
      </c>
      <c r="R43" s="34" t="s">
        <v>1789</v>
      </c>
      <c r="S43" s="34"/>
      <c r="T43" s="34" t="s">
        <v>1790</v>
      </c>
      <c r="U43" s="34"/>
      <c r="V43" s="34" t="s">
        <v>1779</v>
      </c>
      <c r="W43" s="34"/>
      <c r="X43" s="34" t="s">
        <v>189</v>
      </c>
      <c r="Y43" s="34" t="s">
        <v>52</v>
      </c>
      <c r="Z43" s="34">
        <v>10013</v>
      </c>
      <c r="AA43" s="34" t="s">
        <v>539</v>
      </c>
      <c r="AB43" s="34" t="s">
        <v>187</v>
      </c>
      <c r="AC43" s="34"/>
      <c r="AD43" s="34">
        <v>15</v>
      </c>
      <c r="AE43" s="34" t="s">
        <v>169</v>
      </c>
      <c r="AF43" s="34"/>
      <c r="AG43" s="34"/>
      <c r="AH43" s="34"/>
      <c r="AI43" s="34">
        <v>44078</v>
      </c>
      <c r="AJ43" s="34">
        <v>192.3</v>
      </c>
      <c r="AK43" s="34">
        <v>3461.4</v>
      </c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 t="s">
        <v>28</v>
      </c>
      <c r="BH43" s="34"/>
      <c r="BI43" s="34" t="s">
        <v>168</v>
      </c>
      <c r="BJ43" s="34"/>
      <c r="BK43" s="34" t="s">
        <v>50</v>
      </c>
      <c r="BL43" s="34" t="s">
        <v>167</v>
      </c>
      <c r="BM43" s="34" t="s">
        <v>166</v>
      </c>
      <c r="BN43" s="34">
        <v>44167.158316006942</v>
      </c>
      <c r="BO43" s="34"/>
      <c r="BP43" s="34"/>
      <c r="BQ43" s="34"/>
      <c r="BR43" s="34" t="s">
        <v>165</v>
      </c>
      <c r="BS43" s="34">
        <v>4.1021202018822298E+18</v>
      </c>
      <c r="BT43" s="34" t="s">
        <v>164</v>
      </c>
      <c r="BU43" s="34"/>
      <c r="BV43" s="34">
        <v>2020</v>
      </c>
      <c r="BW43" s="34" t="s">
        <v>163</v>
      </c>
      <c r="BX43" s="34"/>
      <c r="BY43" s="34">
        <v>4.1202202019629199E+18</v>
      </c>
      <c r="BZ43" s="34" t="s">
        <v>1863</v>
      </c>
      <c r="CA43" s="34" t="s">
        <v>161</v>
      </c>
    </row>
    <row r="44" spans="1:79" x14ac:dyDescent="0.25">
      <c r="A44" s="34" t="s">
        <v>192</v>
      </c>
      <c r="B44" s="34" t="s">
        <v>157</v>
      </c>
      <c r="C44" s="34">
        <v>2020</v>
      </c>
      <c r="D44" s="34" t="s">
        <v>494</v>
      </c>
      <c r="E44" s="34">
        <v>2.0201020929738499E+17</v>
      </c>
      <c r="F44" s="34" t="s">
        <v>182</v>
      </c>
      <c r="G44" s="34" t="s">
        <v>1864</v>
      </c>
      <c r="H44" s="34">
        <v>1457354</v>
      </c>
      <c r="I44" s="34"/>
      <c r="J44" s="34" t="s">
        <v>180</v>
      </c>
      <c r="K44" s="34" t="s">
        <v>179</v>
      </c>
      <c r="L44" s="34"/>
      <c r="M44" s="34"/>
      <c r="N44" s="34" t="s">
        <v>1788</v>
      </c>
      <c r="O44" s="34" t="s">
        <v>66</v>
      </c>
      <c r="P44" s="34" t="s">
        <v>177</v>
      </c>
      <c r="Q44" s="34" t="s">
        <v>34</v>
      </c>
      <c r="R44" s="34" t="s">
        <v>1789</v>
      </c>
      <c r="S44" s="34"/>
      <c r="T44" s="34" t="s">
        <v>1790</v>
      </c>
      <c r="U44" s="34"/>
      <c r="V44" s="34" t="s">
        <v>1779</v>
      </c>
      <c r="W44" s="34"/>
      <c r="X44" s="34" t="s">
        <v>189</v>
      </c>
      <c r="Y44" s="34" t="s">
        <v>52</v>
      </c>
      <c r="Z44" s="34">
        <v>10013</v>
      </c>
      <c r="AA44" s="34" t="s">
        <v>539</v>
      </c>
      <c r="AB44" s="34" t="s">
        <v>187</v>
      </c>
      <c r="AC44" s="34"/>
      <c r="AD44" s="34">
        <v>15</v>
      </c>
      <c r="AE44" s="34" t="s">
        <v>169</v>
      </c>
      <c r="AF44" s="34"/>
      <c r="AG44" s="34"/>
      <c r="AH44" s="34"/>
      <c r="AI44" s="34">
        <v>44092</v>
      </c>
      <c r="AJ44" s="34">
        <v>192.3</v>
      </c>
      <c r="AK44" s="34">
        <v>3653.7</v>
      </c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 t="s">
        <v>28</v>
      </c>
      <c r="BH44" s="34"/>
      <c r="BI44" s="34" t="s">
        <v>168</v>
      </c>
      <c r="BJ44" s="34"/>
      <c r="BK44" s="34" t="s">
        <v>50</v>
      </c>
      <c r="BL44" s="34" t="s">
        <v>167</v>
      </c>
      <c r="BM44" s="34" t="s">
        <v>166</v>
      </c>
      <c r="BN44" s="34">
        <v>44167.158316006942</v>
      </c>
      <c r="BO44" s="34"/>
      <c r="BP44" s="34"/>
      <c r="BQ44" s="34"/>
      <c r="BR44" s="34" t="s">
        <v>165</v>
      </c>
      <c r="BS44" s="34">
        <v>4.1021202018822298E+18</v>
      </c>
      <c r="BT44" s="34" t="s">
        <v>164</v>
      </c>
      <c r="BU44" s="34"/>
      <c r="BV44" s="34">
        <v>2020</v>
      </c>
      <c r="BW44" s="34" t="s">
        <v>163</v>
      </c>
      <c r="BX44" s="34"/>
      <c r="BY44" s="34">
        <v>4.1202202019629199E+18</v>
      </c>
      <c r="BZ44" s="34" t="s">
        <v>1863</v>
      </c>
      <c r="CA44" s="34" t="s">
        <v>161</v>
      </c>
    </row>
    <row r="45" spans="1:79" x14ac:dyDescent="0.25">
      <c r="A45" s="34" t="s">
        <v>192</v>
      </c>
      <c r="B45" s="34" t="s">
        <v>157</v>
      </c>
      <c r="C45" s="34">
        <v>2020</v>
      </c>
      <c r="D45" s="34" t="s">
        <v>422</v>
      </c>
      <c r="E45" s="34">
        <v>2.0210129941805699E+17</v>
      </c>
      <c r="F45" s="34" t="s">
        <v>182</v>
      </c>
      <c r="G45" s="34" t="s">
        <v>1865</v>
      </c>
      <c r="H45" s="34">
        <v>1494727</v>
      </c>
      <c r="I45" s="34"/>
      <c r="J45" s="34" t="s">
        <v>180</v>
      </c>
      <c r="K45" s="34" t="s">
        <v>179</v>
      </c>
      <c r="L45" s="34"/>
      <c r="M45" s="34"/>
      <c r="N45" s="34" t="s">
        <v>1788</v>
      </c>
      <c r="O45" s="34" t="s">
        <v>66</v>
      </c>
      <c r="P45" s="34" t="s">
        <v>177</v>
      </c>
      <c r="Q45" s="34" t="s">
        <v>34</v>
      </c>
      <c r="R45" s="34" t="s">
        <v>1789</v>
      </c>
      <c r="S45" s="34"/>
      <c r="T45" s="34" t="s">
        <v>1790</v>
      </c>
      <c r="U45" s="34"/>
      <c r="V45" s="34" t="s">
        <v>1779</v>
      </c>
      <c r="W45" s="34"/>
      <c r="X45" s="34" t="s">
        <v>189</v>
      </c>
      <c r="Y45" s="34" t="s">
        <v>52</v>
      </c>
      <c r="Z45" s="34">
        <v>10013</v>
      </c>
      <c r="AA45" s="34" t="s">
        <v>539</v>
      </c>
      <c r="AB45" s="34" t="s">
        <v>187</v>
      </c>
      <c r="AC45" s="34"/>
      <c r="AD45" s="34">
        <v>15</v>
      </c>
      <c r="AE45" s="34" t="s">
        <v>169</v>
      </c>
      <c r="AF45" s="34"/>
      <c r="AG45" s="34"/>
      <c r="AH45" s="34"/>
      <c r="AI45" s="34">
        <v>44162</v>
      </c>
      <c r="AJ45" s="34">
        <v>192.3</v>
      </c>
      <c r="AK45" s="34">
        <v>4615.2</v>
      </c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 t="s">
        <v>28</v>
      </c>
      <c r="BH45" s="34"/>
      <c r="BI45" s="34" t="s">
        <v>168</v>
      </c>
      <c r="BJ45" s="34"/>
      <c r="BK45" s="34" t="s">
        <v>50</v>
      </c>
      <c r="BL45" s="34" t="s">
        <v>167</v>
      </c>
      <c r="BM45" s="34" t="s">
        <v>166</v>
      </c>
      <c r="BN45" s="34">
        <v>44230.156114131947</v>
      </c>
      <c r="BO45" s="34"/>
      <c r="BP45" s="34"/>
      <c r="BQ45" s="34"/>
      <c r="BR45" s="34" t="s">
        <v>165</v>
      </c>
      <c r="BS45" s="34">
        <v>4.01302021213907E+18</v>
      </c>
      <c r="BT45" s="34" t="s">
        <v>164</v>
      </c>
      <c r="BU45" s="34"/>
      <c r="BV45" s="34">
        <v>2020</v>
      </c>
      <c r="BW45" s="34" t="s">
        <v>163</v>
      </c>
      <c r="BX45" s="34"/>
      <c r="BY45" s="34">
        <v>4.0203202121404099E+18</v>
      </c>
      <c r="BZ45" s="34" t="s">
        <v>1866</v>
      </c>
      <c r="CA45" s="34" t="s">
        <v>161</v>
      </c>
    </row>
    <row r="46" spans="1:79" x14ac:dyDescent="0.25">
      <c r="A46" s="34" t="s">
        <v>192</v>
      </c>
      <c r="B46" s="34" t="s">
        <v>157</v>
      </c>
      <c r="C46" s="34">
        <v>2020</v>
      </c>
      <c r="D46" s="34" t="s">
        <v>422</v>
      </c>
      <c r="E46" s="34">
        <v>2.0210129941805699E+17</v>
      </c>
      <c r="F46" s="34" t="s">
        <v>182</v>
      </c>
      <c r="G46" s="34" t="s">
        <v>1867</v>
      </c>
      <c r="H46" s="34">
        <v>1494727</v>
      </c>
      <c r="I46" s="34"/>
      <c r="J46" s="34" t="s">
        <v>180</v>
      </c>
      <c r="K46" s="34" t="s">
        <v>179</v>
      </c>
      <c r="L46" s="34"/>
      <c r="M46" s="34"/>
      <c r="N46" s="34" t="s">
        <v>1788</v>
      </c>
      <c r="O46" s="34" t="s">
        <v>66</v>
      </c>
      <c r="P46" s="34" t="s">
        <v>177</v>
      </c>
      <c r="Q46" s="34" t="s">
        <v>34</v>
      </c>
      <c r="R46" s="34" t="s">
        <v>1789</v>
      </c>
      <c r="S46" s="34"/>
      <c r="T46" s="34" t="s">
        <v>1790</v>
      </c>
      <c r="U46" s="34"/>
      <c r="V46" s="34" t="s">
        <v>1779</v>
      </c>
      <c r="W46" s="34"/>
      <c r="X46" s="34" t="s">
        <v>189</v>
      </c>
      <c r="Y46" s="34" t="s">
        <v>52</v>
      </c>
      <c r="Z46" s="34">
        <v>10013</v>
      </c>
      <c r="AA46" s="34" t="s">
        <v>539</v>
      </c>
      <c r="AB46" s="34" t="s">
        <v>187</v>
      </c>
      <c r="AC46" s="34"/>
      <c r="AD46" s="34">
        <v>15</v>
      </c>
      <c r="AE46" s="34" t="s">
        <v>169</v>
      </c>
      <c r="AF46" s="34"/>
      <c r="AG46" s="34"/>
      <c r="AH46" s="34"/>
      <c r="AI46" s="34">
        <v>44176</v>
      </c>
      <c r="AJ46" s="34">
        <v>192.3</v>
      </c>
      <c r="AK46" s="34">
        <v>4807.5</v>
      </c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 t="s">
        <v>28</v>
      </c>
      <c r="BH46" s="34"/>
      <c r="BI46" s="34" t="s">
        <v>168</v>
      </c>
      <c r="BJ46" s="34"/>
      <c r="BK46" s="34" t="s">
        <v>50</v>
      </c>
      <c r="BL46" s="34" t="s">
        <v>167</v>
      </c>
      <c r="BM46" s="34" t="s">
        <v>166</v>
      </c>
      <c r="BN46" s="34">
        <v>44230.156114131947</v>
      </c>
      <c r="BO46" s="34"/>
      <c r="BP46" s="34"/>
      <c r="BQ46" s="34"/>
      <c r="BR46" s="34" t="s">
        <v>165</v>
      </c>
      <c r="BS46" s="34">
        <v>4.01302021213907E+18</v>
      </c>
      <c r="BT46" s="34" t="s">
        <v>164</v>
      </c>
      <c r="BU46" s="34"/>
      <c r="BV46" s="34">
        <v>2020</v>
      </c>
      <c r="BW46" s="34" t="s">
        <v>163</v>
      </c>
      <c r="BX46" s="34"/>
      <c r="BY46" s="34">
        <v>4.0203202121404099E+18</v>
      </c>
      <c r="BZ46" s="34" t="s">
        <v>1866</v>
      </c>
      <c r="CA46" s="34" t="s">
        <v>161</v>
      </c>
    </row>
    <row r="47" spans="1:79" x14ac:dyDescent="0.25">
      <c r="A47" s="34" t="s">
        <v>192</v>
      </c>
      <c r="B47" s="34" t="s">
        <v>157</v>
      </c>
      <c r="C47" s="34">
        <v>2020</v>
      </c>
      <c r="D47" s="34" t="s">
        <v>422</v>
      </c>
      <c r="E47" s="34">
        <v>2.0210129941805699E+17</v>
      </c>
      <c r="F47" s="34" t="s">
        <v>182</v>
      </c>
      <c r="G47" s="34" t="s">
        <v>1868</v>
      </c>
      <c r="H47" s="34">
        <v>1494727</v>
      </c>
      <c r="I47" s="34"/>
      <c r="J47" s="34" t="s">
        <v>180</v>
      </c>
      <c r="K47" s="34" t="s">
        <v>179</v>
      </c>
      <c r="L47" s="34"/>
      <c r="M47" s="34"/>
      <c r="N47" s="34" t="s">
        <v>1788</v>
      </c>
      <c r="O47" s="34" t="s">
        <v>66</v>
      </c>
      <c r="P47" s="34" t="s">
        <v>177</v>
      </c>
      <c r="Q47" s="34" t="s">
        <v>34</v>
      </c>
      <c r="R47" s="34" t="s">
        <v>1789</v>
      </c>
      <c r="S47" s="34"/>
      <c r="T47" s="34" t="s">
        <v>1790</v>
      </c>
      <c r="U47" s="34"/>
      <c r="V47" s="34" t="s">
        <v>1779</v>
      </c>
      <c r="W47" s="34"/>
      <c r="X47" s="34" t="s">
        <v>189</v>
      </c>
      <c r="Y47" s="34" t="s">
        <v>52</v>
      </c>
      <c r="Z47" s="34">
        <v>10013</v>
      </c>
      <c r="AA47" s="34" t="s">
        <v>539</v>
      </c>
      <c r="AB47" s="34" t="s">
        <v>187</v>
      </c>
      <c r="AC47" s="34"/>
      <c r="AD47" s="34">
        <v>15</v>
      </c>
      <c r="AE47" s="34" t="s">
        <v>169</v>
      </c>
      <c r="AF47" s="34"/>
      <c r="AG47" s="34"/>
      <c r="AH47" s="34"/>
      <c r="AI47" s="34">
        <v>44189</v>
      </c>
      <c r="AJ47" s="34">
        <v>192.3</v>
      </c>
      <c r="AK47" s="34">
        <v>4999.8</v>
      </c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 t="s">
        <v>28</v>
      </c>
      <c r="BH47" s="34"/>
      <c r="BI47" s="34" t="s">
        <v>168</v>
      </c>
      <c r="BJ47" s="34"/>
      <c r="BK47" s="34" t="s">
        <v>50</v>
      </c>
      <c r="BL47" s="34" t="s">
        <v>167</v>
      </c>
      <c r="BM47" s="34" t="s">
        <v>166</v>
      </c>
      <c r="BN47" s="34">
        <v>44230.156114131947</v>
      </c>
      <c r="BO47" s="34"/>
      <c r="BP47" s="34"/>
      <c r="BQ47" s="34"/>
      <c r="BR47" s="34" t="s">
        <v>165</v>
      </c>
      <c r="BS47" s="34">
        <v>4.01302021213907E+18</v>
      </c>
      <c r="BT47" s="34" t="s">
        <v>164</v>
      </c>
      <c r="BU47" s="34"/>
      <c r="BV47" s="34">
        <v>2020</v>
      </c>
      <c r="BW47" s="34" t="s">
        <v>163</v>
      </c>
      <c r="BX47" s="34"/>
      <c r="BY47" s="34">
        <v>4.0203202121404099E+18</v>
      </c>
      <c r="BZ47" s="34" t="s">
        <v>1866</v>
      </c>
      <c r="CA47" s="34" t="s">
        <v>161</v>
      </c>
    </row>
    <row r="48" spans="1:79" x14ac:dyDescent="0.25">
      <c r="A48" s="34" t="s">
        <v>192</v>
      </c>
      <c r="B48" s="34" t="s">
        <v>157</v>
      </c>
      <c r="C48" s="34">
        <v>2020</v>
      </c>
      <c r="D48" s="34" t="s">
        <v>300</v>
      </c>
      <c r="E48" s="34">
        <v>2.0201202933742E+17</v>
      </c>
      <c r="F48" s="34" t="s">
        <v>182</v>
      </c>
      <c r="G48" s="34" t="s">
        <v>1869</v>
      </c>
      <c r="H48" s="34">
        <v>1476245</v>
      </c>
      <c r="I48" s="34"/>
      <c r="J48" s="34" t="s">
        <v>180</v>
      </c>
      <c r="K48" s="34" t="s">
        <v>179</v>
      </c>
      <c r="L48" s="34"/>
      <c r="M48" s="34"/>
      <c r="N48" s="34" t="s">
        <v>1788</v>
      </c>
      <c r="O48" s="34" t="s">
        <v>66</v>
      </c>
      <c r="P48" s="34" t="s">
        <v>177</v>
      </c>
      <c r="Q48" s="34" t="s">
        <v>34</v>
      </c>
      <c r="R48" s="34" t="s">
        <v>1789</v>
      </c>
      <c r="S48" s="34"/>
      <c r="T48" s="34" t="s">
        <v>1790</v>
      </c>
      <c r="U48" s="34"/>
      <c r="V48" s="34" t="s">
        <v>1779</v>
      </c>
      <c r="W48" s="34"/>
      <c r="X48" s="34" t="s">
        <v>189</v>
      </c>
      <c r="Y48" s="34" t="s">
        <v>52</v>
      </c>
      <c r="Z48" s="34">
        <v>10013</v>
      </c>
      <c r="AA48" s="34" t="s">
        <v>539</v>
      </c>
      <c r="AB48" s="34" t="s">
        <v>187</v>
      </c>
      <c r="AC48" s="34"/>
      <c r="AD48" s="34">
        <v>15</v>
      </c>
      <c r="AE48" s="34" t="s">
        <v>169</v>
      </c>
      <c r="AF48" s="34"/>
      <c r="AG48" s="34"/>
      <c r="AH48" s="34"/>
      <c r="AI48" s="34">
        <v>44120</v>
      </c>
      <c r="AJ48" s="34">
        <v>192.3</v>
      </c>
      <c r="AK48" s="34">
        <v>4038.3</v>
      </c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 t="s">
        <v>28</v>
      </c>
      <c r="BH48" s="34"/>
      <c r="BI48" s="34" t="s">
        <v>168</v>
      </c>
      <c r="BJ48" s="34"/>
      <c r="BK48" s="34" t="s">
        <v>50</v>
      </c>
      <c r="BL48" s="34" t="s">
        <v>167</v>
      </c>
      <c r="BM48" s="34" t="s">
        <v>166</v>
      </c>
      <c r="BN48" s="34">
        <v>44185.152156099539</v>
      </c>
      <c r="BO48" s="34"/>
      <c r="BP48" s="34"/>
      <c r="BQ48" s="34"/>
      <c r="BR48" s="34" t="s">
        <v>165</v>
      </c>
      <c r="BS48" s="34">
        <v>4.1203202019631401E+18</v>
      </c>
      <c r="BT48" s="34" t="s">
        <v>164</v>
      </c>
      <c r="BU48" s="34"/>
      <c r="BV48" s="34">
        <v>2020</v>
      </c>
      <c r="BW48" s="34" t="s">
        <v>163</v>
      </c>
      <c r="BX48" s="34"/>
      <c r="BY48" s="34">
        <v>4.1220202019807401E+18</v>
      </c>
      <c r="BZ48" s="34" t="s">
        <v>1870</v>
      </c>
      <c r="CA48" s="34" t="s">
        <v>161</v>
      </c>
    </row>
    <row r="49" spans="1:79" x14ac:dyDescent="0.25">
      <c r="A49" s="34" t="s">
        <v>192</v>
      </c>
      <c r="B49" s="34" t="s">
        <v>157</v>
      </c>
      <c r="C49" s="34">
        <v>2020</v>
      </c>
      <c r="D49" s="34" t="s">
        <v>300</v>
      </c>
      <c r="E49" s="34">
        <v>2.0201202933742E+17</v>
      </c>
      <c r="F49" s="34" t="s">
        <v>182</v>
      </c>
      <c r="G49" s="34" t="s">
        <v>1871</v>
      </c>
      <c r="H49" s="34">
        <v>1476245</v>
      </c>
      <c r="I49" s="34"/>
      <c r="J49" s="34" t="s">
        <v>180</v>
      </c>
      <c r="K49" s="34" t="s">
        <v>179</v>
      </c>
      <c r="L49" s="34"/>
      <c r="M49" s="34"/>
      <c r="N49" s="34" t="s">
        <v>1788</v>
      </c>
      <c r="O49" s="34" t="s">
        <v>66</v>
      </c>
      <c r="P49" s="34" t="s">
        <v>177</v>
      </c>
      <c r="Q49" s="34" t="s">
        <v>34</v>
      </c>
      <c r="R49" s="34" t="s">
        <v>1789</v>
      </c>
      <c r="S49" s="34"/>
      <c r="T49" s="34" t="s">
        <v>1790</v>
      </c>
      <c r="U49" s="34"/>
      <c r="V49" s="34" t="s">
        <v>1779</v>
      </c>
      <c r="W49" s="34"/>
      <c r="X49" s="34" t="s">
        <v>189</v>
      </c>
      <c r="Y49" s="34" t="s">
        <v>52</v>
      </c>
      <c r="Z49" s="34">
        <v>10013</v>
      </c>
      <c r="AA49" s="34" t="s">
        <v>539</v>
      </c>
      <c r="AB49" s="34" t="s">
        <v>187</v>
      </c>
      <c r="AC49" s="34"/>
      <c r="AD49" s="34">
        <v>15</v>
      </c>
      <c r="AE49" s="34" t="s">
        <v>169</v>
      </c>
      <c r="AF49" s="34"/>
      <c r="AG49" s="34"/>
      <c r="AH49" s="34"/>
      <c r="AI49" s="34">
        <v>44134</v>
      </c>
      <c r="AJ49" s="34">
        <v>192.3</v>
      </c>
      <c r="AK49" s="34">
        <v>4230.6000000000004</v>
      </c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 t="s">
        <v>28</v>
      </c>
      <c r="BH49" s="34"/>
      <c r="BI49" s="34" t="s">
        <v>168</v>
      </c>
      <c r="BJ49" s="34"/>
      <c r="BK49" s="34" t="s">
        <v>50</v>
      </c>
      <c r="BL49" s="34" t="s">
        <v>167</v>
      </c>
      <c r="BM49" s="34" t="s">
        <v>166</v>
      </c>
      <c r="BN49" s="34">
        <v>44185.152156099539</v>
      </c>
      <c r="BO49" s="34"/>
      <c r="BP49" s="34"/>
      <c r="BQ49" s="34"/>
      <c r="BR49" s="34" t="s">
        <v>165</v>
      </c>
      <c r="BS49" s="34">
        <v>4.1203202019631401E+18</v>
      </c>
      <c r="BT49" s="34" t="s">
        <v>164</v>
      </c>
      <c r="BU49" s="34"/>
      <c r="BV49" s="34">
        <v>2020</v>
      </c>
      <c r="BW49" s="34" t="s">
        <v>163</v>
      </c>
      <c r="BX49" s="34"/>
      <c r="BY49" s="34">
        <v>4.1220202019807401E+18</v>
      </c>
      <c r="BZ49" s="34" t="s">
        <v>1870</v>
      </c>
      <c r="CA49" s="34" t="s">
        <v>161</v>
      </c>
    </row>
    <row r="50" spans="1:79" x14ac:dyDescent="0.25">
      <c r="A50" s="34" t="s">
        <v>192</v>
      </c>
      <c r="B50" s="34" t="s">
        <v>157</v>
      </c>
      <c r="C50" s="34">
        <v>2020</v>
      </c>
      <c r="D50" s="34" t="s">
        <v>300</v>
      </c>
      <c r="E50" s="34">
        <v>2.0201202933742E+17</v>
      </c>
      <c r="F50" s="34" t="s">
        <v>182</v>
      </c>
      <c r="G50" s="34" t="s">
        <v>1872</v>
      </c>
      <c r="H50" s="34">
        <v>1476245</v>
      </c>
      <c r="I50" s="34"/>
      <c r="J50" s="34" t="s">
        <v>180</v>
      </c>
      <c r="K50" s="34" t="s">
        <v>179</v>
      </c>
      <c r="L50" s="34"/>
      <c r="M50" s="34"/>
      <c r="N50" s="34" t="s">
        <v>1788</v>
      </c>
      <c r="O50" s="34" t="s">
        <v>66</v>
      </c>
      <c r="P50" s="34" t="s">
        <v>177</v>
      </c>
      <c r="Q50" s="34" t="s">
        <v>34</v>
      </c>
      <c r="R50" s="34" t="s">
        <v>1789</v>
      </c>
      <c r="S50" s="34"/>
      <c r="T50" s="34" t="s">
        <v>1790</v>
      </c>
      <c r="U50" s="34"/>
      <c r="V50" s="34" t="s">
        <v>1779</v>
      </c>
      <c r="W50" s="34"/>
      <c r="X50" s="34" t="s">
        <v>189</v>
      </c>
      <c r="Y50" s="34" t="s">
        <v>52</v>
      </c>
      <c r="Z50" s="34">
        <v>10013</v>
      </c>
      <c r="AA50" s="34" t="s">
        <v>539</v>
      </c>
      <c r="AB50" s="34" t="s">
        <v>187</v>
      </c>
      <c r="AC50" s="34"/>
      <c r="AD50" s="34">
        <v>15</v>
      </c>
      <c r="AE50" s="34" t="s">
        <v>169</v>
      </c>
      <c r="AF50" s="34"/>
      <c r="AG50" s="34"/>
      <c r="AH50" s="34"/>
      <c r="AI50" s="34">
        <v>44148</v>
      </c>
      <c r="AJ50" s="34">
        <v>192.3</v>
      </c>
      <c r="AK50" s="34">
        <v>4422.8999999999996</v>
      </c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 t="s">
        <v>28</v>
      </c>
      <c r="BH50" s="34"/>
      <c r="BI50" s="34" t="s">
        <v>168</v>
      </c>
      <c r="BJ50" s="34"/>
      <c r="BK50" s="34" t="s">
        <v>50</v>
      </c>
      <c r="BL50" s="34" t="s">
        <v>167</v>
      </c>
      <c r="BM50" s="34" t="s">
        <v>166</v>
      </c>
      <c r="BN50" s="34">
        <v>44185.152156099539</v>
      </c>
      <c r="BO50" s="34"/>
      <c r="BP50" s="34"/>
      <c r="BQ50" s="34"/>
      <c r="BR50" s="34" t="s">
        <v>165</v>
      </c>
      <c r="BS50" s="34">
        <v>4.1203202019631401E+18</v>
      </c>
      <c r="BT50" s="34" t="s">
        <v>164</v>
      </c>
      <c r="BU50" s="34"/>
      <c r="BV50" s="34">
        <v>2020</v>
      </c>
      <c r="BW50" s="34" t="s">
        <v>163</v>
      </c>
      <c r="BX50" s="34"/>
      <c r="BY50" s="34">
        <v>4.1220202019807401E+18</v>
      </c>
      <c r="BZ50" s="34" t="s">
        <v>1873</v>
      </c>
      <c r="CA50" s="34" t="s">
        <v>161</v>
      </c>
    </row>
    <row r="51" spans="1:79" x14ac:dyDescent="0.25">
      <c r="A51" s="34" t="s">
        <v>192</v>
      </c>
      <c r="B51" s="34" t="s">
        <v>157</v>
      </c>
      <c r="C51" s="34">
        <v>2020</v>
      </c>
      <c r="D51" s="34" t="s">
        <v>487</v>
      </c>
      <c r="E51" s="34">
        <v>2.0201022933302899E+17</v>
      </c>
      <c r="F51" s="34" t="s">
        <v>182</v>
      </c>
      <c r="G51" s="34" t="s">
        <v>1874</v>
      </c>
      <c r="H51" s="34">
        <v>1462787</v>
      </c>
      <c r="I51" s="34"/>
      <c r="J51" s="34" t="s">
        <v>180</v>
      </c>
      <c r="K51" s="34" t="s">
        <v>179</v>
      </c>
      <c r="L51" s="34"/>
      <c r="M51" s="34"/>
      <c r="N51" s="34" t="s">
        <v>1788</v>
      </c>
      <c r="O51" s="34" t="s">
        <v>66</v>
      </c>
      <c r="P51" s="34" t="s">
        <v>177</v>
      </c>
      <c r="Q51" s="34" t="s">
        <v>34</v>
      </c>
      <c r="R51" s="34" t="s">
        <v>1789</v>
      </c>
      <c r="S51" s="34"/>
      <c r="T51" s="34" t="s">
        <v>1790</v>
      </c>
      <c r="U51" s="34"/>
      <c r="V51" s="34" t="s">
        <v>1779</v>
      </c>
      <c r="W51" s="34"/>
      <c r="X51" s="34" t="s">
        <v>189</v>
      </c>
      <c r="Y51" s="34" t="s">
        <v>52</v>
      </c>
      <c r="Z51" s="34">
        <v>10013</v>
      </c>
      <c r="AA51" s="34" t="s">
        <v>539</v>
      </c>
      <c r="AB51" s="34" t="s">
        <v>187</v>
      </c>
      <c r="AC51" s="34"/>
      <c r="AD51" s="34">
        <v>15</v>
      </c>
      <c r="AE51" s="34" t="s">
        <v>169</v>
      </c>
      <c r="AF51" s="34"/>
      <c r="AG51" s="34"/>
      <c r="AH51" s="34"/>
      <c r="AI51" s="34">
        <v>44106</v>
      </c>
      <c r="AJ51" s="34">
        <v>192.3</v>
      </c>
      <c r="AK51" s="34">
        <v>3846</v>
      </c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 t="s">
        <v>28</v>
      </c>
      <c r="BH51" s="34"/>
      <c r="BI51" s="34" t="s">
        <v>168</v>
      </c>
      <c r="BJ51" s="34"/>
      <c r="BK51" s="34" t="s">
        <v>50</v>
      </c>
      <c r="BL51" s="34" t="s">
        <v>167</v>
      </c>
      <c r="BM51" s="34" t="s">
        <v>166</v>
      </c>
      <c r="BN51" s="34">
        <v>44169.186674074073</v>
      </c>
      <c r="BO51" s="34"/>
      <c r="BP51" s="34"/>
      <c r="BQ51" s="34"/>
      <c r="BR51" s="34" t="s">
        <v>165</v>
      </c>
      <c r="BS51" s="34">
        <v>4.1023202018827602E+18</v>
      </c>
      <c r="BT51" s="34" t="s">
        <v>164</v>
      </c>
      <c r="BU51" s="34"/>
      <c r="BV51" s="34">
        <v>2020</v>
      </c>
      <c r="BW51" s="34" t="s">
        <v>163</v>
      </c>
      <c r="BX51" s="34"/>
      <c r="BY51" s="34">
        <v>4.1204202019641702E+18</v>
      </c>
      <c r="BZ51" s="34" t="s">
        <v>1875</v>
      </c>
      <c r="CA51" s="34" t="s">
        <v>161</v>
      </c>
    </row>
    <row r="53" spans="1:79" x14ac:dyDescent="0.25">
      <c r="V53" t="str">
        <f>+V51&amp;X51&amp;Y51&amp;Z51</f>
        <v>388 GREENWICH STREETNEW YORKNY10013</v>
      </c>
    </row>
    <row r="54" spans="1:79" x14ac:dyDescent="0.25">
      <c r="A54" s="35" t="s">
        <v>160</v>
      </c>
      <c r="B54" t="s">
        <v>159</v>
      </c>
    </row>
    <row r="55" spans="1:79" x14ac:dyDescent="0.25">
      <c r="A55" s="36" t="s">
        <v>157</v>
      </c>
      <c r="B55" s="2">
        <v>9615</v>
      </c>
    </row>
    <row r="56" spans="1:79" x14ac:dyDescent="0.25">
      <c r="A56" s="36" t="s">
        <v>154</v>
      </c>
      <c r="B56" s="2">
        <v>9615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"/>
  <sheetViews>
    <sheetView topLeftCell="K1" workbookViewId="0">
      <selection activeCell="V6" sqref="V6"/>
    </sheetView>
  </sheetViews>
  <sheetFormatPr defaultRowHeight="12.75" x14ac:dyDescent="0.2"/>
  <cols>
    <col min="1" max="1" width="77.42578125" style="25" bestFit="1" customWidth="1"/>
    <col min="2" max="2" width="30.42578125" style="25" bestFit="1" customWidth="1"/>
    <col min="3" max="16384" width="9.140625" style="25"/>
  </cols>
  <sheetData>
    <row r="1" spans="1:79" x14ac:dyDescent="0.2">
      <c r="A1" s="25" t="s">
        <v>275</v>
      </c>
      <c r="B1" s="25" t="s">
        <v>268</v>
      </c>
      <c r="C1" s="25" t="s">
        <v>274</v>
      </c>
      <c r="D1" s="25" t="s">
        <v>273</v>
      </c>
      <c r="E1" s="25" t="s">
        <v>272</v>
      </c>
      <c r="F1" s="25" t="s">
        <v>271</v>
      </c>
      <c r="G1" s="25" t="s">
        <v>270</v>
      </c>
      <c r="H1" s="25" t="s">
        <v>269</v>
      </c>
      <c r="I1" s="25" t="s">
        <v>268</v>
      </c>
      <c r="J1" s="25" t="s">
        <v>267</v>
      </c>
      <c r="K1" s="25" t="s">
        <v>266</v>
      </c>
      <c r="L1" s="25" t="s">
        <v>265</v>
      </c>
      <c r="M1" s="25" t="s">
        <v>264</v>
      </c>
      <c r="N1" s="25" t="s">
        <v>263</v>
      </c>
      <c r="O1" s="25" t="s">
        <v>262</v>
      </c>
      <c r="P1" s="25" t="s">
        <v>261</v>
      </c>
      <c r="Q1" s="25" t="s">
        <v>260</v>
      </c>
      <c r="R1" s="25" t="s">
        <v>259</v>
      </c>
      <c r="S1" s="25" t="s">
        <v>258</v>
      </c>
      <c r="T1" s="25" t="s">
        <v>257</v>
      </c>
      <c r="U1" s="25" t="s">
        <v>256</v>
      </c>
      <c r="V1" s="25" t="s">
        <v>255</v>
      </c>
      <c r="W1" s="25" t="s">
        <v>254</v>
      </c>
      <c r="X1" s="25" t="s">
        <v>253</v>
      </c>
      <c r="Y1" s="25" t="s">
        <v>252</v>
      </c>
      <c r="Z1" s="25" t="s">
        <v>251</v>
      </c>
      <c r="AA1" s="25" t="s">
        <v>250</v>
      </c>
      <c r="AB1" s="25" t="s">
        <v>249</v>
      </c>
      <c r="AC1" s="25" t="s">
        <v>248</v>
      </c>
      <c r="AD1" s="25" t="s">
        <v>247</v>
      </c>
      <c r="AE1" s="25" t="s">
        <v>246</v>
      </c>
      <c r="AF1" s="25" t="s">
        <v>245</v>
      </c>
      <c r="AG1" s="25" t="s">
        <v>244</v>
      </c>
      <c r="AH1" s="25" t="s">
        <v>243</v>
      </c>
      <c r="AI1" s="25" t="s">
        <v>242</v>
      </c>
      <c r="AJ1" s="25" t="s">
        <v>241</v>
      </c>
      <c r="AK1" s="25" t="s">
        <v>240</v>
      </c>
      <c r="AL1" s="25" t="s">
        <v>239</v>
      </c>
      <c r="AM1" s="25" t="s">
        <v>238</v>
      </c>
      <c r="AN1" s="25" t="s">
        <v>237</v>
      </c>
      <c r="AO1" s="25" t="s">
        <v>236</v>
      </c>
      <c r="AP1" s="25" t="s">
        <v>235</v>
      </c>
      <c r="AQ1" s="25" t="s">
        <v>234</v>
      </c>
      <c r="AR1" s="25" t="s">
        <v>233</v>
      </c>
      <c r="AS1" s="25" t="s">
        <v>232</v>
      </c>
      <c r="AT1" s="25" t="s">
        <v>231</v>
      </c>
      <c r="AU1" s="25" t="s">
        <v>230</v>
      </c>
      <c r="AV1" s="25" t="s">
        <v>229</v>
      </c>
      <c r="AW1" s="25" t="s">
        <v>228</v>
      </c>
      <c r="AX1" s="25" t="s">
        <v>227</v>
      </c>
      <c r="AY1" s="25" t="s">
        <v>226</v>
      </c>
      <c r="AZ1" s="25" t="s">
        <v>225</v>
      </c>
      <c r="BA1" s="25" t="s">
        <v>224</v>
      </c>
      <c r="BB1" s="25" t="s">
        <v>223</v>
      </c>
      <c r="BC1" s="25" t="s">
        <v>222</v>
      </c>
      <c r="BD1" s="25" t="s">
        <v>221</v>
      </c>
      <c r="BE1" s="25" t="s">
        <v>220</v>
      </c>
      <c r="BF1" s="25" t="s">
        <v>219</v>
      </c>
      <c r="BG1" s="25" t="s">
        <v>218</v>
      </c>
      <c r="BH1" s="25" t="s">
        <v>217</v>
      </c>
      <c r="BI1" s="25" t="s">
        <v>216</v>
      </c>
      <c r="BJ1" s="25" t="s">
        <v>215</v>
      </c>
      <c r="BK1" s="25" t="s">
        <v>214</v>
      </c>
      <c r="BL1" s="25" t="s">
        <v>213</v>
      </c>
      <c r="BM1" s="25" t="s">
        <v>212</v>
      </c>
      <c r="BN1" s="25" t="s">
        <v>211</v>
      </c>
      <c r="BO1" s="25" t="s">
        <v>210</v>
      </c>
      <c r="BP1" s="25" t="s">
        <v>209</v>
      </c>
      <c r="BQ1" s="25" t="s">
        <v>208</v>
      </c>
      <c r="BR1" s="25" t="s">
        <v>207</v>
      </c>
      <c r="BS1" s="25" t="s">
        <v>206</v>
      </c>
      <c r="BT1" s="25" t="s">
        <v>205</v>
      </c>
      <c r="BU1" s="25" t="s">
        <v>204</v>
      </c>
      <c r="BV1" s="25" t="s">
        <v>203</v>
      </c>
      <c r="BW1" s="25" t="s">
        <v>202</v>
      </c>
      <c r="BX1" s="25" t="s">
        <v>201</v>
      </c>
      <c r="BY1" s="25" t="s">
        <v>200</v>
      </c>
      <c r="BZ1" s="25" t="s">
        <v>199</v>
      </c>
      <c r="CA1" s="25" t="s">
        <v>198</v>
      </c>
    </row>
    <row r="2" spans="1:79" x14ac:dyDescent="0.2">
      <c r="A2" s="25" t="s">
        <v>192</v>
      </c>
      <c r="B2" s="25" t="s">
        <v>157</v>
      </c>
      <c r="C2" s="25">
        <v>2019</v>
      </c>
      <c r="D2" s="25" t="s">
        <v>644</v>
      </c>
      <c r="E2" s="25">
        <v>2.0191121916606899E+17</v>
      </c>
      <c r="F2" s="25" t="s">
        <v>182</v>
      </c>
      <c r="G2" s="25" t="s">
        <v>1785</v>
      </c>
      <c r="H2" s="25">
        <v>1364454</v>
      </c>
      <c r="J2" s="25" t="s">
        <v>180</v>
      </c>
      <c r="K2" s="25" t="s">
        <v>179</v>
      </c>
      <c r="N2" s="25" t="s">
        <v>1782</v>
      </c>
      <c r="O2" s="25" t="s">
        <v>66</v>
      </c>
      <c r="P2" s="25" t="s">
        <v>177</v>
      </c>
      <c r="Q2" s="25" t="s">
        <v>34</v>
      </c>
      <c r="R2" s="25" t="s">
        <v>1781</v>
      </c>
      <c r="S2" s="25" t="s">
        <v>447</v>
      </c>
      <c r="T2" s="25" t="s">
        <v>1780</v>
      </c>
      <c r="V2" s="25" t="s">
        <v>1779</v>
      </c>
      <c r="X2" s="25" t="s">
        <v>189</v>
      </c>
      <c r="Y2" s="25" t="s">
        <v>52</v>
      </c>
      <c r="Z2" s="25">
        <v>10013</v>
      </c>
      <c r="AA2" s="25" t="s">
        <v>539</v>
      </c>
      <c r="AB2" s="25" t="s">
        <v>187</v>
      </c>
      <c r="AD2" s="25">
        <v>15</v>
      </c>
      <c r="AE2" s="25" t="s">
        <v>169</v>
      </c>
      <c r="AI2" s="31">
        <v>43566</v>
      </c>
      <c r="AJ2" s="25">
        <v>5000</v>
      </c>
      <c r="AK2" s="25">
        <v>5000</v>
      </c>
      <c r="BG2" s="25" t="s">
        <v>28</v>
      </c>
      <c r="BI2" s="25" t="s">
        <v>168</v>
      </c>
      <c r="BK2" s="25" t="s">
        <v>0</v>
      </c>
      <c r="BL2" s="25" t="s">
        <v>186</v>
      </c>
      <c r="BM2" s="25" t="s">
        <v>166</v>
      </c>
      <c r="BN2" s="30">
        <v>43793.085894861113</v>
      </c>
      <c r="BR2" s="25" t="s">
        <v>165</v>
      </c>
      <c r="BS2" s="25">
        <v>4.11232019168002E+18</v>
      </c>
      <c r="BT2" s="25" t="s">
        <v>164</v>
      </c>
      <c r="BV2" s="25">
        <v>2020</v>
      </c>
      <c r="BW2" s="25" t="s">
        <v>163</v>
      </c>
      <c r="BY2" s="25">
        <v>4.1123201916803702E+18</v>
      </c>
      <c r="BZ2" s="25" t="s">
        <v>1784</v>
      </c>
      <c r="CA2" s="25" t="s">
        <v>161</v>
      </c>
    </row>
    <row r="3" spans="1:79" x14ac:dyDescent="0.2">
      <c r="A3" s="25" t="s">
        <v>192</v>
      </c>
      <c r="B3" s="25" t="s">
        <v>157</v>
      </c>
      <c r="C3" s="25">
        <v>2020</v>
      </c>
      <c r="D3" s="25" t="s">
        <v>422</v>
      </c>
      <c r="E3" s="25">
        <v>2.02101299418056E+17</v>
      </c>
      <c r="F3" s="25" t="s">
        <v>182</v>
      </c>
      <c r="G3" s="25" t="s">
        <v>1783</v>
      </c>
      <c r="H3" s="25">
        <v>1494727</v>
      </c>
      <c r="J3" s="25" t="s">
        <v>180</v>
      </c>
      <c r="K3" s="25" t="s">
        <v>179</v>
      </c>
      <c r="N3" s="25" t="s">
        <v>1782</v>
      </c>
      <c r="O3" s="25" t="s">
        <v>66</v>
      </c>
      <c r="P3" s="25" t="s">
        <v>177</v>
      </c>
      <c r="Q3" s="25" t="s">
        <v>34</v>
      </c>
      <c r="R3" s="25" t="s">
        <v>1781</v>
      </c>
      <c r="S3" s="25" t="s">
        <v>447</v>
      </c>
      <c r="T3" s="25" t="s">
        <v>1780</v>
      </c>
      <c r="V3" s="25" t="s">
        <v>1779</v>
      </c>
      <c r="X3" s="25" t="s">
        <v>189</v>
      </c>
      <c r="Y3" s="25" t="s">
        <v>52</v>
      </c>
      <c r="Z3" s="25">
        <v>10013</v>
      </c>
      <c r="AA3" s="25" t="s">
        <v>539</v>
      </c>
      <c r="AB3" s="25" t="s">
        <v>187</v>
      </c>
      <c r="AD3" s="25">
        <v>15</v>
      </c>
      <c r="AE3" s="25" t="s">
        <v>169</v>
      </c>
      <c r="AI3" s="31">
        <v>44160</v>
      </c>
      <c r="AJ3" s="25">
        <v>5000</v>
      </c>
      <c r="AK3" s="25">
        <v>5000</v>
      </c>
      <c r="BG3" s="25" t="s">
        <v>28</v>
      </c>
      <c r="BI3" s="25" t="s">
        <v>168</v>
      </c>
      <c r="BK3" s="25" t="s">
        <v>50</v>
      </c>
      <c r="BL3" s="25" t="s">
        <v>167</v>
      </c>
      <c r="BM3" s="25" t="s">
        <v>166</v>
      </c>
      <c r="BN3" s="30">
        <v>44230.156113368059</v>
      </c>
      <c r="BR3" s="25" t="s">
        <v>165</v>
      </c>
      <c r="BS3" s="25">
        <v>4.01302021213907E+18</v>
      </c>
      <c r="BT3" s="25" t="s">
        <v>164</v>
      </c>
      <c r="BV3" s="25">
        <v>2020</v>
      </c>
      <c r="BW3" s="25" t="s">
        <v>163</v>
      </c>
      <c r="BY3" s="25">
        <v>4.0203202121404099E+18</v>
      </c>
      <c r="BZ3" s="25" t="s">
        <v>1778</v>
      </c>
      <c r="CA3" s="25" t="s">
        <v>161</v>
      </c>
    </row>
    <row r="6" spans="1:79" x14ac:dyDescent="0.2">
      <c r="A6" s="29" t="s">
        <v>160</v>
      </c>
      <c r="B6" s="25" t="s">
        <v>159</v>
      </c>
      <c r="D6" s="25" t="s">
        <v>158</v>
      </c>
      <c r="E6" s="25" t="s">
        <v>1</v>
      </c>
      <c r="V6" s="25" t="str">
        <f>+V3&amp;X3&amp;Y3&amp;Z3</f>
        <v>388 GREENWICH STREETNEW YORKNY10013</v>
      </c>
    </row>
    <row r="7" spans="1:79" x14ac:dyDescent="0.2">
      <c r="A7" s="27" t="s">
        <v>157</v>
      </c>
      <c r="B7" s="26">
        <v>10000</v>
      </c>
      <c r="C7" s="25" t="s">
        <v>0</v>
      </c>
      <c r="D7" s="28">
        <v>0.43809999999999999</v>
      </c>
      <c r="E7" s="28">
        <v>0.56189999999999996</v>
      </c>
    </row>
    <row r="8" spans="1:79" x14ac:dyDescent="0.2">
      <c r="A8" s="27" t="s">
        <v>154</v>
      </c>
      <c r="B8" s="26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8"/>
  <sheetViews>
    <sheetView topLeftCell="P1" workbookViewId="0">
      <selection activeCell="V13" sqref="V13"/>
    </sheetView>
  </sheetViews>
  <sheetFormatPr defaultRowHeight="15" x14ac:dyDescent="0.25"/>
  <cols>
    <col min="1" max="1" width="20.7109375" bestFit="1" customWidth="1"/>
    <col min="2" max="2" width="34.5703125" bestFit="1" customWidth="1"/>
  </cols>
  <sheetData>
    <row r="1" spans="1:79" x14ac:dyDescent="0.25">
      <c r="A1" t="s">
        <v>275</v>
      </c>
      <c r="B1" t="s">
        <v>268</v>
      </c>
      <c r="C1" t="s">
        <v>274</v>
      </c>
      <c r="D1" t="s">
        <v>273</v>
      </c>
      <c r="E1" t="s">
        <v>272</v>
      </c>
      <c r="F1" t="s">
        <v>271</v>
      </c>
      <c r="G1" t="s">
        <v>270</v>
      </c>
      <c r="H1" t="s">
        <v>269</v>
      </c>
      <c r="I1" t="s">
        <v>268</v>
      </c>
      <c r="J1" t="s">
        <v>267</v>
      </c>
      <c r="K1" t="s">
        <v>266</v>
      </c>
      <c r="L1" t="s">
        <v>265</v>
      </c>
      <c r="M1" t="s">
        <v>264</v>
      </c>
      <c r="N1" t="s">
        <v>263</v>
      </c>
      <c r="O1" t="s">
        <v>262</v>
      </c>
      <c r="P1" t="s">
        <v>261</v>
      </c>
      <c r="Q1" t="s">
        <v>260</v>
      </c>
      <c r="R1" t="s">
        <v>259</v>
      </c>
      <c r="S1" t="s">
        <v>258</v>
      </c>
      <c r="T1" t="s">
        <v>257</v>
      </c>
      <c r="U1" t="s">
        <v>256</v>
      </c>
      <c r="V1" t="s">
        <v>255</v>
      </c>
      <c r="W1" t="s">
        <v>254</v>
      </c>
      <c r="X1" t="s">
        <v>253</v>
      </c>
      <c r="Y1" t="s">
        <v>252</v>
      </c>
      <c r="Z1" t="s">
        <v>251</v>
      </c>
      <c r="AA1" t="s">
        <v>250</v>
      </c>
      <c r="AB1" t="s">
        <v>249</v>
      </c>
      <c r="AC1" t="s">
        <v>248</v>
      </c>
      <c r="AD1" t="s">
        <v>247</v>
      </c>
      <c r="AE1" t="s">
        <v>246</v>
      </c>
      <c r="AF1" t="s">
        <v>245</v>
      </c>
      <c r="AG1" t="s">
        <v>244</v>
      </c>
      <c r="AH1" t="s">
        <v>243</v>
      </c>
      <c r="AI1" t="s">
        <v>242</v>
      </c>
      <c r="AJ1" t="s">
        <v>241</v>
      </c>
      <c r="AK1" t="s">
        <v>240</v>
      </c>
      <c r="AL1" t="s">
        <v>239</v>
      </c>
      <c r="AM1" t="s">
        <v>238</v>
      </c>
      <c r="AN1" t="s">
        <v>237</v>
      </c>
      <c r="AO1" t="s">
        <v>236</v>
      </c>
      <c r="AP1" t="s">
        <v>235</v>
      </c>
      <c r="AQ1" t="s">
        <v>234</v>
      </c>
      <c r="AR1" t="s">
        <v>233</v>
      </c>
      <c r="AS1" t="s">
        <v>232</v>
      </c>
      <c r="AT1" t="s">
        <v>231</v>
      </c>
      <c r="AU1" t="s">
        <v>230</v>
      </c>
      <c r="AV1" t="s">
        <v>229</v>
      </c>
      <c r="AW1" t="s">
        <v>228</v>
      </c>
      <c r="AX1" t="s">
        <v>227</v>
      </c>
      <c r="AY1" t="s">
        <v>226</v>
      </c>
      <c r="AZ1" t="s">
        <v>225</v>
      </c>
      <c r="BA1" t="s">
        <v>224</v>
      </c>
      <c r="BB1" t="s">
        <v>223</v>
      </c>
      <c r="BC1" t="s">
        <v>222</v>
      </c>
      <c r="BD1" t="s">
        <v>221</v>
      </c>
      <c r="BE1" t="s">
        <v>220</v>
      </c>
      <c r="BF1" t="s">
        <v>219</v>
      </c>
      <c r="BG1" t="s">
        <v>218</v>
      </c>
      <c r="BH1" t="s">
        <v>217</v>
      </c>
      <c r="BI1" t="s">
        <v>216</v>
      </c>
      <c r="BJ1" t="s">
        <v>215</v>
      </c>
      <c r="BK1" t="s">
        <v>214</v>
      </c>
      <c r="BL1" t="s">
        <v>213</v>
      </c>
      <c r="BM1" t="s">
        <v>212</v>
      </c>
      <c r="BN1" t="s">
        <v>211</v>
      </c>
      <c r="BO1" t="s">
        <v>210</v>
      </c>
      <c r="BP1" t="s">
        <v>209</v>
      </c>
      <c r="BQ1" t="s">
        <v>208</v>
      </c>
      <c r="BR1" t="s">
        <v>207</v>
      </c>
      <c r="BS1" t="s">
        <v>206</v>
      </c>
      <c r="BT1" t="s">
        <v>205</v>
      </c>
      <c r="BU1" t="s">
        <v>204</v>
      </c>
      <c r="BV1" t="s">
        <v>203</v>
      </c>
      <c r="BW1" t="s">
        <v>202</v>
      </c>
      <c r="BX1" t="s">
        <v>201</v>
      </c>
      <c r="BY1" t="s">
        <v>200</v>
      </c>
      <c r="BZ1" t="s">
        <v>199</v>
      </c>
      <c r="CA1" t="s">
        <v>198</v>
      </c>
    </row>
    <row r="2" spans="1:79" x14ac:dyDescent="0.25">
      <c r="A2" t="s">
        <v>1757</v>
      </c>
      <c r="B2" t="s">
        <v>1758</v>
      </c>
      <c r="C2">
        <v>2020</v>
      </c>
      <c r="D2" t="s">
        <v>487</v>
      </c>
      <c r="E2">
        <v>2.02103089440336E+17</v>
      </c>
      <c r="F2" t="s">
        <v>182</v>
      </c>
      <c r="G2">
        <v>20405806</v>
      </c>
      <c r="H2">
        <v>1503262</v>
      </c>
      <c r="J2" t="s">
        <v>180</v>
      </c>
      <c r="K2" t="s">
        <v>179</v>
      </c>
      <c r="N2" t="s">
        <v>1759</v>
      </c>
      <c r="O2" t="s">
        <v>0</v>
      </c>
      <c r="Q2" t="s">
        <v>60</v>
      </c>
      <c r="R2" t="s">
        <v>1760</v>
      </c>
      <c r="T2" t="s">
        <v>1761</v>
      </c>
      <c r="V2" t="s">
        <v>1762</v>
      </c>
      <c r="X2" t="s">
        <v>189</v>
      </c>
      <c r="Y2" t="s">
        <v>52</v>
      </c>
      <c r="Z2">
        <v>100264299</v>
      </c>
      <c r="AA2" t="s">
        <v>1763</v>
      </c>
      <c r="AB2" t="s">
        <v>1764</v>
      </c>
      <c r="AD2">
        <v>15</v>
      </c>
      <c r="AE2" t="s">
        <v>169</v>
      </c>
      <c r="AI2">
        <v>44111</v>
      </c>
      <c r="AJ2">
        <v>14.56</v>
      </c>
      <c r="AK2">
        <v>932.39</v>
      </c>
      <c r="BG2" t="s">
        <v>28</v>
      </c>
      <c r="BI2" t="s">
        <v>168</v>
      </c>
      <c r="BK2" t="s">
        <v>50</v>
      </c>
      <c r="BL2" t="s">
        <v>167</v>
      </c>
      <c r="BM2" t="s">
        <v>166</v>
      </c>
      <c r="BN2">
        <v>44329.167173715279</v>
      </c>
      <c r="BR2" t="s">
        <v>165</v>
      </c>
      <c r="BS2">
        <v>4.0309202112269302E+18</v>
      </c>
      <c r="BT2" t="s">
        <v>164</v>
      </c>
      <c r="BV2">
        <v>2020</v>
      </c>
      <c r="BW2" t="s">
        <v>163</v>
      </c>
      <c r="BY2">
        <v>4.03092021123906E+18</v>
      </c>
      <c r="BZ2" t="s">
        <v>1765</v>
      </c>
      <c r="CA2" t="s">
        <v>161</v>
      </c>
    </row>
    <row r="3" spans="1:79" x14ac:dyDescent="0.25">
      <c r="A3" t="s">
        <v>1433</v>
      </c>
      <c r="B3" t="s">
        <v>1434</v>
      </c>
      <c r="C3">
        <v>2020</v>
      </c>
      <c r="E3">
        <v>2.0201021932673299E+17</v>
      </c>
      <c r="F3">
        <v>18</v>
      </c>
      <c r="G3">
        <v>21887143</v>
      </c>
      <c r="H3">
        <v>1458940</v>
      </c>
      <c r="J3" t="s">
        <v>180</v>
      </c>
      <c r="K3" t="s">
        <v>179</v>
      </c>
      <c r="N3" t="s">
        <v>1759</v>
      </c>
      <c r="O3" t="s">
        <v>28</v>
      </c>
      <c r="Q3" t="s">
        <v>28</v>
      </c>
      <c r="R3" t="s">
        <v>1760</v>
      </c>
      <c r="T3" t="s">
        <v>1761</v>
      </c>
      <c r="V3" t="s">
        <v>1762</v>
      </c>
      <c r="W3" t="s">
        <v>1766</v>
      </c>
      <c r="X3" t="s">
        <v>189</v>
      </c>
      <c r="Y3" t="s">
        <v>52</v>
      </c>
      <c r="Z3">
        <v>100264299</v>
      </c>
      <c r="AA3" t="s">
        <v>1763</v>
      </c>
      <c r="AB3" t="s">
        <v>1764</v>
      </c>
      <c r="AD3" t="s">
        <v>830</v>
      </c>
      <c r="AE3" t="s">
        <v>829</v>
      </c>
      <c r="AG3" t="s">
        <v>533</v>
      </c>
      <c r="AI3">
        <v>44089</v>
      </c>
      <c r="AJ3">
        <v>250</v>
      </c>
      <c r="AK3">
        <v>917.83</v>
      </c>
      <c r="BG3" t="s">
        <v>501</v>
      </c>
      <c r="BI3" t="s">
        <v>500</v>
      </c>
      <c r="BJ3">
        <v>2020</v>
      </c>
      <c r="BK3" t="s">
        <v>50</v>
      </c>
      <c r="BL3" t="s">
        <v>167</v>
      </c>
      <c r="BM3" t="s">
        <v>166</v>
      </c>
      <c r="BN3">
        <v>44140.217213587966</v>
      </c>
      <c r="BP3">
        <v>20811179</v>
      </c>
      <c r="BQ3" t="s">
        <v>1767</v>
      </c>
      <c r="BR3" t="s">
        <v>445</v>
      </c>
      <c r="BS3">
        <v>4.1022202018826598E+18</v>
      </c>
      <c r="BT3" t="s">
        <v>164</v>
      </c>
      <c r="BU3" t="s">
        <v>1768</v>
      </c>
      <c r="BV3">
        <v>2020</v>
      </c>
      <c r="BW3" t="s">
        <v>163</v>
      </c>
      <c r="BY3">
        <v>4.1023202018853898E+18</v>
      </c>
      <c r="BZ3" t="s">
        <v>1769</v>
      </c>
      <c r="CA3" t="s">
        <v>531</v>
      </c>
    </row>
    <row r="4" spans="1:79" x14ac:dyDescent="0.25">
      <c r="A4" t="s">
        <v>1433</v>
      </c>
      <c r="B4" t="s">
        <v>1434</v>
      </c>
      <c r="C4">
        <v>2020</v>
      </c>
      <c r="D4" t="s">
        <v>487</v>
      </c>
      <c r="E4">
        <v>2.0201022933617101E+17</v>
      </c>
      <c r="F4">
        <v>18</v>
      </c>
      <c r="G4">
        <v>24798128</v>
      </c>
      <c r="H4">
        <v>1463690</v>
      </c>
      <c r="J4" t="s">
        <v>180</v>
      </c>
      <c r="K4" t="s">
        <v>179</v>
      </c>
      <c r="N4" t="s">
        <v>1759</v>
      </c>
      <c r="O4" t="s">
        <v>28</v>
      </c>
      <c r="Q4" t="s">
        <v>28</v>
      </c>
      <c r="R4" t="s">
        <v>1760</v>
      </c>
      <c r="T4" t="s">
        <v>1761</v>
      </c>
      <c r="V4" t="s">
        <v>1762</v>
      </c>
      <c r="W4" t="s">
        <v>1766</v>
      </c>
      <c r="X4" t="s">
        <v>189</v>
      </c>
      <c r="Y4" t="s">
        <v>52</v>
      </c>
      <c r="Z4">
        <v>100264299</v>
      </c>
      <c r="AA4" t="s">
        <v>1763</v>
      </c>
      <c r="AB4" t="s">
        <v>1764</v>
      </c>
      <c r="AD4" t="s">
        <v>830</v>
      </c>
      <c r="AE4" t="s">
        <v>829</v>
      </c>
      <c r="AG4" t="s">
        <v>533</v>
      </c>
      <c r="AI4">
        <v>44111</v>
      </c>
      <c r="AJ4">
        <v>14.56</v>
      </c>
      <c r="AK4">
        <v>932.39</v>
      </c>
      <c r="BG4" t="s">
        <v>501</v>
      </c>
      <c r="BI4" t="s">
        <v>500</v>
      </c>
      <c r="BJ4">
        <v>2020</v>
      </c>
      <c r="BK4" t="s">
        <v>50</v>
      </c>
      <c r="BL4" t="s">
        <v>167</v>
      </c>
      <c r="BM4" t="s">
        <v>166</v>
      </c>
      <c r="BN4">
        <v>44132.199978472221</v>
      </c>
      <c r="BP4">
        <v>20811384</v>
      </c>
      <c r="BQ4" t="s">
        <v>1767</v>
      </c>
      <c r="BR4" t="s">
        <v>445</v>
      </c>
      <c r="BS4">
        <v>4.10242020188542E+18</v>
      </c>
      <c r="BT4" t="s">
        <v>164</v>
      </c>
      <c r="BU4" t="s">
        <v>1768</v>
      </c>
      <c r="BV4">
        <v>2020</v>
      </c>
      <c r="BW4" t="s">
        <v>163</v>
      </c>
      <c r="BY4">
        <v>4.1028202018886502E+18</v>
      </c>
      <c r="BZ4" t="s">
        <v>1770</v>
      </c>
      <c r="CA4" t="s">
        <v>531</v>
      </c>
    </row>
    <row r="5" spans="1:79" x14ac:dyDescent="0.25">
      <c r="A5" t="s">
        <v>1433</v>
      </c>
      <c r="B5" t="s">
        <v>1434</v>
      </c>
      <c r="C5">
        <v>2020</v>
      </c>
      <c r="E5">
        <v>2.0201021932662E+17</v>
      </c>
      <c r="F5">
        <v>18</v>
      </c>
      <c r="G5">
        <v>17056815</v>
      </c>
      <c r="H5">
        <v>1458940</v>
      </c>
      <c r="J5" t="s">
        <v>180</v>
      </c>
      <c r="K5" t="s">
        <v>179</v>
      </c>
      <c r="N5" t="s">
        <v>1759</v>
      </c>
      <c r="O5" t="s">
        <v>28</v>
      </c>
      <c r="Q5" t="s">
        <v>28</v>
      </c>
      <c r="R5" t="s">
        <v>1760</v>
      </c>
      <c r="T5" t="s">
        <v>1761</v>
      </c>
      <c r="V5" t="s">
        <v>1762</v>
      </c>
      <c r="W5" t="s">
        <v>1766</v>
      </c>
      <c r="X5" t="s">
        <v>189</v>
      </c>
      <c r="Y5" t="s">
        <v>52</v>
      </c>
      <c r="Z5">
        <v>100264299</v>
      </c>
      <c r="AA5" t="s">
        <v>1763</v>
      </c>
      <c r="AB5" t="s">
        <v>1764</v>
      </c>
      <c r="AD5" t="s">
        <v>830</v>
      </c>
      <c r="AE5" t="s">
        <v>829</v>
      </c>
      <c r="AG5" t="s">
        <v>533</v>
      </c>
      <c r="AI5">
        <v>44055</v>
      </c>
      <c r="AJ5">
        <v>124.58</v>
      </c>
      <c r="AK5">
        <v>624.58000000000004</v>
      </c>
      <c r="BG5" t="s">
        <v>446</v>
      </c>
      <c r="BI5" t="s">
        <v>168</v>
      </c>
      <c r="BJ5">
        <v>2020</v>
      </c>
      <c r="BK5" t="s">
        <v>50</v>
      </c>
      <c r="BL5" t="s">
        <v>167</v>
      </c>
      <c r="BM5" t="s">
        <v>166</v>
      </c>
      <c r="BN5">
        <v>44140.244457627312</v>
      </c>
      <c r="BP5">
        <v>13794280</v>
      </c>
      <c r="BQ5" t="s">
        <v>1767</v>
      </c>
      <c r="BR5" t="s">
        <v>445</v>
      </c>
      <c r="BS5">
        <v>4.1022202018826598E+18</v>
      </c>
      <c r="BT5" t="s">
        <v>164</v>
      </c>
      <c r="BU5" t="s">
        <v>1768</v>
      </c>
      <c r="BV5">
        <v>2020</v>
      </c>
      <c r="BW5" t="s">
        <v>163</v>
      </c>
      <c r="BY5">
        <v>4.1023202018850499E+18</v>
      </c>
      <c r="BZ5" t="s">
        <v>1771</v>
      </c>
      <c r="CA5" t="s">
        <v>531</v>
      </c>
    </row>
    <row r="6" spans="1:79" x14ac:dyDescent="0.25">
      <c r="A6" t="s">
        <v>1433</v>
      </c>
      <c r="B6" t="s">
        <v>1434</v>
      </c>
      <c r="C6">
        <v>2020</v>
      </c>
      <c r="E6">
        <v>2.0201021932664E+17</v>
      </c>
      <c r="F6">
        <v>18</v>
      </c>
      <c r="G6">
        <v>21210207</v>
      </c>
      <c r="H6">
        <v>1458940</v>
      </c>
      <c r="J6" t="s">
        <v>180</v>
      </c>
      <c r="K6" t="s">
        <v>179</v>
      </c>
      <c r="N6" t="s">
        <v>1759</v>
      </c>
      <c r="O6" t="s">
        <v>28</v>
      </c>
      <c r="Q6" t="s">
        <v>28</v>
      </c>
      <c r="R6" t="s">
        <v>1760</v>
      </c>
      <c r="T6" t="s">
        <v>1761</v>
      </c>
      <c r="V6" t="s">
        <v>1762</v>
      </c>
      <c r="W6" t="s">
        <v>1766</v>
      </c>
      <c r="X6" t="s">
        <v>189</v>
      </c>
      <c r="Y6" t="s">
        <v>52</v>
      </c>
      <c r="Z6">
        <v>100264299</v>
      </c>
      <c r="AA6" t="s">
        <v>1763</v>
      </c>
      <c r="AB6" t="s">
        <v>1764</v>
      </c>
      <c r="AD6" t="s">
        <v>830</v>
      </c>
      <c r="AE6" t="s">
        <v>829</v>
      </c>
      <c r="AG6" t="s">
        <v>533</v>
      </c>
      <c r="AI6">
        <v>44066</v>
      </c>
      <c r="AJ6">
        <v>43.25</v>
      </c>
      <c r="AK6">
        <v>667.83</v>
      </c>
      <c r="BG6" t="s">
        <v>501</v>
      </c>
      <c r="BI6" t="s">
        <v>500</v>
      </c>
      <c r="BJ6">
        <v>2020</v>
      </c>
      <c r="BK6" t="s">
        <v>50</v>
      </c>
      <c r="BL6" t="s">
        <v>167</v>
      </c>
      <c r="BM6" t="s">
        <v>166</v>
      </c>
      <c r="BN6">
        <v>44140.246943923608</v>
      </c>
      <c r="BP6">
        <v>16969473</v>
      </c>
      <c r="BQ6" t="s">
        <v>1767</v>
      </c>
      <c r="BR6" t="s">
        <v>445</v>
      </c>
      <c r="BS6">
        <v>4.1022202018826598E+18</v>
      </c>
      <c r="BT6" t="s">
        <v>164</v>
      </c>
      <c r="BU6" t="s">
        <v>1768</v>
      </c>
      <c r="BV6">
        <v>2020</v>
      </c>
      <c r="BW6" t="s">
        <v>163</v>
      </c>
      <c r="BY6">
        <v>4.1023202018851098E+18</v>
      </c>
      <c r="BZ6" t="s">
        <v>1772</v>
      </c>
      <c r="CA6" t="s">
        <v>531</v>
      </c>
    </row>
    <row r="7" spans="1:79" x14ac:dyDescent="0.25">
      <c r="A7" t="s">
        <v>1757</v>
      </c>
      <c r="B7" t="s">
        <v>1758</v>
      </c>
      <c r="C7">
        <v>2020</v>
      </c>
      <c r="D7" t="s">
        <v>341</v>
      </c>
      <c r="E7">
        <v>2.0210114940458202E+17</v>
      </c>
      <c r="F7" t="s">
        <v>182</v>
      </c>
      <c r="G7">
        <v>14967170</v>
      </c>
      <c r="H7">
        <v>1487959</v>
      </c>
      <c r="J7" t="s">
        <v>180</v>
      </c>
      <c r="K7" t="s">
        <v>179</v>
      </c>
      <c r="N7" t="s">
        <v>1759</v>
      </c>
      <c r="O7" t="s">
        <v>0</v>
      </c>
      <c r="Q7" t="s">
        <v>60</v>
      </c>
      <c r="R7" t="s">
        <v>1760</v>
      </c>
      <c r="T7" t="s">
        <v>1761</v>
      </c>
      <c r="V7" t="s">
        <v>1762</v>
      </c>
      <c r="X7" t="s">
        <v>189</v>
      </c>
      <c r="Y7" t="s">
        <v>52</v>
      </c>
      <c r="Z7">
        <v>100264299</v>
      </c>
      <c r="AA7" t="s">
        <v>1763</v>
      </c>
      <c r="AB7" t="s">
        <v>1764</v>
      </c>
      <c r="AD7">
        <v>15</v>
      </c>
      <c r="AE7" t="s">
        <v>169</v>
      </c>
      <c r="AI7">
        <v>44089</v>
      </c>
      <c r="AJ7">
        <v>250</v>
      </c>
      <c r="AK7">
        <v>917.83</v>
      </c>
      <c r="BG7" t="s">
        <v>28</v>
      </c>
      <c r="BI7" t="s">
        <v>168</v>
      </c>
      <c r="BK7" t="s">
        <v>50</v>
      </c>
      <c r="BL7" t="s">
        <v>167</v>
      </c>
      <c r="BM7" t="s">
        <v>166</v>
      </c>
      <c r="BN7">
        <v>44231.431601620374</v>
      </c>
      <c r="BR7" t="s">
        <v>165</v>
      </c>
      <c r="BS7">
        <v>4.0115202120936602E+18</v>
      </c>
      <c r="BT7" t="s">
        <v>164</v>
      </c>
      <c r="BV7">
        <v>2020</v>
      </c>
      <c r="BW7" t="s">
        <v>163</v>
      </c>
      <c r="BY7">
        <v>4.02032021201871E+18</v>
      </c>
      <c r="BZ7" t="s">
        <v>1773</v>
      </c>
      <c r="CA7" t="s">
        <v>161</v>
      </c>
    </row>
    <row r="8" spans="1:79" x14ac:dyDescent="0.25">
      <c r="A8" t="s">
        <v>1757</v>
      </c>
      <c r="B8" t="s">
        <v>1758</v>
      </c>
      <c r="C8">
        <v>2020</v>
      </c>
      <c r="D8" t="s">
        <v>341</v>
      </c>
      <c r="E8">
        <v>2.0210114940468198E+17</v>
      </c>
      <c r="F8" t="s">
        <v>182</v>
      </c>
      <c r="G8">
        <v>7449648</v>
      </c>
      <c r="H8">
        <v>1487959</v>
      </c>
      <c r="J8" t="s">
        <v>180</v>
      </c>
      <c r="K8" t="s">
        <v>179</v>
      </c>
      <c r="N8" t="s">
        <v>1759</v>
      </c>
      <c r="O8" t="s">
        <v>0</v>
      </c>
      <c r="Q8" t="s">
        <v>60</v>
      </c>
      <c r="R8" t="s">
        <v>1760</v>
      </c>
      <c r="T8" t="s">
        <v>1761</v>
      </c>
      <c r="V8" t="s">
        <v>1762</v>
      </c>
      <c r="X8" t="s">
        <v>189</v>
      </c>
      <c r="Y8" t="s">
        <v>52</v>
      </c>
      <c r="Z8">
        <v>100264299</v>
      </c>
      <c r="AA8" t="s">
        <v>1763</v>
      </c>
      <c r="AB8" t="s">
        <v>1764</v>
      </c>
      <c r="AD8">
        <v>15</v>
      </c>
      <c r="AE8" t="s">
        <v>169</v>
      </c>
      <c r="AI8">
        <v>44018</v>
      </c>
      <c r="AJ8">
        <v>500</v>
      </c>
      <c r="AK8">
        <v>500</v>
      </c>
      <c r="BG8" t="s">
        <v>28</v>
      </c>
      <c r="BI8" t="s">
        <v>168</v>
      </c>
      <c r="BK8" t="s">
        <v>50</v>
      </c>
      <c r="BL8" t="s">
        <v>167</v>
      </c>
      <c r="BM8" t="s">
        <v>166</v>
      </c>
      <c r="BN8">
        <v>44231.444977303239</v>
      </c>
      <c r="BR8" t="s">
        <v>165</v>
      </c>
      <c r="BS8">
        <v>4.0115202120936602E+18</v>
      </c>
      <c r="BT8" t="s">
        <v>164</v>
      </c>
      <c r="BV8">
        <v>2020</v>
      </c>
      <c r="BW8" t="s">
        <v>163</v>
      </c>
      <c r="BY8">
        <v>4.02032021201901E+18</v>
      </c>
      <c r="BZ8" t="s">
        <v>1774</v>
      </c>
      <c r="CA8" t="s">
        <v>161</v>
      </c>
    </row>
    <row r="9" spans="1:79" x14ac:dyDescent="0.25">
      <c r="A9" t="s">
        <v>1757</v>
      </c>
      <c r="B9" t="s">
        <v>1758</v>
      </c>
      <c r="C9">
        <v>2020</v>
      </c>
      <c r="D9" t="s">
        <v>341</v>
      </c>
      <c r="E9">
        <v>2.0210114940461402E+17</v>
      </c>
      <c r="F9" t="s">
        <v>182</v>
      </c>
      <c r="G9">
        <v>11856823</v>
      </c>
      <c r="H9">
        <v>1487959</v>
      </c>
      <c r="J9" t="s">
        <v>180</v>
      </c>
      <c r="K9" t="s">
        <v>179</v>
      </c>
      <c r="N9" t="s">
        <v>1759</v>
      </c>
      <c r="O9" t="s">
        <v>0</v>
      </c>
      <c r="Q9" t="s">
        <v>60</v>
      </c>
      <c r="R9" t="s">
        <v>1760</v>
      </c>
      <c r="T9" t="s">
        <v>1761</v>
      </c>
      <c r="V9" t="s">
        <v>1762</v>
      </c>
      <c r="X9" t="s">
        <v>189</v>
      </c>
      <c r="Y9" t="s">
        <v>52</v>
      </c>
      <c r="Z9">
        <v>100264299</v>
      </c>
      <c r="AA9" t="s">
        <v>1763</v>
      </c>
      <c r="AB9" t="s">
        <v>1764</v>
      </c>
      <c r="AD9">
        <v>15</v>
      </c>
      <c r="AE9" t="s">
        <v>169</v>
      </c>
      <c r="AI9">
        <v>44066</v>
      </c>
      <c r="AJ9">
        <v>43.25</v>
      </c>
      <c r="AK9">
        <v>667.83</v>
      </c>
      <c r="BG9" t="s">
        <v>28</v>
      </c>
      <c r="BI9" t="s">
        <v>168</v>
      </c>
      <c r="BK9" t="s">
        <v>50</v>
      </c>
      <c r="BL9" t="s">
        <v>167</v>
      </c>
      <c r="BM9" t="s">
        <v>166</v>
      </c>
      <c r="BN9">
        <v>44231.446614675922</v>
      </c>
      <c r="BR9" t="s">
        <v>165</v>
      </c>
      <c r="BS9">
        <v>4.0115202120936602E+18</v>
      </c>
      <c r="BT9" t="s">
        <v>164</v>
      </c>
      <c r="BV9">
        <v>2020</v>
      </c>
      <c r="BW9" t="s">
        <v>163</v>
      </c>
      <c r="BY9">
        <v>4.0203202120188001E+18</v>
      </c>
      <c r="BZ9" t="s">
        <v>1775</v>
      </c>
      <c r="CA9" t="s">
        <v>161</v>
      </c>
    </row>
    <row r="10" spans="1:79" x14ac:dyDescent="0.25">
      <c r="A10" t="s">
        <v>1757</v>
      </c>
      <c r="B10" t="s">
        <v>1758</v>
      </c>
      <c r="C10">
        <v>2020</v>
      </c>
      <c r="D10" t="s">
        <v>341</v>
      </c>
      <c r="E10">
        <v>2.0210114940466499E+17</v>
      </c>
      <c r="F10" t="s">
        <v>182</v>
      </c>
      <c r="G10">
        <v>10238617</v>
      </c>
      <c r="H10">
        <v>1487959</v>
      </c>
      <c r="J10" t="s">
        <v>180</v>
      </c>
      <c r="K10" t="s">
        <v>179</v>
      </c>
      <c r="N10" t="s">
        <v>1759</v>
      </c>
      <c r="O10" t="s">
        <v>0</v>
      </c>
      <c r="Q10" t="s">
        <v>60</v>
      </c>
      <c r="R10" t="s">
        <v>1760</v>
      </c>
      <c r="T10" t="s">
        <v>1761</v>
      </c>
      <c r="V10" t="s">
        <v>1762</v>
      </c>
      <c r="X10" t="s">
        <v>189</v>
      </c>
      <c r="Y10" t="s">
        <v>52</v>
      </c>
      <c r="Z10">
        <v>100264299</v>
      </c>
      <c r="AA10" t="s">
        <v>1763</v>
      </c>
      <c r="AB10" t="s">
        <v>1764</v>
      </c>
      <c r="AD10">
        <v>15</v>
      </c>
      <c r="AE10" t="s">
        <v>169</v>
      </c>
      <c r="AI10">
        <v>44055</v>
      </c>
      <c r="AJ10">
        <v>124.58</v>
      </c>
      <c r="AK10">
        <v>624.58000000000004</v>
      </c>
      <c r="BG10" t="s">
        <v>28</v>
      </c>
      <c r="BI10" t="s">
        <v>168</v>
      </c>
      <c r="BK10" t="s">
        <v>50</v>
      </c>
      <c r="BL10" t="s">
        <v>167</v>
      </c>
      <c r="BM10" t="s">
        <v>166</v>
      </c>
      <c r="BN10">
        <v>44231.448311250002</v>
      </c>
      <c r="BR10" t="s">
        <v>165</v>
      </c>
      <c r="BS10">
        <v>4.0115202120936602E+18</v>
      </c>
      <c r="BT10" t="s">
        <v>164</v>
      </c>
      <c r="BV10">
        <v>2020</v>
      </c>
      <c r="BW10" t="s">
        <v>163</v>
      </c>
      <c r="BY10">
        <v>4.0203202120189599E+18</v>
      </c>
      <c r="BZ10" t="s">
        <v>1776</v>
      </c>
      <c r="CA10" t="s">
        <v>161</v>
      </c>
    </row>
    <row r="13" spans="1:79" x14ac:dyDescent="0.25">
      <c r="V13" t="str">
        <f>+V10&amp;X10&amp;Y10&amp;Z10</f>
        <v>285 W 110TH STNEW YORKNY100264299</v>
      </c>
    </row>
    <row r="15" spans="1:79" x14ac:dyDescent="0.25">
      <c r="A15" s="35" t="s">
        <v>160</v>
      </c>
      <c r="B15" t="s">
        <v>159</v>
      </c>
    </row>
    <row r="16" spans="1:79" x14ac:dyDescent="0.25">
      <c r="A16" s="36" t="s">
        <v>1434</v>
      </c>
      <c r="B16" s="2">
        <v>432.39</v>
      </c>
    </row>
    <row r="17" spans="1:2" x14ac:dyDescent="0.25">
      <c r="A17" s="36" t="s">
        <v>1758</v>
      </c>
      <c r="B17" s="2">
        <v>932.39</v>
      </c>
    </row>
    <row r="18" spans="1:2" x14ac:dyDescent="0.25">
      <c r="A18" s="36" t="s">
        <v>154</v>
      </c>
      <c r="B18" s="2">
        <v>1364.78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71"/>
  <sheetViews>
    <sheetView topLeftCell="J436" workbookViewId="0">
      <selection activeCell="V451" sqref="V451"/>
    </sheetView>
  </sheetViews>
  <sheetFormatPr defaultRowHeight="15" x14ac:dyDescent="0.25"/>
  <cols>
    <col min="1" max="1" width="41.85546875" bestFit="1" customWidth="1"/>
    <col min="2" max="2" width="34.5703125" bestFit="1" customWidth="1"/>
    <col min="3" max="3" width="9.28515625" bestFit="1" customWidth="1"/>
    <col min="5" max="5" width="12.42578125" bestFit="1" customWidth="1"/>
    <col min="7" max="8" width="9.28515625" bestFit="1" customWidth="1"/>
    <col min="26" max="26" width="9.28515625" bestFit="1" customWidth="1"/>
    <col min="30" max="30" width="9.28515625" bestFit="1" customWidth="1"/>
    <col min="35" max="37" width="9.28515625" bestFit="1" customWidth="1"/>
    <col min="62" max="62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34" t="s">
        <v>275</v>
      </c>
      <c r="B1" s="34" t="s">
        <v>268</v>
      </c>
      <c r="C1" s="34" t="s">
        <v>274</v>
      </c>
      <c r="D1" s="34" t="s">
        <v>273</v>
      </c>
      <c r="E1" s="34" t="s">
        <v>272</v>
      </c>
      <c r="F1" s="34" t="s">
        <v>271</v>
      </c>
      <c r="G1" s="34" t="s">
        <v>270</v>
      </c>
      <c r="H1" s="34" t="s">
        <v>269</v>
      </c>
      <c r="I1" s="34" t="s">
        <v>268</v>
      </c>
      <c r="J1" s="34" t="s">
        <v>267</v>
      </c>
      <c r="K1" s="34" t="s">
        <v>266</v>
      </c>
      <c r="L1" s="34" t="s">
        <v>265</v>
      </c>
      <c r="M1" s="34" t="s">
        <v>264</v>
      </c>
      <c r="N1" s="34" t="s">
        <v>263</v>
      </c>
      <c r="O1" s="34" t="s">
        <v>262</v>
      </c>
      <c r="P1" s="34" t="s">
        <v>261</v>
      </c>
      <c r="Q1" s="34" t="s">
        <v>260</v>
      </c>
      <c r="R1" s="34" t="s">
        <v>259</v>
      </c>
      <c r="S1" s="34" t="s">
        <v>258</v>
      </c>
      <c r="T1" s="34" t="s">
        <v>257</v>
      </c>
      <c r="U1" s="34" t="s">
        <v>256</v>
      </c>
      <c r="V1" s="34" t="s">
        <v>255</v>
      </c>
      <c r="W1" s="34" t="s">
        <v>254</v>
      </c>
      <c r="X1" s="34" t="s">
        <v>253</v>
      </c>
      <c r="Y1" s="34" t="s">
        <v>252</v>
      </c>
      <c r="Z1" s="34" t="s">
        <v>251</v>
      </c>
      <c r="AA1" s="34" t="s">
        <v>250</v>
      </c>
      <c r="AB1" s="34" t="s">
        <v>249</v>
      </c>
      <c r="AC1" s="34" t="s">
        <v>248</v>
      </c>
      <c r="AD1" s="34" t="s">
        <v>247</v>
      </c>
      <c r="AE1" s="34" t="s">
        <v>246</v>
      </c>
      <c r="AF1" s="34" t="s">
        <v>245</v>
      </c>
      <c r="AG1" s="34" t="s">
        <v>244</v>
      </c>
      <c r="AH1" s="34" t="s">
        <v>243</v>
      </c>
      <c r="AI1" s="34" t="s">
        <v>242</v>
      </c>
      <c r="AJ1" s="34" t="s">
        <v>241</v>
      </c>
      <c r="AK1" s="34" t="s">
        <v>240</v>
      </c>
      <c r="AL1" s="34" t="s">
        <v>239</v>
      </c>
      <c r="AM1" s="34" t="s">
        <v>238</v>
      </c>
      <c r="AN1" s="34" t="s">
        <v>237</v>
      </c>
      <c r="AO1" s="34" t="s">
        <v>236</v>
      </c>
      <c r="AP1" s="34" t="s">
        <v>235</v>
      </c>
      <c r="AQ1" s="34" t="s">
        <v>234</v>
      </c>
      <c r="AR1" s="34" t="s">
        <v>233</v>
      </c>
      <c r="AS1" s="34" t="s">
        <v>232</v>
      </c>
      <c r="AT1" s="34" t="s">
        <v>231</v>
      </c>
      <c r="AU1" s="34" t="s">
        <v>230</v>
      </c>
      <c r="AV1" s="34" t="s">
        <v>229</v>
      </c>
      <c r="AW1" s="34" t="s">
        <v>228</v>
      </c>
      <c r="AX1" s="34" t="s">
        <v>227</v>
      </c>
      <c r="AY1" s="34" t="s">
        <v>226</v>
      </c>
      <c r="AZ1" s="34" t="s">
        <v>225</v>
      </c>
      <c r="BA1" s="34" t="s">
        <v>224</v>
      </c>
      <c r="BB1" s="34" t="s">
        <v>223</v>
      </c>
      <c r="BC1" s="34" t="s">
        <v>222</v>
      </c>
      <c r="BD1" s="34" t="s">
        <v>221</v>
      </c>
      <c r="BE1" s="34" t="s">
        <v>220</v>
      </c>
      <c r="BF1" s="34" t="s">
        <v>219</v>
      </c>
      <c r="BG1" s="34" t="s">
        <v>218</v>
      </c>
      <c r="BH1" s="34" t="s">
        <v>217</v>
      </c>
      <c r="BI1" s="34" t="s">
        <v>216</v>
      </c>
      <c r="BJ1" s="34" t="s">
        <v>215</v>
      </c>
      <c r="BK1" s="34" t="s">
        <v>214</v>
      </c>
      <c r="BL1" s="34" t="s">
        <v>213</v>
      </c>
      <c r="BM1" s="34" t="s">
        <v>212</v>
      </c>
      <c r="BN1" s="34" t="s">
        <v>211</v>
      </c>
      <c r="BO1" s="34" t="s">
        <v>210</v>
      </c>
      <c r="BP1" s="34" t="s">
        <v>209</v>
      </c>
      <c r="BQ1" s="34" t="s">
        <v>208</v>
      </c>
      <c r="BR1" s="34" t="s">
        <v>207</v>
      </c>
      <c r="BS1" s="34" t="s">
        <v>206</v>
      </c>
      <c r="BT1" s="34" t="s">
        <v>205</v>
      </c>
      <c r="BU1" s="34" t="s">
        <v>204</v>
      </c>
      <c r="BV1" s="34" t="s">
        <v>203</v>
      </c>
      <c r="BW1" s="34" t="s">
        <v>202</v>
      </c>
      <c r="BX1" s="34" t="s">
        <v>201</v>
      </c>
      <c r="BY1" s="34" t="s">
        <v>200</v>
      </c>
      <c r="BZ1" s="34" t="s">
        <v>199</v>
      </c>
      <c r="CA1" s="34" t="s">
        <v>198</v>
      </c>
    </row>
    <row r="2" spans="1:79" x14ac:dyDescent="0.25">
      <c r="A2" s="34" t="s">
        <v>903</v>
      </c>
      <c r="B2" s="34" t="s">
        <v>904</v>
      </c>
      <c r="C2" s="34">
        <v>2019</v>
      </c>
      <c r="D2" s="34" t="s">
        <v>341</v>
      </c>
      <c r="E2" s="34">
        <v>2.01912129166268E+17</v>
      </c>
      <c r="F2" s="34" t="s">
        <v>450</v>
      </c>
      <c r="G2" s="34">
        <v>3888874</v>
      </c>
      <c r="H2" s="34">
        <v>1366132</v>
      </c>
      <c r="I2" s="34"/>
      <c r="J2" s="34" t="s">
        <v>180</v>
      </c>
      <c r="K2" s="34" t="s">
        <v>179</v>
      </c>
      <c r="L2" s="34" t="s">
        <v>374</v>
      </c>
      <c r="M2" s="34"/>
      <c r="N2" s="34" t="s">
        <v>905</v>
      </c>
      <c r="O2" s="34" t="s">
        <v>28</v>
      </c>
      <c r="P2" s="34"/>
      <c r="Q2" s="34" t="s">
        <v>28</v>
      </c>
      <c r="R2" s="34" t="s">
        <v>906</v>
      </c>
      <c r="S2" s="34"/>
      <c r="T2" s="34" t="s">
        <v>907</v>
      </c>
      <c r="U2" s="34"/>
      <c r="V2" s="34" t="s">
        <v>908</v>
      </c>
      <c r="W2" s="34"/>
      <c r="X2" s="34" t="s">
        <v>909</v>
      </c>
      <c r="Y2" s="34" t="s">
        <v>47</v>
      </c>
      <c r="Z2" s="34">
        <v>21421229</v>
      </c>
      <c r="AA2" s="34" t="s">
        <v>910</v>
      </c>
      <c r="AB2" s="34" t="s">
        <v>393</v>
      </c>
      <c r="AC2" s="34" t="s">
        <v>374</v>
      </c>
      <c r="AD2" s="34" t="s">
        <v>345</v>
      </c>
      <c r="AE2" s="34" t="s">
        <v>344</v>
      </c>
      <c r="AF2" s="34"/>
      <c r="AG2" s="34"/>
      <c r="AH2" s="34"/>
      <c r="AI2" s="34">
        <v>43692</v>
      </c>
      <c r="AJ2" s="34">
        <v>50</v>
      </c>
      <c r="AK2" s="34">
        <v>610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 t="s">
        <v>446</v>
      </c>
      <c r="BH2" s="34"/>
      <c r="BI2" s="34" t="s">
        <v>168</v>
      </c>
      <c r="BJ2" s="34">
        <v>2020</v>
      </c>
      <c r="BK2" s="34" t="s">
        <v>0</v>
      </c>
      <c r="BL2" s="34" t="s">
        <v>186</v>
      </c>
      <c r="BM2" s="34" t="s">
        <v>166</v>
      </c>
      <c r="BN2" s="34">
        <v>43822.093682465274</v>
      </c>
      <c r="BO2" s="34"/>
      <c r="BP2" s="34" t="s">
        <v>911</v>
      </c>
      <c r="BQ2" s="34" t="s">
        <v>877</v>
      </c>
      <c r="BR2" s="34" t="s">
        <v>445</v>
      </c>
      <c r="BS2" s="34">
        <v>4.1213201916814602E+18</v>
      </c>
      <c r="BT2" s="34" t="s">
        <v>164</v>
      </c>
      <c r="BU2" s="34" t="s">
        <v>512</v>
      </c>
      <c r="BV2" s="34">
        <v>2020</v>
      </c>
      <c r="BW2" s="34" t="s">
        <v>163</v>
      </c>
      <c r="BX2" s="34"/>
      <c r="BY2" s="34">
        <v>4.1222201916823398E+18</v>
      </c>
      <c r="BZ2" s="34" t="s">
        <v>912</v>
      </c>
      <c r="CA2" s="34" t="s">
        <v>161</v>
      </c>
    </row>
    <row r="3" spans="1:79" x14ac:dyDescent="0.25">
      <c r="A3" s="34" t="s">
        <v>903</v>
      </c>
      <c r="B3" s="34" t="s">
        <v>904</v>
      </c>
      <c r="C3" s="34">
        <v>2019</v>
      </c>
      <c r="D3" s="34" t="s">
        <v>341</v>
      </c>
      <c r="E3" s="34">
        <v>2.01912129166268E+17</v>
      </c>
      <c r="F3" s="34" t="s">
        <v>450</v>
      </c>
      <c r="G3" s="34">
        <v>3636565</v>
      </c>
      <c r="H3" s="34">
        <v>1366132</v>
      </c>
      <c r="I3" s="34"/>
      <c r="J3" s="34" t="s">
        <v>180</v>
      </c>
      <c r="K3" s="34" t="s">
        <v>179</v>
      </c>
      <c r="L3" s="34" t="s">
        <v>374</v>
      </c>
      <c r="M3" s="34"/>
      <c r="N3" s="34" t="s">
        <v>905</v>
      </c>
      <c r="O3" s="34" t="s">
        <v>28</v>
      </c>
      <c r="P3" s="34"/>
      <c r="Q3" s="34" t="s">
        <v>28</v>
      </c>
      <c r="R3" s="34" t="s">
        <v>906</v>
      </c>
      <c r="S3" s="34"/>
      <c r="T3" s="34" t="s">
        <v>907</v>
      </c>
      <c r="U3" s="34"/>
      <c r="V3" s="34" t="s">
        <v>908</v>
      </c>
      <c r="W3" s="34"/>
      <c r="X3" s="34" t="s">
        <v>909</v>
      </c>
      <c r="Y3" s="34" t="s">
        <v>47</v>
      </c>
      <c r="Z3" s="34">
        <v>21421229</v>
      </c>
      <c r="AA3" s="34" t="s">
        <v>910</v>
      </c>
      <c r="AB3" s="34" t="s">
        <v>393</v>
      </c>
      <c r="AC3" s="34" t="s">
        <v>374</v>
      </c>
      <c r="AD3" s="34" t="s">
        <v>345</v>
      </c>
      <c r="AE3" s="34" t="s">
        <v>344</v>
      </c>
      <c r="AF3" s="34"/>
      <c r="AG3" s="34"/>
      <c r="AH3" s="34"/>
      <c r="AI3" s="34">
        <v>43663</v>
      </c>
      <c r="AJ3" s="34">
        <v>10</v>
      </c>
      <c r="AK3" s="34">
        <v>610</v>
      </c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 t="s">
        <v>446</v>
      </c>
      <c r="BH3" s="34"/>
      <c r="BI3" s="34" t="s">
        <v>168</v>
      </c>
      <c r="BJ3" s="34">
        <v>2020</v>
      </c>
      <c r="BK3" s="34" t="s">
        <v>0</v>
      </c>
      <c r="BL3" s="34" t="s">
        <v>186</v>
      </c>
      <c r="BM3" s="34" t="s">
        <v>166</v>
      </c>
      <c r="BN3" s="34">
        <v>43822.093682453706</v>
      </c>
      <c r="BO3" s="34"/>
      <c r="BP3" s="34" t="s">
        <v>913</v>
      </c>
      <c r="BQ3" s="34" t="s">
        <v>877</v>
      </c>
      <c r="BR3" s="34" t="s">
        <v>445</v>
      </c>
      <c r="BS3" s="34">
        <v>4.1213201916814602E+18</v>
      </c>
      <c r="BT3" s="34" t="s">
        <v>164</v>
      </c>
      <c r="BU3" s="34" t="s">
        <v>512</v>
      </c>
      <c r="BV3" s="34">
        <v>2020</v>
      </c>
      <c r="BW3" s="34" t="s">
        <v>163</v>
      </c>
      <c r="BX3" s="34"/>
      <c r="BY3" s="34">
        <v>4.1222201916823398E+18</v>
      </c>
      <c r="BZ3" s="34" t="s">
        <v>914</v>
      </c>
      <c r="CA3" s="34" t="s">
        <v>161</v>
      </c>
    </row>
    <row r="4" spans="1:79" x14ac:dyDescent="0.25">
      <c r="A4" s="34" t="s">
        <v>903</v>
      </c>
      <c r="B4" s="34" t="s">
        <v>904</v>
      </c>
      <c r="C4" s="34">
        <v>2019</v>
      </c>
      <c r="D4" s="34" t="s">
        <v>341</v>
      </c>
      <c r="E4" s="34">
        <v>2.01912129166268E+17</v>
      </c>
      <c r="F4" s="34" t="s">
        <v>450</v>
      </c>
      <c r="G4" s="34">
        <v>3695363</v>
      </c>
      <c r="H4" s="34">
        <v>1366132</v>
      </c>
      <c r="I4" s="34"/>
      <c r="J4" s="34" t="s">
        <v>180</v>
      </c>
      <c r="K4" s="34" t="s">
        <v>179</v>
      </c>
      <c r="L4" s="34" t="s">
        <v>374</v>
      </c>
      <c r="M4" s="34"/>
      <c r="N4" s="34" t="s">
        <v>905</v>
      </c>
      <c r="O4" s="34" t="s">
        <v>28</v>
      </c>
      <c r="P4" s="34"/>
      <c r="Q4" s="34" t="s">
        <v>28</v>
      </c>
      <c r="R4" s="34" t="s">
        <v>906</v>
      </c>
      <c r="S4" s="34"/>
      <c r="T4" s="34" t="s">
        <v>907</v>
      </c>
      <c r="U4" s="34"/>
      <c r="V4" s="34" t="s">
        <v>908</v>
      </c>
      <c r="W4" s="34"/>
      <c r="X4" s="34" t="s">
        <v>909</v>
      </c>
      <c r="Y4" s="34" t="s">
        <v>47</v>
      </c>
      <c r="Z4" s="34">
        <v>21421229</v>
      </c>
      <c r="AA4" s="34" t="s">
        <v>910</v>
      </c>
      <c r="AB4" s="34" t="s">
        <v>393</v>
      </c>
      <c r="AC4" s="34" t="s">
        <v>374</v>
      </c>
      <c r="AD4" s="34" t="s">
        <v>345</v>
      </c>
      <c r="AE4" s="34" t="s">
        <v>344</v>
      </c>
      <c r="AF4" s="34"/>
      <c r="AG4" s="34"/>
      <c r="AH4" s="34"/>
      <c r="AI4" s="34">
        <v>43674</v>
      </c>
      <c r="AJ4" s="34">
        <v>50</v>
      </c>
      <c r="AK4" s="34">
        <v>610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 t="s">
        <v>446</v>
      </c>
      <c r="BH4" s="34"/>
      <c r="BI4" s="34" t="s">
        <v>168</v>
      </c>
      <c r="BJ4" s="34">
        <v>2020</v>
      </c>
      <c r="BK4" s="34" t="s">
        <v>0</v>
      </c>
      <c r="BL4" s="34" t="s">
        <v>186</v>
      </c>
      <c r="BM4" s="34" t="s">
        <v>166</v>
      </c>
      <c r="BN4" s="34">
        <v>43822.093682453706</v>
      </c>
      <c r="BO4" s="34"/>
      <c r="BP4" s="34" t="s">
        <v>915</v>
      </c>
      <c r="BQ4" s="34" t="s">
        <v>877</v>
      </c>
      <c r="BR4" s="34" t="s">
        <v>445</v>
      </c>
      <c r="BS4" s="34">
        <v>4.1213201916814602E+18</v>
      </c>
      <c r="BT4" s="34" t="s">
        <v>164</v>
      </c>
      <c r="BU4" s="34" t="s">
        <v>512</v>
      </c>
      <c r="BV4" s="34">
        <v>2020</v>
      </c>
      <c r="BW4" s="34" t="s">
        <v>163</v>
      </c>
      <c r="BX4" s="34"/>
      <c r="BY4" s="34">
        <v>4.1222201916823398E+18</v>
      </c>
      <c r="BZ4" s="34" t="s">
        <v>914</v>
      </c>
      <c r="CA4" s="34" t="s">
        <v>161</v>
      </c>
    </row>
    <row r="5" spans="1:79" x14ac:dyDescent="0.25">
      <c r="A5" s="34" t="s">
        <v>903</v>
      </c>
      <c r="B5" s="34" t="s">
        <v>904</v>
      </c>
      <c r="C5" s="34">
        <v>2019</v>
      </c>
      <c r="D5" s="34" t="s">
        <v>341</v>
      </c>
      <c r="E5" s="34">
        <v>2.01912129166268E+17</v>
      </c>
      <c r="F5" s="34" t="s">
        <v>450</v>
      </c>
      <c r="G5" s="34">
        <v>3720103</v>
      </c>
      <c r="H5" s="34">
        <v>1366132</v>
      </c>
      <c r="I5" s="34"/>
      <c r="J5" s="34" t="s">
        <v>180</v>
      </c>
      <c r="K5" s="34" t="s">
        <v>179</v>
      </c>
      <c r="L5" s="34" t="s">
        <v>374</v>
      </c>
      <c r="M5" s="34"/>
      <c r="N5" s="34" t="s">
        <v>905</v>
      </c>
      <c r="O5" s="34" t="s">
        <v>28</v>
      </c>
      <c r="P5" s="34"/>
      <c r="Q5" s="34" t="s">
        <v>28</v>
      </c>
      <c r="R5" s="34" t="s">
        <v>906</v>
      </c>
      <c r="S5" s="34"/>
      <c r="T5" s="34" t="s">
        <v>907</v>
      </c>
      <c r="U5" s="34"/>
      <c r="V5" s="34" t="s">
        <v>908</v>
      </c>
      <c r="W5" s="34"/>
      <c r="X5" s="34" t="s">
        <v>909</v>
      </c>
      <c r="Y5" s="34" t="s">
        <v>47</v>
      </c>
      <c r="Z5" s="34">
        <v>21421229</v>
      </c>
      <c r="AA5" s="34" t="s">
        <v>910</v>
      </c>
      <c r="AB5" s="34" t="s">
        <v>393</v>
      </c>
      <c r="AC5" s="34" t="s">
        <v>374</v>
      </c>
      <c r="AD5" s="34" t="s">
        <v>345</v>
      </c>
      <c r="AE5" s="34" t="s">
        <v>344</v>
      </c>
      <c r="AF5" s="34"/>
      <c r="AG5" s="34"/>
      <c r="AH5" s="34"/>
      <c r="AI5" s="34">
        <v>43675</v>
      </c>
      <c r="AJ5" s="34">
        <v>50</v>
      </c>
      <c r="AK5" s="34">
        <v>610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 t="s">
        <v>446</v>
      </c>
      <c r="BH5" s="34"/>
      <c r="BI5" s="34" t="s">
        <v>168</v>
      </c>
      <c r="BJ5" s="34">
        <v>2020</v>
      </c>
      <c r="BK5" s="34" t="s">
        <v>0</v>
      </c>
      <c r="BL5" s="34" t="s">
        <v>186</v>
      </c>
      <c r="BM5" s="34" t="s">
        <v>166</v>
      </c>
      <c r="BN5" s="34">
        <v>43822.093682465274</v>
      </c>
      <c r="BO5" s="34"/>
      <c r="BP5" s="34" t="s">
        <v>916</v>
      </c>
      <c r="BQ5" s="34" t="s">
        <v>877</v>
      </c>
      <c r="BR5" s="34" t="s">
        <v>445</v>
      </c>
      <c r="BS5" s="34">
        <v>4.1213201916814602E+18</v>
      </c>
      <c r="BT5" s="34" t="s">
        <v>164</v>
      </c>
      <c r="BU5" s="34" t="s">
        <v>512</v>
      </c>
      <c r="BV5" s="34">
        <v>2020</v>
      </c>
      <c r="BW5" s="34" t="s">
        <v>163</v>
      </c>
      <c r="BX5" s="34"/>
      <c r="BY5" s="34">
        <v>4.1222201916823398E+18</v>
      </c>
      <c r="BZ5" s="34" t="s">
        <v>917</v>
      </c>
      <c r="CA5" s="34" t="s">
        <v>161</v>
      </c>
    </row>
    <row r="6" spans="1:79" x14ac:dyDescent="0.25">
      <c r="A6" s="34" t="s">
        <v>903</v>
      </c>
      <c r="B6" s="34" t="s">
        <v>904</v>
      </c>
      <c r="C6" s="34">
        <v>2019</v>
      </c>
      <c r="D6" s="34" t="s">
        <v>341</v>
      </c>
      <c r="E6" s="34">
        <v>2.01912129166268E+17</v>
      </c>
      <c r="F6" s="34" t="s">
        <v>450</v>
      </c>
      <c r="G6" s="34">
        <v>3738867</v>
      </c>
      <c r="H6" s="34">
        <v>1366132</v>
      </c>
      <c r="I6" s="34"/>
      <c r="J6" s="34" t="s">
        <v>180</v>
      </c>
      <c r="K6" s="34" t="s">
        <v>179</v>
      </c>
      <c r="L6" s="34" t="s">
        <v>374</v>
      </c>
      <c r="M6" s="34"/>
      <c r="N6" s="34" t="s">
        <v>905</v>
      </c>
      <c r="O6" s="34" t="s">
        <v>28</v>
      </c>
      <c r="P6" s="34"/>
      <c r="Q6" s="34" t="s">
        <v>28</v>
      </c>
      <c r="R6" s="34" t="s">
        <v>906</v>
      </c>
      <c r="S6" s="34"/>
      <c r="T6" s="34" t="s">
        <v>907</v>
      </c>
      <c r="U6" s="34"/>
      <c r="V6" s="34" t="s">
        <v>908</v>
      </c>
      <c r="W6" s="34"/>
      <c r="X6" s="34" t="s">
        <v>909</v>
      </c>
      <c r="Y6" s="34" t="s">
        <v>47</v>
      </c>
      <c r="Z6" s="34">
        <v>21421229</v>
      </c>
      <c r="AA6" s="34" t="s">
        <v>910</v>
      </c>
      <c r="AB6" s="34" t="s">
        <v>393</v>
      </c>
      <c r="AC6" s="34" t="s">
        <v>374</v>
      </c>
      <c r="AD6" s="34" t="s">
        <v>345</v>
      </c>
      <c r="AE6" s="34" t="s">
        <v>344</v>
      </c>
      <c r="AF6" s="34"/>
      <c r="AG6" s="34"/>
      <c r="AH6" s="34"/>
      <c r="AI6" s="34">
        <v>43676</v>
      </c>
      <c r="AJ6" s="34">
        <v>10</v>
      </c>
      <c r="AK6" s="34">
        <v>610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 t="s">
        <v>446</v>
      </c>
      <c r="BH6" s="34"/>
      <c r="BI6" s="34" t="s">
        <v>168</v>
      </c>
      <c r="BJ6" s="34">
        <v>2020</v>
      </c>
      <c r="BK6" s="34" t="s">
        <v>0</v>
      </c>
      <c r="BL6" s="34" t="s">
        <v>186</v>
      </c>
      <c r="BM6" s="34" t="s">
        <v>166</v>
      </c>
      <c r="BN6" s="34">
        <v>43822.093682465274</v>
      </c>
      <c r="BO6" s="34"/>
      <c r="BP6" s="34" t="s">
        <v>918</v>
      </c>
      <c r="BQ6" s="34" t="s">
        <v>877</v>
      </c>
      <c r="BR6" s="34" t="s">
        <v>445</v>
      </c>
      <c r="BS6" s="34">
        <v>4.1213201916814602E+18</v>
      </c>
      <c r="BT6" s="34" t="s">
        <v>164</v>
      </c>
      <c r="BU6" s="34" t="s">
        <v>512</v>
      </c>
      <c r="BV6" s="34">
        <v>2020</v>
      </c>
      <c r="BW6" s="34" t="s">
        <v>163</v>
      </c>
      <c r="BX6" s="34"/>
      <c r="BY6" s="34">
        <v>4.1222201916823398E+18</v>
      </c>
      <c r="BZ6" s="34" t="s">
        <v>912</v>
      </c>
      <c r="CA6" s="34" t="s">
        <v>161</v>
      </c>
    </row>
    <row r="7" spans="1:79" x14ac:dyDescent="0.25">
      <c r="A7" s="34" t="s">
        <v>903</v>
      </c>
      <c r="B7" s="34" t="s">
        <v>904</v>
      </c>
      <c r="C7" s="34">
        <v>2019</v>
      </c>
      <c r="D7" s="34" t="s">
        <v>341</v>
      </c>
      <c r="E7" s="34">
        <v>2.01912129166268E+17</v>
      </c>
      <c r="F7" s="34" t="s">
        <v>450</v>
      </c>
      <c r="G7" s="34">
        <v>4384456</v>
      </c>
      <c r="H7" s="34">
        <v>1366132</v>
      </c>
      <c r="I7" s="34"/>
      <c r="J7" s="34" t="s">
        <v>180</v>
      </c>
      <c r="K7" s="34" t="s">
        <v>179</v>
      </c>
      <c r="L7" s="34" t="s">
        <v>374</v>
      </c>
      <c r="M7" s="34"/>
      <c r="N7" s="34" t="s">
        <v>905</v>
      </c>
      <c r="O7" s="34" t="s">
        <v>28</v>
      </c>
      <c r="P7" s="34"/>
      <c r="Q7" s="34" t="s">
        <v>28</v>
      </c>
      <c r="R7" s="34" t="s">
        <v>906</v>
      </c>
      <c r="S7" s="34"/>
      <c r="T7" s="34" t="s">
        <v>907</v>
      </c>
      <c r="U7" s="34"/>
      <c r="V7" s="34" t="s">
        <v>908</v>
      </c>
      <c r="W7" s="34"/>
      <c r="X7" s="34" t="s">
        <v>909</v>
      </c>
      <c r="Y7" s="34" t="s">
        <v>47</v>
      </c>
      <c r="Z7" s="34">
        <v>21421229</v>
      </c>
      <c r="AA7" s="34" t="s">
        <v>910</v>
      </c>
      <c r="AB7" s="34" t="s">
        <v>393</v>
      </c>
      <c r="AC7" s="34" t="s">
        <v>374</v>
      </c>
      <c r="AD7" s="34" t="s">
        <v>345</v>
      </c>
      <c r="AE7" s="34" t="s">
        <v>344</v>
      </c>
      <c r="AF7" s="34"/>
      <c r="AG7" s="34"/>
      <c r="AH7" s="34"/>
      <c r="AI7" s="34">
        <v>43735</v>
      </c>
      <c r="AJ7" s="34">
        <v>50</v>
      </c>
      <c r="AK7" s="34">
        <v>610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 t="s">
        <v>446</v>
      </c>
      <c r="BH7" s="34"/>
      <c r="BI7" s="34" t="s">
        <v>168</v>
      </c>
      <c r="BJ7" s="34">
        <v>2020</v>
      </c>
      <c r="BK7" s="34" t="s">
        <v>0</v>
      </c>
      <c r="BL7" s="34" t="s">
        <v>186</v>
      </c>
      <c r="BM7" s="34" t="s">
        <v>166</v>
      </c>
      <c r="BN7" s="34">
        <v>43822.093682488427</v>
      </c>
      <c r="BO7" s="34"/>
      <c r="BP7" s="34" t="s">
        <v>919</v>
      </c>
      <c r="BQ7" s="34" t="s">
        <v>877</v>
      </c>
      <c r="BR7" s="34" t="s">
        <v>445</v>
      </c>
      <c r="BS7" s="34">
        <v>4.1213201916814602E+18</v>
      </c>
      <c r="BT7" s="34" t="s">
        <v>164</v>
      </c>
      <c r="BU7" s="34" t="s">
        <v>512</v>
      </c>
      <c r="BV7" s="34">
        <v>2020</v>
      </c>
      <c r="BW7" s="34" t="s">
        <v>163</v>
      </c>
      <c r="BX7" s="34"/>
      <c r="BY7" s="34">
        <v>4.1222201916823398E+18</v>
      </c>
      <c r="BZ7" s="34" t="s">
        <v>920</v>
      </c>
      <c r="CA7" s="34" t="s">
        <v>161</v>
      </c>
    </row>
    <row r="8" spans="1:79" x14ac:dyDescent="0.25">
      <c r="A8" s="34" t="s">
        <v>903</v>
      </c>
      <c r="B8" s="34" t="s">
        <v>904</v>
      </c>
      <c r="C8" s="34">
        <v>2019</v>
      </c>
      <c r="D8" s="34" t="s">
        <v>341</v>
      </c>
      <c r="E8" s="34">
        <v>2.01912129166268E+17</v>
      </c>
      <c r="F8" s="34" t="s">
        <v>450</v>
      </c>
      <c r="G8" s="34">
        <v>3888875</v>
      </c>
      <c r="H8" s="34">
        <v>1366132</v>
      </c>
      <c r="I8" s="34"/>
      <c r="J8" s="34" t="s">
        <v>180</v>
      </c>
      <c r="K8" s="34" t="s">
        <v>179</v>
      </c>
      <c r="L8" s="34" t="s">
        <v>374</v>
      </c>
      <c r="M8" s="34"/>
      <c r="N8" s="34" t="s">
        <v>905</v>
      </c>
      <c r="O8" s="34" t="s">
        <v>28</v>
      </c>
      <c r="P8" s="34"/>
      <c r="Q8" s="34" t="s">
        <v>28</v>
      </c>
      <c r="R8" s="34" t="s">
        <v>906</v>
      </c>
      <c r="S8" s="34"/>
      <c r="T8" s="34" t="s">
        <v>907</v>
      </c>
      <c r="U8" s="34"/>
      <c r="V8" s="34" t="s">
        <v>908</v>
      </c>
      <c r="W8" s="34"/>
      <c r="X8" s="34" t="s">
        <v>909</v>
      </c>
      <c r="Y8" s="34" t="s">
        <v>47</v>
      </c>
      <c r="Z8" s="34">
        <v>21421229</v>
      </c>
      <c r="AA8" s="34" t="s">
        <v>910</v>
      </c>
      <c r="AB8" s="34" t="s">
        <v>393</v>
      </c>
      <c r="AC8" s="34" t="s">
        <v>374</v>
      </c>
      <c r="AD8" s="34" t="s">
        <v>345</v>
      </c>
      <c r="AE8" s="34" t="s">
        <v>344</v>
      </c>
      <c r="AF8" s="34"/>
      <c r="AG8" s="34"/>
      <c r="AH8" s="34"/>
      <c r="AI8" s="34">
        <v>43692</v>
      </c>
      <c r="AJ8" s="34">
        <v>50</v>
      </c>
      <c r="AK8" s="34">
        <v>610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 t="s">
        <v>446</v>
      </c>
      <c r="BH8" s="34"/>
      <c r="BI8" s="34" t="s">
        <v>168</v>
      </c>
      <c r="BJ8" s="34">
        <v>2020</v>
      </c>
      <c r="BK8" s="34" t="s">
        <v>0</v>
      </c>
      <c r="BL8" s="34" t="s">
        <v>186</v>
      </c>
      <c r="BM8" s="34" t="s">
        <v>166</v>
      </c>
      <c r="BN8" s="34">
        <v>43822.093682465274</v>
      </c>
      <c r="BO8" s="34"/>
      <c r="BP8" s="34" t="s">
        <v>921</v>
      </c>
      <c r="BQ8" s="34" t="s">
        <v>877</v>
      </c>
      <c r="BR8" s="34" t="s">
        <v>445</v>
      </c>
      <c r="BS8" s="34">
        <v>4.1213201916814602E+18</v>
      </c>
      <c r="BT8" s="34" t="s">
        <v>164</v>
      </c>
      <c r="BU8" s="34" t="s">
        <v>512</v>
      </c>
      <c r="BV8" s="34">
        <v>2020</v>
      </c>
      <c r="BW8" s="34" t="s">
        <v>163</v>
      </c>
      <c r="BX8" s="34"/>
      <c r="BY8" s="34">
        <v>4.1222201916823398E+18</v>
      </c>
      <c r="BZ8" s="34" t="s">
        <v>922</v>
      </c>
      <c r="CA8" s="34" t="s">
        <v>161</v>
      </c>
    </row>
    <row r="9" spans="1:79" x14ac:dyDescent="0.25">
      <c r="A9" s="34" t="s">
        <v>903</v>
      </c>
      <c r="B9" s="34" t="s">
        <v>904</v>
      </c>
      <c r="C9" s="34">
        <v>2019</v>
      </c>
      <c r="D9" s="34" t="s">
        <v>341</v>
      </c>
      <c r="E9" s="34">
        <v>2.01912129166268E+17</v>
      </c>
      <c r="F9" s="34" t="s">
        <v>450</v>
      </c>
      <c r="G9" s="34">
        <v>3911771</v>
      </c>
      <c r="H9" s="34">
        <v>1366132</v>
      </c>
      <c r="I9" s="34"/>
      <c r="J9" s="34" t="s">
        <v>180</v>
      </c>
      <c r="K9" s="34" t="s">
        <v>179</v>
      </c>
      <c r="L9" s="34" t="s">
        <v>374</v>
      </c>
      <c r="M9" s="34"/>
      <c r="N9" s="34" t="s">
        <v>905</v>
      </c>
      <c r="O9" s="34" t="s">
        <v>28</v>
      </c>
      <c r="P9" s="34"/>
      <c r="Q9" s="34" t="s">
        <v>28</v>
      </c>
      <c r="R9" s="34" t="s">
        <v>906</v>
      </c>
      <c r="S9" s="34"/>
      <c r="T9" s="34" t="s">
        <v>907</v>
      </c>
      <c r="U9" s="34"/>
      <c r="V9" s="34" t="s">
        <v>908</v>
      </c>
      <c r="W9" s="34"/>
      <c r="X9" s="34" t="s">
        <v>909</v>
      </c>
      <c r="Y9" s="34" t="s">
        <v>47</v>
      </c>
      <c r="Z9" s="34">
        <v>21421229</v>
      </c>
      <c r="AA9" s="34" t="s">
        <v>910</v>
      </c>
      <c r="AB9" s="34" t="s">
        <v>393</v>
      </c>
      <c r="AC9" s="34" t="s">
        <v>374</v>
      </c>
      <c r="AD9" s="34" t="s">
        <v>345</v>
      </c>
      <c r="AE9" s="34" t="s">
        <v>344</v>
      </c>
      <c r="AF9" s="34"/>
      <c r="AG9" s="34"/>
      <c r="AH9" s="34"/>
      <c r="AI9" s="34">
        <v>43694</v>
      </c>
      <c r="AJ9" s="34">
        <v>10</v>
      </c>
      <c r="AK9" s="34">
        <v>610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 t="s">
        <v>446</v>
      </c>
      <c r="BH9" s="34"/>
      <c r="BI9" s="34" t="s">
        <v>168</v>
      </c>
      <c r="BJ9" s="34">
        <v>2020</v>
      </c>
      <c r="BK9" s="34" t="s">
        <v>0</v>
      </c>
      <c r="BL9" s="34" t="s">
        <v>186</v>
      </c>
      <c r="BM9" s="34" t="s">
        <v>166</v>
      </c>
      <c r="BN9" s="34">
        <v>43822.093682476851</v>
      </c>
      <c r="BO9" s="34"/>
      <c r="BP9" s="34" t="s">
        <v>923</v>
      </c>
      <c r="BQ9" s="34" t="s">
        <v>877</v>
      </c>
      <c r="BR9" s="34" t="s">
        <v>445</v>
      </c>
      <c r="BS9" s="34">
        <v>4.1213201916814602E+18</v>
      </c>
      <c r="BT9" s="34" t="s">
        <v>164</v>
      </c>
      <c r="BU9" s="34" t="s">
        <v>512</v>
      </c>
      <c r="BV9" s="34">
        <v>2020</v>
      </c>
      <c r="BW9" s="34" t="s">
        <v>163</v>
      </c>
      <c r="BX9" s="34"/>
      <c r="BY9" s="34">
        <v>4.1222201916823398E+18</v>
      </c>
      <c r="BZ9" s="34" t="s">
        <v>924</v>
      </c>
      <c r="CA9" s="34" t="s">
        <v>161</v>
      </c>
    </row>
    <row r="10" spans="1:79" x14ac:dyDescent="0.25">
      <c r="A10" s="34" t="s">
        <v>903</v>
      </c>
      <c r="B10" s="34" t="s">
        <v>904</v>
      </c>
      <c r="C10" s="34">
        <v>2019</v>
      </c>
      <c r="D10" s="34" t="s">
        <v>341</v>
      </c>
      <c r="E10" s="34">
        <v>2.01912129166268E+17</v>
      </c>
      <c r="F10" s="34" t="s">
        <v>450</v>
      </c>
      <c r="G10" s="34">
        <v>3991456</v>
      </c>
      <c r="H10" s="34">
        <v>1366132</v>
      </c>
      <c r="I10" s="34"/>
      <c r="J10" s="34" t="s">
        <v>180</v>
      </c>
      <c r="K10" s="34" t="s">
        <v>179</v>
      </c>
      <c r="L10" s="34" t="s">
        <v>374</v>
      </c>
      <c r="M10" s="34"/>
      <c r="N10" s="34" t="s">
        <v>905</v>
      </c>
      <c r="O10" s="34" t="s">
        <v>28</v>
      </c>
      <c r="P10" s="34"/>
      <c r="Q10" s="34" t="s">
        <v>28</v>
      </c>
      <c r="R10" s="34" t="s">
        <v>906</v>
      </c>
      <c r="S10" s="34"/>
      <c r="T10" s="34" t="s">
        <v>907</v>
      </c>
      <c r="U10" s="34"/>
      <c r="V10" s="34" t="s">
        <v>908</v>
      </c>
      <c r="W10" s="34"/>
      <c r="X10" s="34" t="s">
        <v>909</v>
      </c>
      <c r="Y10" s="34" t="s">
        <v>47</v>
      </c>
      <c r="Z10" s="34">
        <v>21421229</v>
      </c>
      <c r="AA10" s="34" t="s">
        <v>910</v>
      </c>
      <c r="AB10" s="34" t="s">
        <v>393</v>
      </c>
      <c r="AC10" s="34" t="s">
        <v>374</v>
      </c>
      <c r="AD10" s="34" t="s">
        <v>345</v>
      </c>
      <c r="AE10" s="34" t="s">
        <v>344</v>
      </c>
      <c r="AF10" s="34"/>
      <c r="AG10" s="34"/>
      <c r="AH10" s="34"/>
      <c r="AI10" s="34">
        <v>43703</v>
      </c>
      <c r="AJ10" s="34">
        <v>50</v>
      </c>
      <c r="AK10" s="34">
        <v>610</v>
      </c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 t="s">
        <v>446</v>
      </c>
      <c r="BH10" s="34"/>
      <c r="BI10" s="34" t="s">
        <v>168</v>
      </c>
      <c r="BJ10" s="34">
        <v>2020</v>
      </c>
      <c r="BK10" s="34" t="s">
        <v>0</v>
      </c>
      <c r="BL10" s="34" t="s">
        <v>186</v>
      </c>
      <c r="BM10" s="34" t="s">
        <v>166</v>
      </c>
      <c r="BN10" s="34">
        <v>43822.093682476851</v>
      </c>
      <c r="BO10" s="34"/>
      <c r="BP10" s="34" t="s">
        <v>925</v>
      </c>
      <c r="BQ10" s="34" t="s">
        <v>877</v>
      </c>
      <c r="BR10" s="34" t="s">
        <v>445</v>
      </c>
      <c r="BS10" s="34">
        <v>4.1213201916814602E+18</v>
      </c>
      <c r="BT10" s="34" t="s">
        <v>164</v>
      </c>
      <c r="BU10" s="34" t="s">
        <v>512</v>
      </c>
      <c r="BV10" s="34">
        <v>2020</v>
      </c>
      <c r="BW10" s="34" t="s">
        <v>163</v>
      </c>
      <c r="BX10" s="34"/>
      <c r="BY10" s="34">
        <v>4.1222201916823398E+18</v>
      </c>
      <c r="BZ10" s="34" t="s">
        <v>924</v>
      </c>
      <c r="CA10" s="34" t="s">
        <v>161</v>
      </c>
    </row>
    <row r="11" spans="1:79" x14ac:dyDescent="0.25">
      <c r="A11" s="34" t="s">
        <v>903</v>
      </c>
      <c r="B11" s="34" t="s">
        <v>904</v>
      </c>
      <c r="C11" s="34">
        <v>2019</v>
      </c>
      <c r="D11" s="34" t="s">
        <v>341</v>
      </c>
      <c r="E11" s="34">
        <v>2.01912129166268E+17</v>
      </c>
      <c r="F11" s="34" t="s">
        <v>450</v>
      </c>
      <c r="G11" s="34">
        <v>4064227</v>
      </c>
      <c r="H11" s="34">
        <v>1366132</v>
      </c>
      <c r="I11" s="34"/>
      <c r="J11" s="34" t="s">
        <v>180</v>
      </c>
      <c r="K11" s="34" t="s">
        <v>179</v>
      </c>
      <c r="L11" s="34" t="s">
        <v>374</v>
      </c>
      <c r="M11" s="34"/>
      <c r="N11" s="34" t="s">
        <v>905</v>
      </c>
      <c r="O11" s="34" t="s">
        <v>28</v>
      </c>
      <c r="P11" s="34"/>
      <c r="Q11" s="34" t="s">
        <v>28</v>
      </c>
      <c r="R11" s="34" t="s">
        <v>906</v>
      </c>
      <c r="S11" s="34"/>
      <c r="T11" s="34" t="s">
        <v>907</v>
      </c>
      <c r="U11" s="34"/>
      <c r="V11" s="34" t="s">
        <v>908</v>
      </c>
      <c r="W11" s="34"/>
      <c r="X11" s="34" t="s">
        <v>909</v>
      </c>
      <c r="Y11" s="34" t="s">
        <v>47</v>
      </c>
      <c r="Z11" s="34">
        <v>21421229</v>
      </c>
      <c r="AA11" s="34" t="s">
        <v>910</v>
      </c>
      <c r="AB11" s="34" t="s">
        <v>393</v>
      </c>
      <c r="AC11" s="34" t="s">
        <v>374</v>
      </c>
      <c r="AD11" s="34" t="s">
        <v>345</v>
      </c>
      <c r="AE11" s="34" t="s">
        <v>344</v>
      </c>
      <c r="AF11" s="34"/>
      <c r="AG11" s="34"/>
      <c r="AH11" s="34"/>
      <c r="AI11" s="34">
        <v>43707</v>
      </c>
      <c r="AJ11" s="34">
        <v>10</v>
      </c>
      <c r="AK11" s="34">
        <v>610</v>
      </c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 t="s">
        <v>446</v>
      </c>
      <c r="BH11" s="34"/>
      <c r="BI11" s="34" t="s">
        <v>168</v>
      </c>
      <c r="BJ11" s="34">
        <v>2020</v>
      </c>
      <c r="BK11" s="34" t="s">
        <v>0</v>
      </c>
      <c r="BL11" s="34" t="s">
        <v>186</v>
      </c>
      <c r="BM11" s="34" t="s">
        <v>166</v>
      </c>
      <c r="BN11" s="34">
        <v>43822.093682488427</v>
      </c>
      <c r="BO11" s="34"/>
      <c r="BP11" s="34" t="s">
        <v>926</v>
      </c>
      <c r="BQ11" s="34" t="s">
        <v>877</v>
      </c>
      <c r="BR11" s="34" t="s">
        <v>445</v>
      </c>
      <c r="BS11" s="34">
        <v>4.1213201916814602E+18</v>
      </c>
      <c r="BT11" s="34" t="s">
        <v>164</v>
      </c>
      <c r="BU11" s="34" t="s">
        <v>512</v>
      </c>
      <c r="BV11" s="34">
        <v>2020</v>
      </c>
      <c r="BW11" s="34" t="s">
        <v>163</v>
      </c>
      <c r="BX11" s="34"/>
      <c r="BY11" s="34">
        <v>4.1222201916823398E+18</v>
      </c>
      <c r="BZ11" s="34" t="s">
        <v>927</v>
      </c>
      <c r="CA11" s="34" t="s">
        <v>161</v>
      </c>
    </row>
    <row r="12" spans="1:79" x14ac:dyDescent="0.25">
      <c r="A12" s="34" t="s">
        <v>903</v>
      </c>
      <c r="B12" s="34" t="s">
        <v>904</v>
      </c>
      <c r="C12" s="34">
        <v>2019</v>
      </c>
      <c r="D12" s="34" t="s">
        <v>341</v>
      </c>
      <c r="E12" s="34">
        <v>2.01912129166268E+17</v>
      </c>
      <c r="F12" s="34" t="s">
        <v>450</v>
      </c>
      <c r="G12" s="34">
        <v>4222813</v>
      </c>
      <c r="H12" s="34">
        <v>1366132</v>
      </c>
      <c r="I12" s="34"/>
      <c r="J12" s="34" t="s">
        <v>180</v>
      </c>
      <c r="K12" s="34" t="s">
        <v>179</v>
      </c>
      <c r="L12" s="34" t="s">
        <v>374</v>
      </c>
      <c r="M12" s="34"/>
      <c r="N12" s="34" t="s">
        <v>905</v>
      </c>
      <c r="O12" s="34" t="s">
        <v>28</v>
      </c>
      <c r="P12" s="34"/>
      <c r="Q12" s="34" t="s">
        <v>28</v>
      </c>
      <c r="R12" s="34" t="s">
        <v>906</v>
      </c>
      <c r="S12" s="34"/>
      <c r="T12" s="34" t="s">
        <v>907</v>
      </c>
      <c r="U12" s="34"/>
      <c r="V12" s="34" t="s">
        <v>908</v>
      </c>
      <c r="W12" s="34"/>
      <c r="X12" s="34" t="s">
        <v>909</v>
      </c>
      <c r="Y12" s="34" t="s">
        <v>47</v>
      </c>
      <c r="Z12" s="34">
        <v>21421229</v>
      </c>
      <c r="AA12" s="34" t="s">
        <v>910</v>
      </c>
      <c r="AB12" s="34" t="s">
        <v>393</v>
      </c>
      <c r="AC12" s="34" t="s">
        <v>374</v>
      </c>
      <c r="AD12" s="34" t="s">
        <v>345</v>
      </c>
      <c r="AE12" s="34" t="s">
        <v>344</v>
      </c>
      <c r="AF12" s="34"/>
      <c r="AG12" s="34"/>
      <c r="AH12" s="34"/>
      <c r="AI12" s="34">
        <v>43725</v>
      </c>
      <c r="AJ12" s="34">
        <v>10</v>
      </c>
      <c r="AK12" s="34">
        <v>610</v>
      </c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 t="s">
        <v>446</v>
      </c>
      <c r="BH12" s="34"/>
      <c r="BI12" s="34" t="s">
        <v>168</v>
      </c>
      <c r="BJ12" s="34">
        <v>2020</v>
      </c>
      <c r="BK12" s="34" t="s">
        <v>0</v>
      </c>
      <c r="BL12" s="34" t="s">
        <v>186</v>
      </c>
      <c r="BM12" s="34" t="s">
        <v>166</v>
      </c>
      <c r="BN12" s="34">
        <v>43822.093682488427</v>
      </c>
      <c r="BO12" s="34"/>
      <c r="BP12" s="34" t="s">
        <v>928</v>
      </c>
      <c r="BQ12" s="34" t="s">
        <v>877</v>
      </c>
      <c r="BR12" s="34" t="s">
        <v>445</v>
      </c>
      <c r="BS12" s="34">
        <v>4.1213201916814602E+18</v>
      </c>
      <c r="BT12" s="34" t="s">
        <v>164</v>
      </c>
      <c r="BU12" s="34" t="s">
        <v>512</v>
      </c>
      <c r="BV12" s="34">
        <v>2020</v>
      </c>
      <c r="BW12" s="34" t="s">
        <v>163</v>
      </c>
      <c r="BX12" s="34"/>
      <c r="BY12" s="34">
        <v>4.1222201916823398E+18</v>
      </c>
      <c r="BZ12" s="34" t="s">
        <v>920</v>
      </c>
      <c r="CA12" s="34" t="s">
        <v>161</v>
      </c>
    </row>
    <row r="13" spans="1:79" x14ac:dyDescent="0.25">
      <c r="A13" s="34" t="s">
        <v>929</v>
      </c>
      <c r="B13" s="34" t="s">
        <v>930</v>
      </c>
      <c r="C13" s="34">
        <v>2020</v>
      </c>
      <c r="D13" s="34" t="s">
        <v>341</v>
      </c>
      <c r="E13" s="34">
        <v>2.0201015929532099E+17</v>
      </c>
      <c r="F13" s="34" t="s">
        <v>182</v>
      </c>
      <c r="G13" s="34" t="s">
        <v>931</v>
      </c>
      <c r="H13" s="34">
        <v>1452197</v>
      </c>
      <c r="I13" s="34"/>
      <c r="J13" s="34" t="s">
        <v>180</v>
      </c>
      <c r="K13" s="34" t="s">
        <v>179</v>
      </c>
      <c r="L13" s="34" t="s">
        <v>374</v>
      </c>
      <c r="M13" s="34"/>
      <c r="N13" s="34" t="s">
        <v>905</v>
      </c>
      <c r="O13" s="34" t="s">
        <v>39</v>
      </c>
      <c r="P13" s="34"/>
      <c r="Q13" s="34" t="s">
        <v>28</v>
      </c>
      <c r="R13" s="34" t="s">
        <v>906</v>
      </c>
      <c r="S13" s="34"/>
      <c r="T13" s="34" t="s">
        <v>907</v>
      </c>
      <c r="U13" s="34"/>
      <c r="V13" s="34" t="s">
        <v>908</v>
      </c>
      <c r="W13" s="34"/>
      <c r="X13" s="34" t="s">
        <v>909</v>
      </c>
      <c r="Y13" s="34" t="s">
        <v>47</v>
      </c>
      <c r="Z13" s="34">
        <v>21421229</v>
      </c>
      <c r="AA13" s="34" t="s">
        <v>393</v>
      </c>
      <c r="AB13" s="34" t="s">
        <v>393</v>
      </c>
      <c r="AC13" s="34" t="s">
        <v>374</v>
      </c>
      <c r="AD13" s="34" t="s">
        <v>345</v>
      </c>
      <c r="AE13" s="34" t="s">
        <v>344</v>
      </c>
      <c r="AF13" s="34"/>
      <c r="AG13" s="34"/>
      <c r="AH13" s="34"/>
      <c r="AI13" s="34">
        <v>44077</v>
      </c>
      <c r="AJ13" s="34">
        <v>50</v>
      </c>
      <c r="AK13" s="34">
        <v>225</v>
      </c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 t="s">
        <v>932</v>
      </c>
      <c r="BH13" s="34" t="s">
        <v>933</v>
      </c>
      <c r="BI13" s="34" t="s">
        <v>933</v>
      </c>
      <c r="BJ13" s="34">
        <v>2024</v>
      </c>
      <c r="BK13" s="34" t="s">
        <v>50</v>
      </c>
      <c r="BL13" s="34" t="s">
        <v>167</v>
      </c>
      <c r="BM13" s="34" t="s">
        <v>166</v>
      </c>
      <c r="BN13" s="34">
        <v>44143.152137256948</v>
      </c>
      <c r="BO13" s="34"/>
      <c r="BP13" s="34" t="s">
        <v>934</v>
      </c>
      <c r="BQ13" s="34" t="s">
        <v>419</v>
      </c>
      <c r="BR13" s="34" t="s">
        <v>513</v>
      </c>
      <c r="BS13" s="34">
        <v>4.1016202018585702E+18</v>
      </c>
      <c r="BT13" s="34" t="s">
        <v>164</v>
      </c>
      <c r="BU13" s="34" t="s">
        <v>512</v>
      </c>
      <c r="BV13" s="34">
        <v>2020</v>
      </c>
      <c r="BW13" s="34" t="s">
        <v>163</v>
      </c>
      <c r="BX13" s="34"/>
      <c r="BY13" s="34">
        <v>4.1108202018930202E+18</v>
      </c>
      <c r="BZ13" s="34" t="s">
        <v>935</v>
      </c>
      <c r="CA13" s="34" t="s">
        <v>161</v>
      </c>
    </row>
    <row r="14" spans="1:79" x14ac:dyDescent="0.25">
      <c r="A14" s="34" t="s">
        <v>929</v>
      </c>
      <c r="B14" s="34" t="s">
        <v>930</v>
      </c>
      <c r="C14" s="34">
        <v>2020</v>
      </c>
      <c r="D14" s="34" t="s">
        <v>341</v>
      </c>
      <c r="E14" s="34">
        <v>2.0201015929532E+17</v>
      </c>
      <c r="F14" s="34" t="s">
        <v>182</v>
      </c>
      <c r="G14" s="34" t="s">
        <v>936</v>
      </c>
      <c r="H14" s="34">
        <v>1452197</v>
      </c>
      <c r="I14" s="34"/>
      <c r="J14" s="34" t="s">
        <v>180</v>
      </c>
      <c r="K14" s="34" t="s">
        <v>179</v>
      </c>
      <c r="L14" s="34" t="s">
        <v>374</v>
      </c>
      <c r="M14" s="34"/>
      <c r="N14" s="34" t="s">
        <v>905</v>
      </c>
      <c r="O14" s="34" t="s">
        <v>39</v>
      </c>
      <c r="P14" s="34"/>
      <c r="Q14" s="34" t="s">
        <v>28</v>
      </c>
      <c r="R14" s="34" t="s">
        <v>906</v>
      </c>
      <c r="S14" s="34"/>
      <c r="T14" s="34" t="s">
        <v>907</v>
      </c>
      <c r="U14" s="34"/>
      <c r="V14" s="34" t="s">
        <v>908</v>
      </c>
      <c r="W14" s="34"/>
      <c r="X14" s="34" t="s">
        <v>909</v>
      </c>
      <c r="Y14" s="34" t="s">
        <v>47</v>
      </c>
      <c r="Z14" s="34">
        <v>21421229</v>
      </c>
      <c r="AA14" s="34" t="s">
        <v>393</v>
      </c>
      <c r="AB14" s="34" t="s">
        <v>393</v>
      </c>
      <c r="AC14" s="34" t="s">
        <v>374</v>
      </c>
      <c r="AD14" s="34" t="s">
        <v>345</v>
      </c>
      <c r="AE14" s="34" t="s">
        <v>344</v>
      </c>
      <c r="AF14" s="34"/>
      <c r="AG14" s="34"/>
      <c r="AH14" s="34"/>
      <c r="AI14" s="34">
        <v>44103</v>
      </c>
      <c r="AJ14" s="34">
        <v>25</v>
      </c>
      <c r="AK14" s="34">
        <v>250</v>
      </c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 t="s">
        <v>932</v>
      </c>
      <c r="BH14" s="34" t="s">
        <v>933</v>
      </c>
      <c r="BI14" s="34" t="s">
        <v>933</v>
      </c>
      <c r="BJ14" s="34">
        <v>2024</v>
      </c>
      <c r="BK14" s="34" t="s">
        <v>50</v>
      </c>
      <c r="BL14" s="34" t="s">
        <v>167</v>
      </c>
      <c r="BM14" s="34" t="s">
        <v>166</v>
      </c>
      <c r="BN14" s="34">
        <v>44143.152111863426</v>
      </c>
      <c r="BO14" s="34"/>
      <c r="BP14" s="34" t="s">
        <v>937</v>
      </c>
      <c r="BQ14" s="34" t="s">
        <v>419</v>
      </c>
      <c r="BR14" s="34" t="s">
        <v>513</v>
      </c>
      <c r="BS14" s="34">
        <v>4.1016202018585702E+18</v>
      </c>
      <c r="BT14" s="34" t="s">
        <v>164</v>
      </c>
      <c r="BU14" s="34" t="s">
        <v>512</v>
      </c>
      <c r="BV14" s="34">
        <v>2020</v>
      </c>
      <c r="BW14" s="34" t="s">
        <v>163</v>
      </c>
      <c r="BX14" s="34"/>
      <c r="BY14" s="34">
        <v>4.1108202018930202E+18</v>
      </c>
      <c r="BZ14" s="34" t="s">
        <v>938</v>
      </c>
      <c r="CA14" s="34" t="s">
        <v>161</v>
      </c>
    </row>
    <row r="15" spans="1:79" x14ac:dyDescent="0.25">
      <c r="A15" s="34" t="s">
        <v>939</v>
      </c>
      <c r="B15" s="34" t="s">
        <v>940</v>
      </c>
      <c r="C15" s="34">
        <v>2019</v>
      </c>
      <c r="D15" s="34" t="s">
        <v>197</v>
      </c>
      <c r="E15" s="34">
        <v>2.0190809916275901E+17</v>
      </c>
      <c r="F15" s="34" t="s">
        <v>182</v>
      </c>
      <c r="G15" s="34" t="s">
        <v>941</v>
      </c>
      <c r="H15" s="34">
        <v>1347375</v>
      </c>
      <c r="I15" s="34"/>
      <c r="J15" s="34" t="s">
        <v>180</v>
      </c>
      <c r="K15" s="34" t="s">
        <v>179</v>
      </c>
      <c r="L15" s="34"/>
      <c r="M15" s="34"/>
      <c r="N15" s="34" t="s">
        <v>905</v>
      </c>
      <c r="O15" s="34" t="s">
        <v>0</v>
      </c>
      <c r="P15" s="34"/>
      <c r="Q15" s="34" t="s">
        <v>296</v>
      </c>
      <c r="R15" s="34" t="s">
        <v>906</v>
      </c>
      <c r="S15" s="34"/>
      <c r="T15" s="34" t="s">
        <v>907</v>
      </c>
      <c r="U15" s="34"/>
      <c r="V15" s="34" t="s">
        <v>942</v>
      </c>
      <c r="W15" s="34"/>
      <c r="X15" s="34" t="s">
        <v>909</v>
      </c>
      <c r="Y15" s="34" t="s">
        <v>47</v>
      </c>
      <c r="Z15" s="34">
        <v>2142</v>
      </c>
      <c r="AA15" s="34" t="s">
        <v>290</v>
      </c>
      <c r="AB15" s="34" t="s">
        <v>290</v>
      </c>
      <c r="AC15" s="34"/>
      <c r="AD15" s="34"/>
      <c r="AE15" s="34"/>
      <c r="AF15" s="34" t="s">
        <v>943</v>
      </c>
      <c r="AG15" s="34"/>
      <c r="AH15" s="34"/>
      <c r="AI15" s="34">
        <v>43516</v>
      </c>
      <c r="AJ15" s="34">
        <v>17.36</v>
      </c>
      <c r="AK15" s="34">
        <v>19.190000000000001</v>
      </c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 t="s">
        <v>944</v>
      </c>
      <c r="BH15" s="34" t="s">
        <v>945</v>
      </c>
      <c r="BI15" s="34"/>
      <c r="BJ15" s="34">
        <v>2019</v>
      </c>
      <c r="BK15" s="34" t="s">
        <v>50</v>
      </c>
      <c r="BL15" s="34" t="s">
        <v>167</v>
      </c>
      <c r="BM15" s="34" t="s">
        <v>166</v>
      </c>
      <c r="BN15" s="34">
        <v>43701.114174224538</v>
      </c>
      <c r="BO15" s="34"/>
      <c r="BP15" s="34"/>
      <c r="BQ15" s="34"/>
      <c r="BR15" s="34" t="s">
        <v>165</v>
      </c>
      <c r="BS15" s="34">
        <v>4.0811201916632699E+18</v>
      </c>
      <c r="BT15" s="34" t="s">
        <v>164</v>
      </c>
      <c r="BU15" s="34"/>
      <c r="BV15" s="34">
        <v>2020</v>
      </c>
      <c r="BW15" s="34" t="s">
        <v>163</v>
      </c>
      <c r="BX15" s="34"/>
      <c r="BY15" s="34">
        <v>4.0823201916719898E+18</v>
      </c>
      <c r="BZ15" s="34" t="s">
        <v>946</v>
      </c>
      <c r="CA15" s="34" t="s">
        <v>161</v>
      </c>
    </row>
    <row r="16" spans="1:79" x14ac:dyDescent="0.25">
      <c r="A16" s="34" t="s">
        <v>939</v>
      </c>
      <c r="B16" s="34" t="s">
        <v>940</v>
      </c>
      <c r="C16" s="34">
        <v>2019</v>
      </c>
      <c r="D16" s="34" t="s">
        <v>197</v>
      </c>
      <c r="E16" s="34">
        <v>2.0190809916275901E+17</v>
      </c>
      <c r="F16" s="34" t="s">
        <v>182</v>
      </c>
      <c r="G16" s="34" t="s">
        <v>947</v>
      </c>
      <c r="H16" s="34">
        <v>1347375</v>
      </c>
      <c r="I16" s="34"/>
      <c r="J16" s="34" t="s">
        <v>180</v>
      </c>
      <c r="K16" s="34" t="s">
        <v>179</v>
      </c>
      <c r="L16" s="34"/>
      <c r="M16" s="34"/>
      <c r="N16" s="34" t="s">
        <v>905</v>
      </c>
      <c r="O16" s="34" t="s">
        <v>0</v>
      </c>
      <c r="P16" s="34"/>
      <c r="Q16" s="34" t="s">
        <v>296</v>
      </c>
      <c r="R16" s="34" t="s">
        <v>906</v>
      </c>
      <c r="S16" s="34"/>
      <c r="T16" s="34" t="s">
        <v>907</v>
      </c>
      <c r="U16" s="34"/>
      <c r="V16" s="34" t="s">
        <v>942</v>
      </c>
      <c r="W16" s="34"/>
      <c r="X16" s="34" t="s">
        <v>909</v>
      </c>
      <c r="Y16" s="34" t="s">
        <v>47</v>
      </c>
      <c r="Z16" s="34">
        <v>2142</v>
      </c>
      <c r="AA16" s="34" t="s">
        <v>290</v>
      </c>
      <c r="AB16" s="34" t="s">
        <v>290</v>
      </c>
      <c r="AC16" s="34"/>
      <c r="AD16" s="34"/>
      <c r="AE16" s="34"/>
      <c r="AF16" s="34"/>
      <c r="AG16" s="34"/>
      <c r="AH16" s="34"/>
      <c r="AI16" s="34">
        <v>43516</v>
      </c>
      <c r="AJ16" s="34">
        <v>1.83</v>
      </c>
      <c r="AK16" s="34">
        <v>19.190000000000001</v>
      </c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 t="s">
        <v>944</v>
      </c>
      <c r="BH16" s="34" t="s">
        <v>945</v>
      </c>
      <c r="BI16" s="34"/>
      <c r="BJ16" s="34">
        <v>2019</v>
      </c>
      <c r="BK16" s="34" t="s">
        <v>50</v>
      </c>
      <c r="BL16" s="34" t="s">
        <v>167</v>
      </c>
      <c r="BM16" s="34" t="s">
        <v>166</v>
      </c>
      <c r="BN16" s="34">
        <v>43701.114174224538</v>
      </c>
      <c r="BO16" s="34"/>
      <c r="BP16" s="34"/>
      <c r="BQ16" s="34"/>
      <c r="BR16" s="34" t="s">
        <v>165</v>
      </c>
      <c r="BS16" s="34">
        <v>4.0811201916632699E+18</v>
      </c>
      <c r="BT16" s="34" t="s">
        <v>164</v>
      </c>
      <c r="BU16" s="34"/>
      <c r="BV16" s="34">
        <v>2020</v>
      </c>
      <c r="BW16" s="34" t="s">
        <v>163</v>
      </c>
      <c r="BX16" s="34"/>
      <c r="BY16" s="34">
        <v>4.0823201916719898E+18</v>
      </c>
      <c r="BZ16" s="34" t="s">
        <v>946</v>
      </c>
      <c r="CA16" s="34" t="s">
        <v>161</v>
      </c>
    </row>
    <row r="17" spans="1:79" x14ac:dyDescent="0.25">
      <c r="A17" s="34" t="s">
        <v>374</v>
      </c>
      <c r="B17" s="34" t="s">
        <v>287</v>
      </c>
      <c r="C17" s="34">
        <v>2019</v>
      </c>
      <c r="D17" s="34" t="s">
        <v>852</v>
      </c>
      <c r="E17" s="34">
        <v>2.0190729915684998E+17</v>
      </c>
      <c r="F17" s="34" t="s">
        <v>182</v>
      </c>
      <c r="G17" s="34" t="s">
        <v>948</v>
      </c>
      <c r="H17" s="34">
        <v>1344765</v>
      </c>
      <c r="I17" s="34"/>
      <c r="J17" s="34" t="s">
        <v>180</v>
      </c>
      <c r="K17" s="34" t="s">
        <v>179</v>
      </c>
      <c r="L17" s="34"/>
      <c r="M17" s="34"/>
      <c r="N17" s="34" t="s">
        <v>905</v>
      </c>
      <c r="O17" s="34" t="s">
        <v>850</v>
      </c>
      <c r="P17" s="34"/>
      <c r="Q17" s="34" t="s">
        <v>296</v>
      </c>
      <c r="R17" s="34" t="s">
        <v>906</v>
      </c>
      <c r="S17" s="34"/>
      <c r="T17" s="34" t="s">
        <v>907</v>
      </c>
      <c r="U17" s="34"/>
      <c r="V17" s="34" t="s">
        <v>949</v>
      </c>
      <c r="W17" s="34"/>
      <c r="X17" s="34" t="s">
        <v>909</v>
      </c>
      <c r="Y17" s="34" t="s">
        <v>47</v>
      </c>
      <c r="Z17" s="34">
        <v>2142</v>
      </c>
      <c r="AA17" s="34" t="s">
        <v>393</v>
      </c>
      <c r="AB17" s="34" t="s">
        <v>393</v>
      </c>
      <c r="AC17" s="34"/>
      <c r="AD17" s="34"/>
      <c r="AE17" s="34"/>
      <c r="AF17" s="34" t="s">
        <v>364</v>
      </c>
      <c r="AG17" s="34"/>
      <c r="AH17" s="34"/>
      <c r="AI17" s="34">
        <v>43487</v>
      </c>
      <c r="AJ17" s="34">
        <v>2.5</v>
      </c>
      <c r="AK17" s="34">
        <v>69.3</v>
      </c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 t="s">
        <v>50</v>
      </c>
      <c r="BL17" s="34" t="s">
        <v>167</v>
      </c>
      <c r="BM17" s="34" t="s">
        <v>166</v>
      </c>
      <c r="BN17" s="34">
        <v>43706.652156932869</v>
      </c>
      <c r="BO17" s="34"/>
      <c r="BP17" s="34"/>
      <c r="BQ17" s="34"/>
      <c r="BR17" s="34" t="s">
        <v>165</v>
      </c>
      <c r="BS17" s="34">
        <v>4.0801201916624399E+18</v>
      </c>
      <c r="BT17" s="34" t="s">
        <v>164</v>
      </c>
      <c r="BU17" s="34" t="s">
        <v>362</v>
      </c>
      <c r="BV17" s="34">
        <v>2020</v>
      </c>
      <c r="BW17" s="34" t="s">
        <v>163</v>
      </c>
      <c r="BX17" s="34"/>
      <c r="BY17" s="34">
        <v>4.08282019112463E+18</v>
      </c>
      <c r="BZ17" s="34" t="s">
        <v>950</v>
      </c>
      <c r="CA17" s="34" t="s">
        <v>161</v>
      </c>
    </row>
    <row r="18" spans="1:79" x14ac:dyDescent="0.25">
      <c r="A18" s="34" t="s">
        <v>374</v>
      </c>
      <c r="B18" s="34" t="s">
        <v>287</v>
      </c>
      <c r="C18" s="34">
        <v>2019</v>
      </c>
      <c r="D18" s="34" t="s">
        <v>852</v>
      </c>
      <c r="E18" s="34">
        <v>2.0190729915684998E+17</v>
      </c>
      <c r="F18" s="34" t="s">
        <v>182</v>
      </c>
      <c r="G18" s="34" t="s">
        <v>951</v>
      </c>
      <c r="H18" s="34">
        <v>1344765</v>
      </c>
      <c r="I18" s="34"/>
      <c r="J18" s="34" t="s">
        <v>180</v>
      </c>
      <c r="K18" s="34" t="s">
        <v>179</v>
      </c>
      <c r="L18" s="34"/>
      <c r="M18" s="34"/>
      <c r="N18" s="34" t="s">
        <v>905</v>
      </c>
      <c r="O18" s="34" t="s">
        <v>850</v>
      </c>
      <c r="P18" s="34"/>
      <c r="Q18" s="34" t="s">
        <v>296</v>
      </c>
      <c r="R18" s="34" t="s">
        <v>906</v>
      </c>
      <c r="S18" s="34"/>
      <c r="T18" s="34" t="s">
        <v>907</v>
      </c>
      <c r="U18" s="34"/>
      <c r="V18" s="34" t="s">
        <v>949</v>
      </c>
      <c r="W18" s="34"/>
      <c r="X18" s="34" t="s">
        <v>909</v>
      </c>
      <c r="Y18" s="34" t="s">
        <v>47</v>
      </c>
      <c r="Z18" s="34">
        <v>2142</v>
      </c>
      <c r="AA18" s="34" t="s">
        <v>393</v>
      </c>
      <c r="AB18" s="34" t="s">
        <v>393</v>
      </c>
      <c r="AC18" s="34"/>
      <c r="AD18" s="34"/>
      <c r="AE18" s="34"/>
      <c r="AF18" s="34" t="s">
        <v>377</v>
      </c>
      <c r="AG18" s="34"/>
      <c r="AH18" s="34"/>
      <c r="AI18" s="34">
        <v>43487</v>
      </c>
      <c r="AJ18" s="34">
        <v>25</v>
      </c>
      <c r="AK18" s="34">
        <v>75</v>
      </c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 t="s">
        <v>50</v>
      </c>
      <c r="BL18" s="34" t="s">
        <v>167</v>
      </c>
      <c r="BM18" s="34" t="s">
        <v>166</v>
      </c>
      <c r="BN18" s="34">
        <v>43706.652156932869</v>
      </c>
      <c r="BO18" s="34"/>
      <c r="BP18" s="34"/>
      <c r="BQ18" s="34"/>
      <c r="BR18" s="34" t="s">
        <v>165</v>
      </c>
      <c r="BS18" s="34">
        <v>4.0801201916624399E+18</v>
      </c>
      <c r="BT18" s="34" t="s">
        <v>164</v>
      </c>
      <c r="BU18" s="34" t="s">
        <v>952</v>
      </c>
      <c r="BV18" s="34">
        <v>2020</v>
      </c>
      <c r="BW18" s="34" t="s">
        <v>163</v>
      </c>
      <c r="BX18" s="34"/>
      <c r="BY18" s="34">
        <v>4.08282019112463E+18</v>
      </c>
      <c r="BZ18" s="34" t="s">
        <v>953</v>
      </c>
      <c r="CA18" s="34" t="s">
        <v>161</v>
      </c>
    </row>
    <row r="19" spans="1:79" x14ac:dyDescent="0.25">
      <c r="A19" s="34" t="s">
        <v>374</v>
      </c>
      <c r="B19" s="34" t="s">
        <v>287</v>
      </c>
      <c r="C19" s="34">
        <v>2019</v>
      </c>
      <c r="D19" s="34" t="s">
        <v>852</v>
      </c>
      <c r="E19" s="34">
        <v>2.0190729915684998E+17</v>
      </c>
      <c r="F19" s="34" t="s">
        <v>182</v>
      </c>
      <c r="G19" s="34" t="s">
        <v>954</v>
      </c>
      <c r="H19" s="34">
        <v>1344765</v>
      </c>
      <c r="I19" s="34"/>
      <c r="J19" s="34" t="s">
        <v>180</v>
      </c>
      <c r="K19" s="34" t="s">
        <v>179</v>
      </c>
      <c r="L19" s="34"/>
      <c r="M19" s="34"/>
      <c r="N19" s="34" t="s">
        <v>905</v>
      </c>
      <c r="O19" s="34" t="s">
        <v>850</v>
      </c>
      <c r="P19" s="34"/>
      <c r="Q19" s="34" t="s">
        <v>296</v>
      </c>
      <c r="R19" s="34" t="s">
        <v>906</v>
      </c>
      <c r="S19" s="34"/>
      <c r="T19" s="34" t="s">
        <v>907</v>
      </c>
      <c r="U19" s="34"/>
      <c r="V19" s="34" t="s">
        <v>949</v>
      </c>
      <c r="W19" s="34"/>
      <c r="X19" s="34" t="s">
        <v>909</v>
      </c>
      <c r="Y19" s="34" t="s">
        <v>47</v>
      </c>
      <c r="Z19" s="34">
        <v>2142</v>
      </c>
      <c r="AA19" s="34" t="s">
        <v>393</v>
      </c>
      <c r="AB19" s="34" t="s">
        <v>393</v>
      </c>
      <c r="AC19" s="34"/>
      <c r="AD19" s="34"/>
      <c r="AE19" s="34"/>
      <c r="AF19" s="34" t="s">
        <v>364</v>
      </c>
      <c r="AG19" s="34"/>
      <c r="AH19" s="34"/>
      <c r="AI19" s="34">
        <v>43502</v>
      </c>
      <c r="AJ19" s="34">
        <v>5</v>
      </c>
      <c r="AK19" s="34">
        <v>69.3</v>
      </c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 t="s">
        <v>50</v>
      </c>
      <c r="BL19" s="34" t="s">
        <v>167</v>
      </c>
      <c r="BM19" s="34" t="s">
        <v>166</v>
      </c>
      <c r="BN19" s="34">
        <v>43706.652188263892</v>
      </c>
      <c r="BO19" s="34"/>
      <c r="BP19" s="34"/>
      <c r="BQ19" s="34"/>
      <c r="BR19" s="34" t="s">
        <v>165</v>
      </c>
      <c r="BS19" s="34">
        <v>4.0801201916624399E+18</v>
      </c>
      <c r="BT19" s="34" t="s">
        <v>164</v>
      </c>
      <c r="BU19" s="34" t="s">
        <v>362</v>
      </c>
      <c r="BV19" s="34">
        <v>2020</v>
      </c>
      <c r="BW19" s="34" t="s">
        <v>163</v>
      </c>
      <c r="BX19" s="34"/>
      <c r="BY19" s="34">
        <v>4.08282019112463E+18</v>
      </c>
      <c r="BZ19" s="34" t="s">
        <v>955</v>
      </c>
      <c r="CA19" s="34" t="s">
        <v>161</v>
      </c>
    </row>
    <row r="20" spans="1:79" x14ac:dyDescent="0.25">
      <c r="A20" s="34" t="s">
        <v>374</v>
      </c>
      <c r="B20" s="34" t="s">
        <v>287</v>
      </c>
      <c r="C20" s="34">
        <v>2019</v>
      </c>
      <c r="D20" s="34" t="s">
        <v>852</v>
      </c>
      <c r="E20" s="34">
        <v>2.0190729915684998E+17</v>
      </c>
      <c r="F20" s="34" t="s">
        <v>182</v>
      </c>
      <c r="G20" s="34" t="s">
        <v>956</v>
      </c>
      <c r="H20" s="34">
        <v>1344765</v>
      </c>
      <c r="I20" s="34"/>
      <c r="J20" s="34" t="s">
        <v>180</v>
      </c>
      <c r="K20" s="34" t="s">
        <v>179</v>
      </c>
      <c r="L20" s="34"/>
      <c r="M20" s="34"/>
      <c r="N20" s="34" t="s">
        <v>905</v>
      </c>
      <c r="O20" s="34" t="s">
        <v>850</v>
      </c>
      <c r="P20" s="34"/>
      <c r="Q20" s="34" t="s">
        <v>296</v>
      </c>
      <c r="R20" s="34" t="s">
        <v>906</v>
      </c>
      <c r="S20" s="34"/>
      <c r="T20" s="34" t="s">
        <v>907</v>
      </c>
      <c r="U20" s="34"/>
      <c r="V20" s="34" t="s">
        <v>949</v>
      </c>
      <c r="W20" s="34"/>
      <c r="X20" s="34" t="s">
        <v>909</v>
      </c>
      <c r="Y20" s="34" t="s">
        <v>47</v>
      </c>
      <c r="Z20" s="34">
        <v>2142</v>
      </c>
      <c r="AA20" s="34" t="s">
        <v>393</v>
      </c>
      <c r="AB20" s="34" t="s">
        <v>393</v>
      </c>
      <c r="AC20" s="34"/>
      <c r="AD20" s="34"/>
      <c r="AE20" s="34"/>
      <c r="AF20" s="34" t="s">
        <v>377</v>
      </c>
      <c r="AG20" s="34"/>
      <c r="AH20" s="34"/>
      <c r="AI20" s="34">
        <v>43502</v>
      </c>
      <c r="AJ20" s="34">
        <v>25</v>
      </c>
      <c r="AK20" s="34">
        <v>183</v>
      </c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 t="s">
        <v>50</v>
      </c>
      <c r="BL20" s="34" t="s">
        <v>167</v>
      </c>
      <c r="BM20" s="34" t="s">
        <v>166</v>
      </c>
      <c r="BN20" s="34">
        <v>43706.652188263892</v>
      </c>
      <c r="BO20" s="34"/>
      <c r="BP20" s="34"/>
      <c r="BQ20" s="34"/>
      <c r="BR20" s="34" t="s">
        <v>165</v>
      </c>
      <c r="BS20" s="34">
        <v>4.0801201916624399E+18</v>
      </c>
      <c r="BT20" s="34" t="s">
        <v>164</v>
      </c>
      <c r="BU20" s="34" t="s">
        <v>957</v>
      </c>
      <c r="BV20" s="34">
        <v>2020</v>
      </c>
      <c r="BW20" s="34" t="s">
        <v>163</v>
      </c>
      <c r="BX20" s="34"/>
      <c r="BY20" s="34">
        <v>4.08282019112463E+18</v>
      </c>
      <c r="BZ20" s="34" t="s">
        <v>955</v>
      </c>
      <c r="CA20" s="34" t="s">
        <v>161</v>
      </c>
    </row>
    <row r="21" spans="1:79" x14ac:dyDescent="0.25">
      <c r="A21" s="34" t="s">
        <v>374</v>
      </c>
      <c r="B21" s="34" t="s">
        <v>287</v>
      </c>
      <c r="C21" s="34">
        <v>2019</v>
      </c>
      <c r="D21" s="34" t="s">
        <v>852</v>
      </c>
      <c r="E21" s="34">
        <v>2.0190729915684998E+17</v>
      </c>
      <c r="F21" s="34" t="s">
        <v>182</v>
      </c>
      <c r="G21" s="34" t="s">
        <v>958</v>
      </c>
      <c r="H21" s="34">
        <v>1344765</v>
      </c>
      <c r="I21" s="34"/>
      <c r="J21" s="34" t="s">
        <v>180</v>
      </c>
      <c r="K21" s="34" t="s">
        <v>179</v>
      </c>
      <c r="L21" s="34"/>
      <c r="M21" s="34"/>
      <c r="N21" s="34" t="s">
        <v>905</v>
      </c>
      <c r="O21" s="34" t="s">
        <v>850</v>
      </c>
      <c r="P21" s="34"/>
      <c r="Q21" s="34" t="s">
        <v>296</v>
      </c>
      <c r="R21" s="34" t="s">
        <v>906</v>
      </c>
      <c r="S21" s="34"/>
      <c r="T21" s="34" t="s">
        <v>907</v>
      </c>
      <c r="U21" s="34"/>
      <c r="V21" s="34" t="s">
        <v>949</v>
      </c>
      <c r="W21" s="34"/>
      <c r="X21" s="34" t="s">
        <v>909</v>
      </c>
      <c r="Y21" s="34" t="s">
        <v>47</v>
      </c>
      <c r="Z21" s="34">
        <v>2142</v>
      </c>
      <c r="AA21" s="34" t="s">
        <v>393</v>
      </c>
      <c r="AB21" s="34" t="s">
        <v>393</v>
      </c>
      <c r="AC21" s="34"/>
      <c r="AD21" s="34"/>
      <c r="AE21" s="34"/>
      <c r="AF21" s="34" t="s">
        <v>364</v>
      </c>
      <c r="AG21" s="34"/>
      <c r="AH21" s="34"/>
      <c r="AI21" s="34">
        <v>43510</v>
      </c>
      <c r="AJ21" s="34">
        <v>2.5</v>
      </c>
      <c r="AK21" s="34">
        <v>69.3</v>
      </c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 t="s">
        <v>50</v>
      </c>
      <c r="BL21" s="34" t="s">
        <v>167</v>
      </c>
      <c r="BM21" s="34" t="s">
        <v>166</v>
      </c>
      <c r="BN21" s="34">
        <v>43706.652188275461</v>
      </c>
      <c r="BO21" s="34"/>
      <c r="BP21" s="34"/>
      <c r="BQ21" s="34"/>
      <c r="BR21" s="34" t="s">
        <v>165</v>
      </c>
      <c r="BS21" s="34">
        <v>4.0801201916624399E+18</v>
      </c>
      <c r="BT21" s="34" t="s">
        <v>164</v>
      </c>
      <c r="BU21" s="34" t="s">
        <v>362</v>
      </c>
      <c r="BV21" s="34">
        <v>2020</v>
      </c>
      <c r="BW21" s="34" t="s">
        <v>163</v>
      </c>
      <c r="BX21" s="34"/>
      <c r="BY21" s="34">
        <v>4.08282019112463E+18</v>
      </c>
      <c r="BZ21" s="34" t="s">
        <v>959</v>
      </c>
      <c r="CA21" s="34" t="s">
        <v>161</v>
      </c>
    </row>
    <row r="22" spans="1:79" x14ac:dyDescent="0.25">
      <c r="A22" s="34" t="s">
        <v>374</v>
      </c>
      <c r="B22" s="34" t="s">
        <v>287</v>
      </c>
      <c r="C22" s="34">
        <v>2019</v>
      </c>
      <c r="D22" s="34" t="s">
        <v>852</v>
      </c>
      <c r="E22" s="34">
        <v>2.0190729915684998E+17</v>
      </c>
      <c r="F22" s="34" t="s">
        <v>182</v>
      </c>
      <c r="G22" s="34" t="s">
        <v>960</v>
      </c>
      <c r="H22" s="34">
        <v>1344765</v>
      </c>
      <c r="I22" s="34"/>
      <c r="J22" s="34" t="s">
        <v>180</v>
      </c>
      <c r="K22" s="34" t="s">
        <v>179</v>
      </c>
      <c r="L22" s="34"/>
      <c r="M22" s="34"/>
      <c r="N22" s="34" t="s">
        <v>905</v>
      </c>
      <c r="O22" s="34" t="s">
        <v>850</v>
      </c>
      <c r="P22" s="34"/>
      <c r="Q22" s="34" t="s">
        <v>296</v>
      </c>
      <c r="R22" s="34" t="s">
        <v>906</v>
      </c>
      <c r="S22" s="34"/>
      <c r="T22" s="34" t="s">
        <v>907</v>
      </c>
      <c r="U22" s="34"/>
      <c r="V22" s="34" t="s">
        <v>949</v>
      </c>
      <c r="W22" s="34"/>
      <c r="X22" s="34" t="s">
        <v>909</v>
      </c>
      <c r="Y22" s="34" t="s">
        <v>47</v>
      </c>
      <c r="Z22" s="34">
        <v>2142</v>
      </c>
      <c r="AA22" s="34" t="s">
        <v>393</v>
      </c>
      <c r="AB22" s="34" t="s">
        <v>393</v>
      </c>
      <c r="AC22" s="34"/>
      <c r="AD22" s="34"/>
      <c r="AE22" s="34"/>
      <c r="AF22" s="34" t="s">
        <v>377</v>
      </c>
      <c r="AG22" s="34"/>
      <c r="AH22" s="34"/>
      <c r="AI22" s="34">
        <v>43502</v>
      </c>
      <c r="AJ22" s="34">
        <v>25</v>
      </c>
      <c r="AK22" s="34">
        <v>50</v>
      </c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 t="s">
        <v>50</v>
      </c>
      <c r="BL22" s="34" t="s">
        <v>167</v>
      </c>
      <c r="BM22" s="34" t="s">
        <v>166</v>
      </c>
      <c r="BN22" s="34">
        <v>43706.652188275461</v>
      </c>
      <c r="BO22" s="34"/>
      <c r="BP22" s="34"/>
      <c r="BQ22" s="34"/>
      <c r="BR22" s="34" t="s">
        <v>165</v>
      </c>
      <c r="BS22" s="34">
        <v>4.0801201916624399E+18</v>
      </c>
      <c r="BT22" s="34" t="s">
        <v>164</v>
      </c>
      <c r="BU22" s="34" t="s">
        <v>961</v>
      </c>
      <c r="BV22" s="34">
        <v>2020</v>
      </c>
      <c r="BW22" s="34" t="s">
        <v>163</v>
      </c>
      <c r="BX22" s="34"/>
      <c r="BY22" s="34">
        <v>4.08282019112463E+18</v>
      </c>
      <c r="BZ22" s="34" t="s">
        <v>962</v>
      </c>
      <c r="CA22" s="34" t="s">
        <v>161</v>
      </c>
    </row>
    <row r="23" spans="1:79" x14ac:dyDescent="0.25">
      <c r="A23" s="34" t="s">
        <v>374</v>
      </c>
      <c r="B23" s="34" t="s">
        <v>287</v>
      </c>
      <c r="C23" s="34">
        <v>2019</v>
      </c>
      <c r="D23" s="34" t="s">
        <v>852</v>
      </c>
      <c r="E23" s="34">
        <v>2.0190729915684998E+17</v>
      </c>
      <c r="F23" s="34" t="s">
        <v>182</v>
      </c>
      <c r="G23" s="34" t="s">
        <v>963</v>
      </c>
      <c r="H23" s="34">
        <v>1344765</v>
      </c>
      <c r="I23" s="34"/>
      <c r="J23" s="34" t="s">
        <v>180</v>
      </c>
      <c r="K23" s="34" t="s">
        <v>179</v>
      </c>
      <c r="L23" s="34"/>
      <c r="M23" s="34"/>
      <c r="N23" s="34" t="s">
        <v>905</v>
      </c>
      <c r="O23" s="34" t="s">
        <v>850</v>
      </c>
      <c r="P23" s="34"/>
      <c r="Q23" s="34" t="s">
        <v>296</v>
      </c>
      <c r="R23" s="34" t="s">
        <v>906</v>
      </c>
      <c r="S23" s="34"/>
      <c r="T23" s="34" t="s">
        <v>907</v>
      </c>
      <c r="U23" s="34"/>
      <c r="V23" s="34" t="s">
        <v>949</v>
      </c>
      <c r="W23" s="34"/>
      <c r="X23" s="34" t="s">
        <v>909</v>
      </c>
      <c r="Y23" s="34" t="s">
        <v>47</v>
      </c>
      <c r="Z23" s="34">
        <v>2142</v>
      </c>
      <c r="AA23" s="34" t="s">
        <v>393</v>
      </c>
      <c r="AB23" s="34" t="s">
        <v>393</v>
      </c>
      <c r="AC23" s="34"/>
      <c r="AD23" s="34"/>
      <c r="AE23" s="34"/>
      <c r="AF23" s="34" t="s">
        <v>364</v>
      </c>
      <c r="AG23" s="34"/>
      <c r="AH23" s="34"/>
      <c r="AI23" s="34">
        <v>43551</v>
      </c>
      <c r="AJ23" s="34">
        <v>2.7</v>
      </c>
      <c r="AK23" s="34">
        <v>69.3</v>
      </c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 t="s">
        <v>50</v>
      </c>
      <c r="BL23" s="34" t="s">
        <v>167</v>
      </c>
      <c r="BM23" s="34" t="s">
        <v>166</v>
      </c>
      <c r="BN23" s="34">
        <v>43706.652188287037</v>
      </c>
      <c r="BO23" s="34"/>
      <c r="BP23" s="34"/>
      <c r="BQ23" s="34"/>
      <c r="BR23" s="34" t="s">
        <v>165</v>
      </c>
      <c r="BS23" s="34">
        <v>4.0801201916624399E+18</v>
      </c>
      <c r="BT23" s="34" t="s">
        <v>164</v>
      </c>
      <c r="BU23" s="34" t="s">
        <v>362</v>
      </c>
      <c r="BV23" s="34">
        <v>2020</v>
      </c>
      <c r="BW23" s="34" t="s">
        <v>163</v>
      </c>
      <c r="BX23" s="34"/>
      <c r="BY23" s="34">
        <v>4.08282019112463E+18</v>
      </c>
      <c r="BZ23" s="34" t="s">
        <v>964</v>
      </c>
      <c r="CA23" s="34" t="s">
        <v>161</v>
      </c>
    </row>
    <row r="24" spans="1:79" x14ac:dyDescent="0.25">
      <c r="A24" s="34" t="s">
        <v>374</v>
      </c>
      <c r="B24" s="34" t="s">
        <v>287</v>
      </c>
      <c r="C24" s="34">
        <v>2019</v>
      </c>
      <c r="D24" s="34" t="s">
        <v>852</v>
      </c>
      <c r="E24" s="34">
        <v>2.0190729915684998E+17</v>
      </c>
      <c r="F24" s="34" t="s">
        <v>182</v>
      </c>
      <c r="G24" s="34" t="s">
        <v>965</v>
      </c>
      <c r="H24" s="34">
        <v>1344765</v>
      </c>
      <c r="I24" s="34"/>
      <c r="J24" s="34" t="s">
        <v>180</v>
      </c>
      <c r="K24" s="34" t="s">
        <v>179</v>
      </c>
      <c r="L24" s="34"/>
      <c r="M24" s="34"/>
      <c r="N24" s="34" t="s">
        <v>905</v>
      </c>
      <c r="O24" s="34" t="s">
        <v>850</v>
      </c>
      <c r="P24" s="34"/>
      <c r="Q24" s="34" t="s">
        <v>296</v>
      </c>
      <c r="R24" s="34" t="s">
        <v>906</v>
      </c>
      <c r="S24" s="34"/>
      <c r="T24" s="34" t="s">
        <v>907</v>
      </c>
      <c r="U24" s="34"/>
      <c r="V24" s="34" t="s">
        <v>949</v>
      </c>
      <c r="W24" s="34"/>
      <c r="X24" s="34" t="s">
        <v>909</v>
      </c>
      <c r="Y24" s="34" t="s">
        <v>47</v>
      </c>
      <c r="Z24" s="34">
        <v>2142</v>
      </c>
      <c r="AA24" s="34" t="s">
        <v>393</v>
      </c>
      <c r="AB24" s="34" t="s">
        <v>393</v>
      </c>
      <c r="AC24" s="34"/>
      <c r="AD24" s="34"/>
      <c r="AE24" s="34"/>
      <c r="AF24" s="34" t="s">
        <v>364</v>
      </c>
      <c r="AG24" s="34"/>
      <c r="AH24" s="34"/>
      <c r="AI24" s="34">
        <v>43559</v>
      </c>
      <c r="AJ24" s="34">
        <v>10</v>
      </c>
      <c r="AK24" s="34">
        <v>69.3</v>
      </c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 t="s">
        <v>50</v>
      </c>
      <c r="BL24" s="34" t="s">
        <v>167</v>
      </c>
      <c r="BM24" s="34" t="s">
        <v>166</v>
      </c>
      <c r="BN24" s="34">
        <v>43706.652188287037</v>
      </c>
      <c r="BO24" s="34"/>
      <c r="BP24" s="34"/>
      <c r="BQ24" s="34"/>
      <c r="BR24" s="34" t="s">
        <v>165</v>
      </c>
      <c r="BS24" s="34">
        <v>4.0801201916624399E+18</v>
      </c>
      <c r="BT24" s="34" t="s">
        <v>164</v>
      </c>
      <c r="BU24" s="34" t="s">
        <v>362</v>
      </c>
      <c r="BV24" s="34">
        <v>2020</v>
      </c>
      <c r="BW24" s="34" t="s">
        <v>163</v>
      </c>
      <c r="BX24" s="34"/>
      <c r="BY24" s="34">
        <v>4.08282019112463E+18</v>
      </c>
      <c r="BZ24" s="34" t="s">
        <v>966</v>
      </c>
      <c r="CA24" s="34" t="s">
        <v>161</v>
      </c>
    </row>
    <row r="25" spans="1:79" x14ac:dyDescent="0.25">
      <c r="A25" s="34" t="s">
        <v>374</v>
      </c>
      <c r="B25" s="34" t="s">
        <v>287</v>
      </c>
      <c r="C25" s="34">
        <v>2019</v>
      </c>
      <c r="D25" s="34" t="s">
        <v>852</v>
      </c>
      <c r="E25" s="34">
        <v>2.0190729915684998E+17</v>
      </c>
      <c r="F25" s="34" t="s">
        <v>182</v>
      </c>
      <c r="G25" s="34" t="s">
        <v>967</v>
      </c>
      <c r="H25" s="34">
        <v>1344765</v>
      </c>
      <c r="I25" s="34"/>
      <c r="J25" s="34" t="s">
        <v>180</v>
      </c>
      <c r="K25" s="34" t="s">
        <v>179</v>
      </c>
      <c r="L25" s="34"/>
      <c r="M25" s="34"/>
      <c r="N25" s="34" t="s">
        <v>905</v>
      </c>
      <c r="O25" s="34" t="s">
        <v>850</v>
      </c>
      <c r="P25" s="34"/>
      <c r="Q25" s="34" t="s">
        <v>296</v>
      </c>
      <c r="R25" s="34" t="s">
        <v>906</v>
      </c>
      <c r="S25" s="34"/>
      <c r="T25" s="34" t="s">
        <v>907</v>
      </c>
      <c r="U25" s="34"/>
      <c r="V25" s="34" t="s">
        <v>949</v>
      </c>
      <c r="W25" s="34"/>
      <c r="X25" s="34" t="s">
        <v>909</v>
      </c>
      <c r="Y25" s="34" t="s">
        <v>47</v>
      </c>
      <c r="Z25" s="34">
        <v>2142</v>
      </c>
      <c r="AA25" s="34" t="s">
        <v>393</v>
      </c>
      <c r="AB25" s="34" t="s">
        <v>393</v>
      </c>
      <c r="AC25" s="34"/>
      <c r="AD25" s="34"/>
      <c r="AE25" s="34"/>
      <c r="AF25" s="34" t="s">
        <v>364</v>
      </c>
      <c r="AG25" s="34"/>
      <c r="AH25" s="34"/>
      <c r="AI25" s="34">
        <v>43582</v>
      </c>
      <c r="AJ25" s="34">
        <v>2.5</v>
      </c>
      <c r="AK25" s="34">
        <v>69.3</v>
      </c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 t="s">
        <v>50</v>
      </c>
      <c r="BL25" s="34" t="s">
        <v>167</v>
      </c>
      <c r="BM25" s="34" t="s">
        <v>166</v>
      </c>
      <c r="BN25" s="34">
        <v>43706.6522409838</v>
      </c>
      <c r="BO25" s="34"/>
      <c r="BP25" s="34"/>
      <c r="BQ25" s="34"/>
      <c r="BR25" s="34" t="s">
        <v>165</v>
      </c>
      <c r="BS25" s="34">
        <v>4.0801201916624399E+18</v>
      </c>
      <c r="BT25" s="34" t="s">
        <v>164</v>
      </c>
      <c r="BU25" s="34" t="s">
        <v>362</v>
      </c>
      <c r="BV25" s="34">
        <v>2020</v>
      </c>
      <c r="BW25" s="34" t="s">
        <v>163</v>
      </c>
      <c r="BX25" s="34"/>
      <c r="BY25" s="34">
        <v>4.08282019112463E+18</v>
      </c>
      <c r="BZ25" s="34" t="s">
        <v>968</v>
      </c>
      <c r="CA25" s="34" t="s">
        <v>161</v>
      </c>
    </row>
    <row r="26" spans="1:79" x14ac:dyDescent="0.25">
      <c r="A26" s="34" t="s">
        <v>374</v>
      </c>
      <c r="B26" s="34" t="s">
        <v>287</v>
      </c>
      <c r="C26" s="34">
        <v>2019</v>
      </c>
      <c r="D26" s="34" t="s">
        <v>852</v>
      </c>
      <c r="E26" s="34">
        <v>2.0190729915684998E+17</v>
      </c>
      <c r="F26" s="34" t="s">
        <v>182</v>
      </c>
      <c r="G26" s="34" t="s">
        <v>969</v>
      </c>
      <c r="H26" s="34">
        <v>1344765</v>
      </c>
      <c r="I26" s="34"/>
      <c r="J26" s="34" t="s">
        <v>180</v>
      </c>
      <c r="K26" s="34" t="s">
        <v>179</v>
      </c>
      <c r="L26" s="34"/>
      <c r="M26" s="34"/>
      <c r="N26" s="34" t="s">
        <v>905</v>
      </c>
      <c r="O26" s="34" t="s">
        <v>850</v>
      </c>
      <c r="P26" s="34"/>
      <c r="Q26" s="34" t="s">
        <v>296</v>
      </c>
      <c r="R26" s="34" t="s">
        <v>906</v>
      </c>
      <c r="S26" s="34"/>
      <c r="T26" s="34" t="s">
        <v>907</v>
      </c>
      <c r="U26" s="34"/>
      <c r="V26" s="34" t="s">
        <v>949</v>
      </c>
      <c r="W26" s="34"/>
      <c r="X26" s="34" t="s">
        <v>909</v>
      </c>
      <c r="Y26" s="34" t="s">
        <v>47</v>
      </c>
      <c r="Z26" s="34">
        <v>2142</v>
      </c>
      <c r="AA26" s="34" t="s">
        <v>393</v>
      </c>
      <c r="AB26" s="34" t="s">
        <v>393</v>
      </c>
      <c r="AC26" s="34"/>
      <c r="AD26" s="34"/>
      <c r="AE26" s="34"/>
      <c r="AF26" s="34" t="s">
        <v>377</v>
      </c>
      <c r="AG26" s="34"/>
      <c r="AH26" s="34"/>
      <c r="AI26" s="34">
        <v>43582</v>
      </c>
      <c r="AJ26" s="34">
        <v>25</v>
      </c>
      <c r="AK26" s="34">
        <v>50</v>
      </c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 t="s">
        <v>50</v>
      </c>
      <c r="BL26" s="34" t="s">
        <v>167</v>
      </c>
      <c r="BM26" s="34" t="s">
        <v>166</v>
      </c>
      <c r="BN26" s="34">
        <v>43706.6522409838</v>
      </c>
      <c r="BO26" s="34"/>
      <c r="BP26" s="34"/>
      <c r="BQ26" s="34"/>
      <c r="BR26" s="34" t="s">
        <v>165</v>
      </c>
      <c r="BS26" s="34">
        <v>4.0801201916624399E+18</v>
      </c>
      <c r="BT26" s="34" t="s">
        <v>164</v>
      </c>
      <c r="BU26" s="34" t="s">
        <v>961</v>
      </c>
      <c r="BV26" s="34">
        <v>2020</v>
      </c>
      <c r="BW26" s="34" t="s">
        <v>163</v>
      </c>
      <c r="BX26" s="34"/>
      <c r="BY26" s="34">
        <v>4.08282019112463E+18</v>
      </c>
      <c r="BZ26" s="34" t="s">
        <v>968</v>
      </c>
      <c r="CA26" s="34" t="s">
        <v>161</v>
      </c>
    </row>
    <row r="27" spans="1:79" x14ac:dyDescent="0.25">
      <c r="A27" s="34" t="s">
        <v>374</v>
      </c>
      <c r="B27" s="34" t="s">
        <v>287</v>
      </c>
      <c r="C27" s="34">
        <v>2019</v>
      </c>
      <c r="D27" s="34" t="s">
        <v>852</v>
      </c>
      <c r="E27" s="34">
        <v>2.0190729915684998E+17</v>
      </c>
      <c r="F27" s="34" t="s">
        <v>182</v>
      </c>
      <c r="G27" s="34" t="s">
        <v>970</v>
      </c>
      <c r="H27" s="34">
        <v>1344765</v>
      </c>
      <c r="I27" s="34"/>
      <c r="J27" s="34" t="s">
        <v>180</v>
      </c>
      <c r="K27" s="34" t="s">
        <v>179</v>
      </c>
      <c r="L27" s="34"/>
      <c r="M27" s="34"/>
      <c r="N27" s="34" t="s">
        <v>905</v>
      </c>
      <c r="O27" s="34" t="s">
        <v>850</v>
      </c>
      <c r="P27" s="34"/>
      <c r="Q27" s="34" t="s">
        <v>296</v>
      </c>
      <c r="R27" s="34" t="s">
        <v>906</v>
      </c>
      <c r="S27" s="34"/>
      <c r="T27" s="34" t="s">
        <v>907</v>
      </c>
      <c r="U27" s="34"/>
      <c r="V27" s="34" t="s">
        <v>949</v>
      </c>
      <c r="W27" s="34"/>
      <c r="X27" s="34" t="s">
        <v>909</v>
      </c>
      <c r="Y27" s="34" t="s">
        <v>47</v>
      </c>
      <c r="Z27" s="34">
        <v>2142</v>
      </c>
      <c r="AA27" s="34" t="s">
        <v>393</v>
      </c>
      <c r="AB27" s="34" t="s">
        <v>393</v>
      </c>
      <c r="AC27" s="34"/>
      <c r="AD27" s="34"/>
      <c r="AE27" s="34"/>
      <c r="AF27" s="34" t="s">
        <v>364</v>
      </c>
      <c r="AG27" s="34"/>
      <c r="AH27" s="34"/>
      <c r="AI27" s="34">
        <v>43582</v>
      </c>
      <c r="AJ27" s="34">
        <v>2.7</v>
      </c>
      <c r="AK27" s="34">
        <v>69.3</v>
      </c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 t="s">
        <v>50</v>
      </c>
      <c r="BL27" s="34" t="s">
        <v>167</v>
      </c>
      <c r="BM27" s="34" t="s">
        <v>166</v>
      </c>
      <c r="BN27" s="34">
        <v>43706.6522409838</v>
      </c>
      <c r="BO27" s="34"/>
      <c r="BP27" s="34"/>
      <c r="BQ27" s="34"/>
      <c r="BR27" s="34" t="s">
        <v>165</v>
      </c>
      <c r="BS27" s="34">
        <v>4.0801201916624399E+18</v>
      </c>
      <c r="BT27" s="34" t="s">
        <v>164</v>
      </c>
      <c r="BU27" s="34" t="s">
        <v>362</v>
      </c>
      <c r="BV27" s="34">
        <v>2020</v>
      </c>
      <c r="BW27" s="34" t="s">
        <v>163</v>
      </c>
      <c r="BX27" s="34"/>
      <c r="BY27" s="34">
        <v>4.08282019112463E+18</v>
      </c>
      <c r="BZ27" s="34" t="s">
        <v>971</v>
      </c>
      <c r="CA27" s="34" t="s">
        <v>161</v>
      </c>
    </row>
    <row r="28" spans="1:79" x14ac:dyDescent="0.25">
      <c r="A28" s="34" t="s">
        <v>374</v>
      </c>
      <c r="B28" s="34" t="s">
        <v>287</v>
      </c>
      <c r="C28" s="34">
        <v>2019</v>
      </c>
      <c r="D28" s="34" t="s">
        <v>852</v>
      </c>
      <c r="E28" s="34">
        <v>2.0190729915684998E+17</v>
      </c>
      <c r="F28" s="34" t="s">
        <v>182</v>
      </c>
      <c r="G28" s="34" t="s">
        <v>972</v>
      </c>
      <c r="H28" s="34">
        <v>1344765</v>
      </c>
      <c r="I28" s="34"/>
      <c r="J28" s="34" t="s">
        <v>180</v>
      </c>
      <c r="K28" s="34" t="s">
        <v>179</v>
      </c>
      <c r="L28" s="34" t="s">
        <v>903</v>
      </c>
      <c r="M28" s="34"/>
      <c r="N28" s="34" t="s">
        <v>905</v>
      </c>
      <c r="O28" s="34" t="s">
        <v>850</v>
      </c>
      <c r="P28" s="34"/>
      <c r="Q28" s="34" t="s">
        <v>296</v>
      </c>
      <c r="R28" s="34" t="s">
        <v>906</v>
      </c>
      <c r="S28" s="34"/>
      <c r="T28" s="34" t="s">
        <v>907</v>
      </c>
      <c r="U28" s="34"/>
      <c r="V28" s="34" t="s">
        <v>949</v>
      </c>
      <c r="W28" s="34"/>
      <c r="X28" s="34" t="s">
        <v>909</v>
      </c>
      <c r="Y28" s="34" t="s">
        <v>47</v>
      </c>
      <c r="Z28" s="34">
        <v>2142</v>
      </c>
      <c r="AA28" s="34" t="s">
        <v>393</v>
      </c>
      <c r="AB28" s="34" t="s">
        <v>393</v>
      </c>
      <c r="AC28" s="34" t="s">
        <v>903</v>
      </c>
      <c r="AD28" s="34" t="s">
        <v>383</v>
      </c>
      <c r="AE28" s="34" t="s">
        <v>382</v>
      </c>
      <c r="AF28" s="34" t="s">
        <v>377</v>
      </c>
      <c r="AG28" s="34"/>
      <c r="AH28" s="34"/>
      <c r="AI28" s="34">
        <v>43602</v>
      </c>
      <c r="AJ28" s="34">
        <v>50</v>
      </c>
      <c r="AK28" s="34">
        <v>260</v>
      </c>
      <c r="AL28" s="34" t="s">
        <v>973</v>
      </c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 t="s">
        <v>50</v>
      </c>
      <c r="BL28" s="34" t="s">
        <v>167</v>
      </c>
      <c r="BM28" s="34" t="s">
        <v>166</v>
      </c>
      <c r="BN28" s="34">
        <v>43706.6522419213</v>
      </c>
      <c r="BO28" s="34"/>
      <c r="BP28" s="34"/>
      <c r="BQ28" s="34"/>
      <c r="BR28" s="34" t="s">
        <v>165</v>
      </c>
      <c r="BS28" s="34">
        <v>4.0801201916624399E+18</v>
      </c>
      <c r="BT28" s="34" t="s">
        <v>164</v>
      </c>
      <c r="BU28" s="34" t="s">
        <v>974</v>
      </c>
      <c r="BV28" s="34">
        <v>2020</v>
      </c>
      <c r="BW28" s="34" t="s">
        <v>163</v>
      </c>
      <c r="BX28" s="34"/>
      <c r="BY28" s="34">
        <v>4.08282019112463E+18</v>
      </c>
      <c r="BZ28" s="34" t="s">
        <v>975</v>
      </c>
      <c r="CA28" s="34" t="s">
        <v>161</v>
      </c>
    </row>
    <row r="29" spans="1:79" x14ac:dyDescent="0.25">
      <c r="A29" s="34" t="s">
        <v>374</v>
      </c>
      <c r="B29" s="34" t="s">
        <v>287</v>
      </c>
      <c r="C29" s="34">
        <v>2019</v>
      </c>
      <c r="D29" s="34" t="s">
        <v>852</v>
      </c>
      <c r="E29" s="34">
        <v>2.0190729915684998E+17</v>
      </c>
      <c r="F29" s="34" t="s">
        <v>182</v>
      </c>
      <c r="G29" s="34" t="s">
        <v>976</v>
      </c>
      <c r="H29" s="34">
        <v>1344765</v>
      </c>
      <c r="I29" s="34"/>
      <c r="J29" s="34" t="s">
        <v>180</v>
      </c>
      <c r="K29" s="34" t="s">
        <v>179</v>
      </c>
      <c r="L29" s="34"/>
      <c r="M29" s="34"/>
      <c r="N29" s="34" t="s">
        <v>905</v>
      </c>
      <c r="O29" s="34" t="s">
        <v>850</v>
      </c>
      <c r="P29" s="34"/>
      <c r="Q29" s="34" t="s">
        <v>296</v>
      </c>
      <c r="R29" s="34" t="s">
        <v>906</v>
      </c>
      <c r="S29" s="34"/>
      <c r="T29" s="34" t="s">
        <v>907</v>
      </c>
      <c r="U29" s="34"/>
      <c r="V29" s="34" t="s">
        <v>949</v>
      </c>
      <c r="W29" s="34"/>
      <c r="X29" s="34" t="s">
        <v>909</v>
      </c>
      <c r="Y29" s="34" t="s">
        <v>47</v>
      </c>
      <c r="Z29" s="34">
        <v>2142</v>
      </c>
      <c r="AA29" s="34" t="s">
        <v>393</v>
      </c>
      <c r="AB29" s="34" t="s">
        <v>393</v>
      </c>
      <c r="AC29" s="34"/>
      <c r="AD29" s="34"/>
      <c r="AE29" s="34"/>
      <c r="AF29" s="34" t="s">
        <v>377</v>
      </c>
      <c r="AG29" s="34"/>
      <c r="AH29" s="34"/>
      <c r="AI29" s="34">
        <v>43612</v>
      </c>
      <c r="AJ29" s="34">
        <v>27</v>
      </c>
      <c r="AK29" s="34">
        <v>183</v>
      </c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 t="s">
        <v>50</v>
      </c>
      <c r="BL29" s="34" t="s">
        <v>167</v>
      </c>
      <c r="BM29" s="34" t="s">
        <v>166</v>
      </c>
      <c r="BN29" s="34">
        <v>43706.6522419213</v>
      </c>
      <c r="BO29" s="34"/>
      <c r="BP29" s="34"/>
      <c r="BQ29" s="34"/>
      <c r="BR29" s="34" t="s">
        <v>165</v>
      </c>
      <c r="BS29" s="34">
        <v>4.0801201916624399E+18</v>
      </c>
      <c r="BT29" s="34" t="s">
        <v>164</v>
      </c>
      <c r="BU29" s="34" t="s">
        <v>957</v>
      </c>
      <c r="BV29" s="34">
        <v>2020</v>
      </c>
      <c r="BW29" s="34" t="s">
        <v>163</v>
      </c>
      <c r="BX29" s="34"/>
      <c r="BY29" s="34">
        <v>4.08282019112463E+18</v>
      </c>
      <c r="BZ29" s="34" t="s">
        <v>977</v>
      </c>
      <c r="CA29" s="34" t="s">
        <v>161</v>
      </c>
    </row>
    <row r="30" spans="1:79" x14ac:dyDescent="0.25">
      <c r="A30" s="34" t="s">
        <v>374</v>
      </c>
      <c r="B30" s="34" t="s">
        <v>287</v>
      </c>
      <c r="C30" s="34">
        <v>2019</v>
      </c>
      <c r="D30" s="34" t="s">
        <v>852</v>
      </c>
      <c r="E30" s="34">
        <v>2.0190729915684998E+17</v>
      </c>
      <c r="F30" s="34" t="s">
        <v>182</v>
      </c>
      <c r="G30" s="34" t="s">
        <v>978</v>
      </c>
      <c r="H30" s="34">
        <v>1344765</v>
      </c>
      <c r="I30" s="34"/>
      <c r="J30" s="34" t="s">
        <v>180</v>
      </c>
      <c r="K30" s="34" t="s">
        <v>179</v>
      </c>
      <c r="L30" s="34"/>
      <c r="M30" s="34"/>
      <c r="N30" s="34" t="s">
        <v>905</v>
      </c>
      <c r="O30" s="34" t="s">
        <v>850</v>
      </c>
      <c r="P30" s="34"/>
      <c r="Q30" s="34" t="s">
        <v>296</v>
      </c>
      <c r="R30" s="34" t="s">
        <v>906</v>
      </c>
      <c r="S30" s="34"/>
      <c r="T30" s="34" t="s">
        <v>907</v>
      </c>
      <c r="U30" s="34"/>
      <c r="V30" s="34" t="s">
        <v>949</v>
      </c>
      <c r="W30" s="34"/>
      <c r="X30" s="34" t="s">
        <v>909</v>
      </c>
      <c r="Y30" s="34" t="s">
        <v>47</v>
      </c>
      <c r="Z30" s="34">
        <v>2142</v>
      </c>
      <c r="AA30" s="34" t="s">
        <v>393</v>
      </c>
      <c r="AB30" s="34" t="s">
        <v>393</v>
      </c>
      <c r="AC30" s="34"/>
      <c r="AD30" s="34"/>
      <c r="AE30" s="34"/>
      <c r="AF30" s="34" t="s">
        <v>364</v>
      </c>
      <c r="AG30" s="34"/>
      <c r="AH30" s="34"/>
      <c r="AI30" s="34">
        <v>43602</v>
      </c>
      <c r="AJ30" s="34">
        <v>5</v>
      </c>
      <c r="AK30" s="34">
        <v>69.3</v>
      </c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 t="s">
        <v>50</v>
      </c>
      <c r="BL30" s="34" t="s">
        <v>167</v>
      </c>
      <c r="BM30" s="34" t="s">
        <v>166</v>
      </c>
      <c r="BN30" s="34">
        <v>43706.6522419213</v>
      </c>
      <c r="BO30" s="34"/>
      <c r="BP30" s="34"/>
      <c r="BQ30" s="34"/>
      <c r="BR30" s="34" t="s">
        <v>165</v>
      </c>
      <c r="BS30" s="34">
        <v>4.0801201916624399E+18</v>
      </c>
      <c r="BT30" s="34" t="s">
        <v>164</v>
      </c>
      <c r="BU30" s="34" t="s">
        <v>362</v>
      </c>
      <c r="BV30" s="34">
        <v>2020</v>
      </c>
      <c r="BW30" s="34" t="s">
        <v>163</v>
      </c>
      <c r="BX30" s="34"/>
      <c r="BY30" s="34">
        <v>4.08282019112463E+18</v>
      </c>
      <c r="BZ30" s="34" t="s">
        <v>979</v>
      </c>
      <c r="CA30" s="34" t="s">
        <v>161</v>
      </c>
    </row>
    <row r="31" spans="1:79" x14ac:dyDescent="0.25">
      <c r="A31" s="34" t="s">
        <v>374</v>
      </c>
      <c r="B31" s="34" t="s">
        <v>287</v>
      </c>
      <c r="C31" s="34">
        <v>2019</v>
      </c>
      <c r="D31" s="34" t="s">
        <v>852</v>
      </c>
      <c r="E31" s="34">
        <v>2.0190729915684998E+17</v>
      </c>
      <c r="F31" s="34" t="s">
        <v>182</v>
      </c>
      <c r="G31" s="34" t="s">
        <v>980</v>
      </c>
      <c r="H31" s="34">
        <v>1344765</v>
      </c>
      <c r="I31" s="34"/>
      <c r="J31" s="34" t="s">
        <v>180</v>
      </c>
      <c r="K31" s="34" t="s">
        <v>179</v>
      </c>
      <c r="L31" s="34"/>
      <c r="M31" s="34"/>
      <c r="N31" s="34" t="s">
        <v>905</v>
      </c>
      <c r="O31" s="34" t="s">
        <v>850</v>
      </c>
      <c r="P31" s="34"/>
      <c r="Q31" s="34" t="s">
        <v>296</v>
      </c>
      <c r="R31" s="34" t="s">
        <v>906</v>
      </c>
      <c r="S31" s="34"/>
      <c r="T31" s="34" t="s">
        <v>907</v>
      </c>
      <c r="U31" s="34"/>
      <c r="V31" s="34" t="s">
        <v>949</v>
      </c>
      <c r="W31" s="34"/>
      <c r="X31" s="34" t="s">
        <v>909</v>
      </c>
      <c r="Y31" s="34" t="s">
        <v>47</v>
      </c>
      <c r="Z31" s="34">
        <v>2142</v>
      </c>
      <c r="AA31" s="34" t="s">
        <v>393</v>
      </c>
      <c r="AB31" s="34" t="s">
        <v>393</v>
      </c>
      <c r="AC31" s="34"/>
      <c r="AD31" s="34"/>
      <c r="AE31" s="34"/>
      <c r="AF31" s="34" t="s">
        <v>364</v>
      </c>
      <c r="AG31" s="34"/>
      <c r="AH31" s="34"/>
      <c r="AI31" s="34">
        <v>43612</v>
      </c>
      <c r="AJ31" s="34">
        <v>2.7</v>
      </c>
      <c r="AK31" s="34">
        <v>69.3</v>
      </c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 t="s">
        <v>50</v>
      </c>
      <c r="BL31" s="34" t="s">
        <v>167</v>
      </c>
      <c r="BM31" s="34" t="s">
        <v>166</v>
      </c>
      <c r="BN31" s="34">
        <v>43706.6522419213</v>
      </c>
      <c r="BO31" s="34"/>
      <c r="BP31" s="34"/>
      <c r="BQ31" s="34"/>
      <c r="BR31" s="34" t="s">
        <v>165</v>
      </c>
      <c r="BS31" s="34">
        <v>4.0801201916624399E+18</v>
      </c>
      <c r="BT31" s="34" t="s">
        <v>164</v>
      </c>
      <c r="BU31" s="34" t="s">
        <v>362</v>
      </c>
      <c r="BV31" s="34">
        <v>2020</v>
      </c>
      <c r="BW31" s="34" t="s">
        <v>163</v>
      </c>
      <c r="BX31" s="34"/>
      <c r="BY31" s="34">
        <v>4.08282019112463E+18</v>
      </c>
      <c r="BZ31" s="34" t="s">
        <v>981</v>
      </c>
      <c r="CA31" s="34" t="s">
        <v>161</v>
      </c>
    </row>
    <row r="32" spans="1:79" x14ac:dyDescent="0.25">
      <c r="A32" s="34" t="s">
        <v>374</v>
      </c>
      <c r="B32" s="34" t="s">
        <v>287</v>
      </c>
      <c r="C32" s="34">
        <v>2019</v>
      </c>
      <c r="D32" s="34" t="s">
        <v>852</v>
      </c>
      <c r="E32" s="34">
        <v>2.0190729915684998E+17</v>
      </c>
      <c r="F32" s="34" t="s">
        <v>182</v>
      </c>
      <c r="G32" s="34" t="s">
        <v>982</v>
      </c>
      <c r="H32" s="34">
        <v>1344765</v>
      </c>
      <c r="I32" s="34"/>
      <c r="J32" s="34" t="s">
        <v>180</v>
      </c>
      <c r="K32" s="34" t="s">
        <v>179</v>
      </c>
      <c r="L32" s="34" t="s">
        <v>903</v>
      </c>
      <c r="M32" s="34"/>
      <c r="N32" s="34" t="s">
        <v>905</v>
      </c>
      <c r="O32" s="34" t="s">
        <v>850</v>
      </c>
      <c r="P32" s="34"/>
      <c r="Q32" s="34" t="s">
        <v>296</v>
      </c>
      <c r="R32" s="34" t="s">
        <v>906</v>
      </c>
      <c r="S32" s="34"/>
      <c r="T32" s="34" t="s">
        <v>907</v>
      </c>
      <c r="U32" s="34"/>
      <c r="V32" s="34" t="s">
        <v>949</v>
      </c>
      <c r="W32" s="34"/>
      <c r="X32" s="34" t="s">
        <v>909</v>
      </c>
      <c r="Y32" s="34" t="s">
        <v>47</v>
      </c>
      <c r="Z32" s="34">
        <v>2142</v>
      </c>
      <c r="AA32" s="34" t="s">
        <v>393</v>
      </c>
      <c r="AB32" s="34" t="s">
        <v>393</v>
      </c>
      <c r="AC32" s="34" t="s">
        <v>903</v>
      </c>
      <c r="AD32" s="34" t="s">
        <v>383</v>
      </c>
      <c r="AE32" s="34" t="s">
        <v>382</v>
      </c>
      <c r="AF32" s="34" t="s">
        <v>377</v>
      </c>
      <c r="AG32" s="34"/>
      <c r="AH32" s="34"/>
      <c r="AI32" s="34">
        <v>43633</v>
      </c>
      <c r="AJ32" s="34">
        <v>10</v>
      </c>
      <c r="AK32" s="34">
        <v>260</v>
      </c>
      <c r="AL32" s="34" t="s">
        <v>973</v>
      </c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 t="s">
        <v>50</v>
      </c>
      <c r="BL32" s="34" t="s">
        <v>167</v>
      </c>
      <c r="BM32" s="34" t="s">
        <v>166</v>
      </c>
      <c r="BN32" s="34">
        <v>43706.652276863424</v>
      </c>
      <c r="BO32" s="34"/>
      <c r="BP32" s="34"/>
      <c r="BQ32" s="34"/>
      <c r="BR32" s="34" t="s">
        <v>165</v>
      </c>
      <c r="BS32" s="34">
        <v>4.0801201916624399E+18</v>
      </c>
      <c r="BT32" s="34" t="s">
        <v>164</v>
      </c>
      <c r="BU32" s="34" t="s">
        <v>974</v>
      </c>
      <c r="BV32" s="34">
        <v>2020</v>
      </c>
      <c r="BW32" s="34" t="s">
        <v>163</v>
      </c>
      <c r="BX32" s="34"/>
      <c r="BY32" s="34">
        <v>4.0828201911246397E+18</v>
      </c>
      <c r="BZ32" s="34" t="s">
        <v>983</v>
      </c>
      <c r="CA32" s="34" t="s">
        <v>161</v>
      </c>
    </row>
    <row r="33" spans="1:79" x14ac:dyDescent="0.25">
      <c r="A33" s="34" t="s">
        <v>374</v>
      </c>
      <c r="B33" s="34" t="s">
        <v>287</v>
      </c>
      <c r="C33" s="34">
        <v>2019</v>
      </c>
      <c r="D33" s="34" t="s">
        <v>852</v>
      </c>
      <c r="E33" s="34">
        <v>2.0190729915684998E+17</v>
      </c>
      <c r="F33" s="34" t="s">
        <v>182</v>
      </c>
      <c r="G33" s="34" t="s">
        <v>984</v>
      </c>
      <c r="H33" s="34">
        <v>1344765</v>
      </c>
      <c r="I33" s="34"/>
      <c r="J33" s="34" t="s">
        <v>180</v>
      </c>
      <c r="K33" s="34" t="s">
        <v>179</v>
      </c>
      <c r="L33" s="34"/>
      <c r="M33" s="34"/>
      <c r="N33" s="34" t="s">
        <v>905</v>
      </c>
      <c r="O33" s="34" t="s">
        <v>850</v>
      </c>
      <c r="P33" s="34"/>
      <c r="Q33" s="34" t="s">
        <v>296</v>
      </c>
      <c r="R33" s="34" t="s">
        <v>906</v>
      </c>
      <c r="S33" s="34"/>
      <c r="T33" s="34" t="s">
        <v>907</v>
      </c>
      <c r="U33" s="34"/>
      <c r="V33" s="34" t="s">
        <v>949</v>
      </c>
      <c r="W33" s="34"/>
      <c r="X33" s="34" t="s">
        <v>909</v>
      </c>
      <c r="Y33" s="34" t="s">
        <v>47</v>
      </c>
      <c r="Z33" s="34">
        <v>2142</v>
      </c>
      <c r="AA33" s="34" t="s">
        <v>393</v>
      </c>
      <c r="AB33" s="34" t="s">
        <v>393</v>
      </c>
      <c r="AC33" s="34"/>
      <c r="AD33" s="34"/>
      <c r="AE33" s="34"/>
      <c r="AF33" s="34" t="s">
        <v>364</v>
      </c>
      <c r="AG33" s="34"/>
      <c r="AH33" s="34"/>
      <c r="AI33" s="34">
        <v>43641</v>
      </c>
      <c r="AJ33" s="34">
        <v>5</v>
      </c>
      <c r="AK33" s="34">
        <v>69.3</v>
      </c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 t="s">
        <v>50</v>
      </c>
      <c r="BL33" s="34" t="s">
        <v>167</v>
      </c>
      <c r="BM33" s="34" t="s">
        <v>166</v>
      </c>
      <c r="BN33" s="34">
        <v>43706.652276875</v>
      </c>
      <c r="BO33" s="34"/>
      <c r="BP33" s="34"/>
      <c r="BQ33" s="34"/>
      <c r="BR33" s="34" t="s">
        <v>165</v>
      </c>
      <c r="BS33" s="34">
        <v>4.0801201916624399E+18</v>
      </c>
      <c r="BT33" s="34" t="s">
        <v>164</v>
      </c>
      <c r="BU33" s="34" t="s">
        <v>362</v>
      </c>
      <c r="BV33" s="34">
        <v>2020</v>
      </c>
      <c r="BW33" s="34" t="s">
        <v>163</v>
      </c>
      <c r="BX33" s="34"/>
      <c r="BY33" s="34">
        <v>4.0828201911246397E+18</v>
      </c>
      <c r="BZ33" s="34" t="s">
        <v>985</v>
      </c>
      <c r="CA33" s="34" t="s">
        <v>161</v>
      </c>
    </row>
    <row r="34" spans="1:79" x14ac:dyDescent="0.25">
      <c r="A34" s="34" t="s">
        <v>374</v>
      </c>
      <c r="B34" s="34" t="s">
        <v>287</v>
      </c>
      <c r="C34" s="34">
        <v>2019</v>
      </c>
      <c r="D34" s="34" t="s">
        <v>852</v>
      </c>
      <c r="E34" s="34">
        <v>2.0190729915684998E+17</v>
      </c>
      <c r="F34" s="34" t="s">
        <v>182</v>
      </c>
      <c r="G34" s="34" t="s">
        <v>986</v>
      </c>
      <c r="H34" s="34">
        <v>1344765</v>
      </c>
      <c r="I34" s="34"/>
      <c r="J34" s="34" t="s">
        <v>180</v>
      </c>
      <c r="K34" s="34" t="s">
        <v>179</v>
      </c>
      <c r="L34" s="34"/>
      <c r="M34" s="34"/>
      <c r="N34" s="34" t="s">
        <v>905</v>
      </c>
      <c r="O34" s="34" t="s">
        <v>850</v>
      </c>
      <c r="P34" s="34"/>
      <c r="Q34" s="34" t="s">
        <v>296</v>
      </c>
      <c r="R34" s="34" t="s">
        <v>906</v>
      </c>
      <c r="S34" s="34"/>
      <c r="T34" s="34" t="s">
        <v>907</v>
      </c>
      <c r="U34" s="34"/>
      <c r="V34" s="34" t="s">
        <v>949</v>
      </c>
      <c r="W34" s="34"/>
      <c r="X34" s="34" t="s">
        <v>909</v>
      </c>
      <c r="Y34" s="34" t="s">
        <v>47</v>
      </c>
      <c r="Z34" s="34">
        <v>2142</v>
      </c>
      <c r="AA34" s="34" t="s">
        <v>393</v>
      </c>
      <c r="AB34" s="34" t="s">
        <v>393</v>
      </c>
      <c r="AC34" s="34"/>
      <c r="AD34" s="34"/>
      <c r="AE34" s="34"/>
      <c r="AF34" s="34" t="s">
        <v>364</v>
      </c>
      <c r="AG34" s="34"/>
      <c r="AH34" s="34"/>
      <c r="AI34" s="34">
        <v>43633</v>
      </c>
      <c r="AJ34" s="34">
        <v>1</v>
      </c>
      <c r="AK34" s="34">
        <v>69.3</v>
      </c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 t="s">
        <v>50</v>
      </c>
      <c r="BL34" s="34" t="s">
        <v>167</v>
      </c>
      <c r="BM34" s="34" t="s">
        <v>166</v>
      </c>
      <c r="BN34" s="34">
        <v>43706.652276863424</v>
      </c>
      <c r="BO34" s="34"/>
      <c r="BP34" s="34"/>
      <c r="BQ34" s="34"/>
      <c r="BR34" s="34" t="s">
        <v>165</v>
      </c>
      <c r="BS34" s="34">
        <v>4.0801201916624399E+18</v>
      </c>
      <c r="BT34" s="34" t="s">
        <v>164</v>
      </c>
      <c r="BU34" s="34" t="s">
        <v>362</v>
      </c>
      <c r="BV34" s="34">
        <v>2020</v>
      </c>
      <c r="BW34" s="34" t="s">
        <v>163</v>
      </c>
      <c r="BX34" s="34"/>
      <c r="BY34" s="34">
        <v>4.0828201911246397E+18</v>
      </c>
      <c r="BZ34" s="34" t="s">
        <v>987</v>
      </c>
      <c r="CA34" s="34" t="s">
        <v>161</v>
      </c>
    </row>
    <row r="35" spans="1:79" x14ac:dyDescent="0.25">
      <c r="A35" s="34" t="s">
        <v>374</v>
      </c>
      <c r="B35" s="34" t="s">
        <v>287</v>
      </c>
      <c r="C35" s="34">
        <v>2019</v>
      </c>
      <c r="D35" s="34" t="s">
        <v>852</v>
      </c>
      <c r="E35" s="34">
        <v>2.0190729915684998E+17</v>
      </c>
      <c r="F35" s="34" t="s">
        <v>182</v>
      </c>
      <c r="G35" s="34" t="s">
        <v>988</v>
      </c>
      <c r="H35" s="34">
        <v>1344765</v>
      </c>
      <c r="I35" s="34"/>
      <c r="J35" s="34" t="s">
        <v>180</v>
      </c>
      <c r="K35" s="34" t="s">
        <v>179</v>
      </c>
      <c r="L35" s="34" t="s">
        <v>903</v>
      </c>
      <c r="M35" s="34"/>
      <c r="N35" s="34" t="s">
        <v>905</v>
      </c>
      <c r="O35" s="34" t="s">
        <v>850</v>
      </c>
      <c r="P35" s="34"/>
      <c r="Q35" s="34" t="s">
        <v>296</v>
      </c>
      <c r="R35" s="34" t="s">
        <v>906</v>
      </c>
      <c r="S35" s="34"/>
      <c r="T35" s="34" t="s">
        <v>907</v>
      </c>
      <c r="U35" s="34"/>
      <c r="V35" s="34" t="s">
        <v>949</v>
      </c>
      <c r="W35" s="34"/>
      <c r="X35" s="34" t="s">
        <v>909</v>
      </c>
      <c r="Y35" s="34" t="s">
        <v>47</v>
      </c>
      <c r="Z35" s="34">
        <v>2142</v>
      </c>
      <c r="AA35" s="34" t="s">
        <v>393</v>
      </c>
      <c r="AB35" s="34" t="s">
        <v>393</v>
      </c>
      <c r="AC35" s="34" t="s">
        <v>903</v>
      </c>
      <c r="AD35" s="34" t="s">
        <v>383</v>
      </c>
      <c r="AE35" s="34" t="s">
        <v>382</v>
      </c>
      <c r="AF35" s="34" t="s">
        <v>377</v>
      </c>
      <c r="AG35" s="34"/>
      <c r="AH35" s="34"/>
      <c r="AI35" s="34">
        <v>43646</v>
      </c>
      <c r="AJ35" s="34">
        <v>50</v>
      </c>
      <c r="AK35" s="34">
        <v>260</v>
      </c>
      <c r="AL35" s="34" t="s">
        <v>973</v>
      </c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 t="s">
        <v>50</v>
      </c>
      <c r="BL35" s="34" t="s">
        <v>167</v>
      </c>
      <c r="BM35" s="34" t="s">
        <v>166</v>
      </c>
      <c r="BN35" s="34">
        <v>43706.652276863424</v>
      </c>
      <c r="BO35" s="34"/>
      <c r="BP35" s="34"/>
      <c r="BQ35" s="34"/>
      <c r="BR35" s="34" t="s">
        <v>165</v>
      </c>
      <c r="BS35" s="34">
        <v>4.0801201916624399E+18</v>
      </c>
      <c r="BT35" s="34" t="s">
        <v>164</v>
      </c>
      <c r="BU35" s="34" t="s">
        <v>974</v>
      </c>
      <c r="BV35" s="34">
        <v>2020</v>
      </c>
      <c r="BW35" s="34" t="s">
        <v>163</v>
      </c>
      <c r="BX35" s="34"/>
      <c r="BY35" s="34">
        <v>4.0828201911246397E+18</v>
      </c>
      <c r="BZ35" s="34" t="s">
        <v>989</v>
      </c>
      <c r="CA35" s="34" t="s">
        <v>161</v>
      </c>
    </row>
    <row r="36" spans="1:79" x14ac:dyDescent="0.25">
      <c r="A36" s="34" t="s">
        <v>374</v>
      </c>
      <c r="B36" s="34" t="s">
        <v>287</v>
      </c>
      <c r="C36" s="34">
        <v>2019</v>
      </c>
      <c r="D36" s="34" t="s">
        <v>852</v>
      </c>
      <c r="E36" s="34">
        <v>2.0190729915684998E+17</v>
      </c>
      <c r="F36" s="34" t="s">
        <v>182</v>
      </c>
      <c r="G36" s="34" t="s">
        <v>990</v>
      </c>
      <c r="H36" s="34">
        <v>1344765</v>
      </c>
      <c r="I36" s="34"/>
      <c r="J36" s="34" t="s">
        <v>180</v>
      </c>
      <c r="K36" s="34" t="s">
        <v>179</v>
      </c>
      <c r="L36" s="34" t="s">
        <v>903</v>
      </c>
      <c r="M36" s="34"/>
      <c r="N36" s="34" t="s">
        <v>905</v>
      </c>
      <c r="O36" s="34" t="s">
        <v>850</v>
      </c>
      <c r="P36" s="34"/>
      <c r="Q36" s="34" t="s">
        <v>296</v>
      </c>
      <c r="R36" s="34" t="s">
        <v>906</v>
      </c>
      <c r="S36" s="34"/>
      <c r="T36" s="34" t="s">
        <v>907</v>
      </c>
      <c r="U36" s="34"/>
      <c r="V36" s="34" t="s">
        <v>949</v>
      </c>
      <c r="W36" s="34"/>
      <c r="X36" s="34" t="s">
        <v>909</v>
      </c>
      <c r="Y36" s="34" t="s">
        <v>47</v>
      </c>
      <c r="Z36" s="34">
        <v>2142</v>
      </c>
      <c r="AA36" s="34" t="s">
        <v>393</v>
      </c>
      <c r="AB36" s="34" t="s">
        <v>393</v>
      </c>
      <c r="AC36" s="34" t="s">
        <v>903</v>
      </c>
      <c r="AD36" s="34" t="s">
        <v>383</v>
      </c>
      <c r="AE36" s="34" t="s">
        <v>382</v>
      </c>
      <c r="AF36" s="34" t="s">
        <v>377</v>
      </c>
      <c r="AG36" s="34"/>
      <c r="AH36" s="34"/>
      <c r="AI36" s="34">
        <v>43641</v>
      </c>
      <c r="AJ36" s="34">
        <v>50</v>
      </c>
      <c r="AK36" s="34">
        <v>260</v>
      </c>
      <c r="AL36" s="34" t="s">
        <v>973</v>
      </c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 t="s">
        <v>50</v>
      </c>
      <c r="BL36" s="34" t="s">
        <v>167</v>
      </c>
      <c r="BM36" s="34" t="s">
        <v>166</v>
      </c>
      <c r="BN36" s="34">
        <v>43706.652276875</v>
      </c>
      <c r="BO36" s="34"/>
      <c r="BP36" s="34"/>
      <c r="BQ36" s="34"/>
      <c r="BR36" s="34" t="s">
        <v>165</v>
      </c>
      <c r="BS36" s="34">
        <v>4.0801201916624399E+18</v>
      </c>
      <c r="BT36" s="34" t="s">
        <v>164</v>
      </c>
      <c r="BU36" s="34" t="s">
        <v>974</v>
      </c>
      <c r="BV36" s="34">
        <v>2020</v>
      </c>
      <c r="BW36" s="34" t="s">
        <v>163</v>
      </c>
      <c r="BX36" s="34"/>
      <c r="BY36" s="34">
        <v>4.0828201911246397E+18</v>
      </c>
      <c r="BZ36" s="34" t="s">
        <v>985</v>
      </c>
      <c r="CA36" s="34" t="s">
        <v>161</v>
      </c>
    </row>
    <row r="37" spans="1:79" x14ac:dyDescent="0.25">
      <c r="A37" s="34" t="s">
        <v>374</v>
      </c>
      <c r="B37" s="34" t="s">
        <v>287</v>
      </c>
      <c r="C37" s="34">
        <v>2019</v>
      </c>
      <c r="D37" s="34" t="s">
        <v>852</v>
      </c>
      <c r="E37" s="34">
        <v>2.0190729915684998E+17</v>
      </c>
      <c r="F37" s="34" t="s">
        <v>182</v>
      </c>
      <c r="G37" s="34" t="s">
        <v>991</v>
      </c>
      <c r="H37" s="34">
        <v>1344765</v>
      </c>
      <c r="I37" s="34"/>
      <c r="J37" s="34" t="s">
        <v>180</v>
      </c>
      <c r="K37" s="34" t="s">
        <v>179</v>
      </c>
      <c r="L37" s="34"/>
      <c r="M37" s="34"/>
      <c r="N37" s="34" t="s">
        <v>905</v>
      </c>
      <c r="O37" s="34" t="s">
        <v>850</v>
      </c>
      <c r="P37" s="34"/>
      <c r="Q37" s="34" t="s">
        <v>296</v>
      </c>
      <c r="R37" s="34" t="s">
        <v>906</v>
      </c>
      <c r="S37" s="34"/>
      <c r="T37" s="34" t="s">
        <v>907</v>
      </c>
      <c r="U37" s="34"/>
      <c r="V37" s="34" t="s">
        <v>949</v>
      </c>
      <c r="W37" s="34"/>
      <c r="X37" s="34" t="s">
        <v>909</v>
      </c>
      <c r="Y37" s="34" t="s">
        <v>47</v>
      </c>
      <c r="Z37" s="34">
        <v>2142</v>
      </c>
      <c r="AA37" s="34" t="s">
        <v>393</v>
      </c>
      <c r="AB37" s="34" t="s">
        <v>393</v>
      </c>
      <c r="AC37" s="34"/>
      <c r="AD37" s="34"/>
      <c r="AE37" s="34"/>
      <c r="AF37" s="34" t="s">
        <v>364</v>
      </c>
      <c r="AG37" s="34"/>
      <c r="AH37" s="34"/>
      <c r="AI37" s="34">
        <v>43646</v>
      </c>
      <c r="AJ37" s="34">
        <v>5</v>
      </c>
      <c r="AK37" s="34">
        <v>69.3</v>
      </c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 t="s">
        <v>50</v>
      </c>
      <c r="BL37" s="34" t="s">
        <v>167</v>
      </c>
      <c r="BM37" s="34" t="s">
        <v>166</v>
      </c>
      <c r="BN37" s="34">
        <v>43706.652276875</v>
      </c>
      <c r="BO37" s="34"/>
      <c r="BP37" s="34"/>
      <c r="BQ37" s="34"/>
      <c r="BR37" s="34" t="s">
        <v>165</v>
      </c>
      <c r="BS37" s="34">
        <v>4.0801201916624399E+18</v>
      </c>
      <c r="BT37" s="34" t="s">
        <v>164</v>
      </c>
      <c r="BU37" s="34" t="s">
        <v>362</v>
      </c>
      <c r="BV37" s="34">
        <v>2020</v>
      </c>
      <c r="BW37" s="34" t="s">
        <v>163</v>
      </c>
      <c r="BX37" s="34"/>
      <c r="BY37" s="34">
        <v>4.0828201911246397E+18</v>
      </c>
      <c r="BZ37" s="34" t="s">
        <v>992</v>
      </c>
      <c r="CA37" s="34" t="s">
        <v>161</v>
      </c>
    </row>
    <row r="38" spans="1:79" x14ac:dyDescent="0.25">
      <c r="A38" s="34" t="s">
        <v>374</v>
      </c>
      <c r="B38" s="34" t="s">
        <v>287</v>
      </c>
      <c r="C38" s="34">
        <v>2019</v>
      </c>
      <c r="D38" s="34" t="s">
        <v>852</v>
      </c>
      <c r="E38" s="34">
        <v>2.0190729915684998E+17</v>
      </c>
      <c r="F38" s="34" t="s">
        <v>182</v>
      </c>
      <c r="G38" s="34" t="s">
        <v>993</v>
      </c>
      <c r="H38" s="34">
        <v>1344765</v>
      </c>
      <c r="I38" s="34"/>
      <c r="J38" s="34" t="s">
        <v>180</v>
      </c>
      <c r="K38" s="34" t="s">
        <v>179</v>
      </c>
      <c r="L38" s="34"/>
      <c r="M38" s="34"/>
      <c r="N38" s="34" t="s">
        <v>905</v>
      </c>
      <c r="O38" s="34" t="s">
        <v>850</v>
      </c>
      <c r="P38" s="34"/>
      <c r="Q38" s="34" t="s">
        <v>296</v>
      </c>
      <c r="R38" s="34" t="s">
        <v>906</v>
      </c>
      <c r="S38" s="34"/>
      <c r="T38" s="34" t="s">
        <v>907</v>
      </c>
      <c r="U38" s="34"/>
      <c r="V38" s="34" t="s">
        <v>949</v>
      </c>
      <c r="W38" s="34"/>
      <c r="X38" s="34" t="s">
        <v>909</v>
      </c>
      <c r="Y38" s="34" t="s">
        <v>47</v>
      </c>
      <c r="Z38" s="34">
        <v>2142</v>
      </c>
      <c r="AA38" s="34" t="s">
        <v>393</v>
      </c>
      <c r="AB38" s="34" t="s">
        <v>393</v>
      </c>
      <c r="AC38" s="34"/>
      <c r="AD38" s="34"/>
      <c r="AE38" s="34"/>
      <c r="AF38" s="34" t="s">
        <v>364</v>
      </c>
      <c r="AG38" s="34"/>
      <c r="AH38" s="34"/>
      <c r="AI38" s="34">
        <v>43646</v>
      </c>
      <c r="AJ38" s="34">
        <v>5</v>
      </c>
      <c r="AK38" s="34">
        <v>69.3</v>
      </c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 t="s">
        <v>50</v>
      </c>
      <c r="BL38" s="34" t="s">
        <v>167</v>
      </c>
      <c r="BM38" s="34" t="s">
        <v>166</v>
      </c>
      <c r="BN38" s="34">
        <v>43706.652276875</v>
      </c>
      <c r="BO38" s="34"/>
      <c r="BP38" s="34"/>
      <c r="BQ38" s="34"/>
      <c r="BR38" s="34" t="s">
        <v>165</v>
      </c>
      <c r="BS38" s="34">
        <v>4.0801201916624399E+18</v>
      </c>
      <c r="BT38" s="34" t="s">
        <v>164</v>
      </c>
      <c r="BU38" s="34" t="s">
        <v>362</v>
      </c>
      <c r="BV38" s="34">
        <v>2020</v>
      </c>
      <c r="BW38" s="34" t="s">
        <v>163</v>
      </c>
      <c r="BX38" s="34"/>
      <c r="BY38" s="34">
        <v>4.0828201911246397E+18</v>
      </c>
      <c r="BZ38" s="34" t="s">
        <v>994</v>
      </c>
      <c r="CA38" s="34" t="s">
        <v>161</v>
      </c>
    </row>
    <row r="39" spans="1:79" x14ac:dyDescent="0.25">
      <c r="A39" s="34" t="s">
        <v>374</v>
      </c>
      <c r="B39" s="34" t="s">
        <v>287</v>
      </c>
      <c r="C39" s="34">
        <v>2019</v>
      </c>
      <c r="D39" s="34" t="s">
        <v>852</v>
      </c>
      <c r="E39" s="34">
        <v>2.0190729915684998E+17</v>
      </c>
      <c r="F39" s="34" t="s">
        <v>182</v>
      </c>
      <c r="G39" s="34" t="s">
        <v>995</v>
      </c>
      <c r="H39" s="34">
        <v>1344765</v>
      </c>
      <c r="I39" s="34"/>
      <c r="J39" s="34" t="s">
        <v>180</v>
      </c>
      <c r="K39" s="34" t="s">
        <v>179</v>
      </c>
      <c r="L39" s="34"/>
      <c r="M39" s="34"/>
      <c r="N39" s="34" t="s">
        <v>905</v>
      </c>
      <c r="O39" s="34" t="s">
        <v>850</v>
      </c>
      <c r="P39" s="34"/>
      <c r="Q39" s="34" t="s">
        <v>296</v>
      </c>
      <c r="R39" s="34" t="s">
        <v>906</v>
      </c>
      <c r="S39" s="34"/>
      <c r="T39" s="34" t="s">
        <v>907</v>
      </c>
      <c r="U39" s="34"/>
      <c r="V39" s="34" t="s">
        <v>949</v>
      </c>
      <c r="W39" s="34"/>
      <c r="X39" s="34" t="s">
        <v>909</v>
      </c>
      <c r="Y39" s="34" t="s">
        <v>47</v>
      </c>
      <c r="Z39" s="34">
        <v>2142</v>
      </c>
      <c r="AA39" s="34" t="s">
        <v>393</v>
      </c>
      <c r="AB39" s="34" t="s">
        <v>393</v>
      </c>
      <c r="AC39" s="34"/>
      <c r="AD39" s="34"/>
      <c r="AE39" s="34"/>
      <c r="AF39" s="34" t="s">
        <v>377</v>
      </c>
      <c r="AG39" s="34"/>
      <c r="AH39" s="34"/>
      <c r="AI39" s="34">
        <v>43646</v>
      </c>
      <c r="AJ39" s="34">
        <v>50</v>
      </c>
      <c r="AK39" s="34">
        <v>150</v>
      </c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 t="s">
        <v>50</v>
      </c>
      <c r="BL39" s="34" t="s">
        <v>167</v>
      </c>
      <c r="BM39" s="34" t="s">
        <v>166</v>
      </c>
      <c r="BN39" s="34">
        <v>43706.652276886576</v>
      </c>
      <c r="BO39" s="34"/>
      <c r="BP39" s="34"/>
      <c r="BQ39" s="34"/>
      <c r="BR39" s="34" t="s">
        <v>165</v>
      </c>
      <c r="BS39" s="34">
        <v>4.0801201916624399E+18</v>
      </c>
      <c r="BT39" s="34" t="s">
        <v>164</v>
      </c>
      <c r="BU39" s="34" t="s">
        <v>806</v>
      </c>
      <c r="BV39" s="34">
        <v>2020</v>
      </c>
      <c r="BW39" s="34" t="s">
        <v>163</v>
      </c>
      <c r="BX39" s="34"/>
      <c r="BY39" s="34">
        <v>4.0828201911246397E+18</v>
      </c>
      <c r="BZ39" s="34" t="s">
        <v>994</v>
      </c>
      <c r="CA39" s="34" t="s">
        <v>161</v>
      </c>
    </row>
    <row r="40" spans="1:79" x14ac:dyDescent="0.25">
      <c r="A40" s="34" t="s">
        <v>374</v>
      </c>
      <c r="B40" s="34" t="s">
        <v>287</v>
      </c>
      <c r="C40" s="34">
        <v>2019</v>
      </c>
      <c r="D40" s="34" t="s">
        <v>852</v>
      </c>
      <c r="E40" s="34">
        <v>2.0190729915684998E+17</v>
      </c>
      <c r="F40" s="34" t="s">
        <v>182</v>
      </c>
      <c r="G40" s="34" t="s">
        <v>996</v>
      </c>
      <c r="H40" s="34">
        <v>1344765</v>
      </c>
      <c r="I40" s="34"/>
      <c r="J40" s="34" t="s">
        <v>180</v>
      </c>
      <c r="K40" s="34" t="s">
        <v>179</v>
      </c>
      <c r="L40" s="34"/>
      <c r="M40" s="34"/>
      <c r="N40" s="34" t="s">
        <v>905</v>
      </c>
      <c r="O40" s="34" t="s">
        <v>850</v>
      </c>
      <c r="P40" s="34"/>
      <c r="Q40" s="34" t="s">
        <v>296</v>
      </c>
      <c r="R40" s="34" t="s">
        <v>906</v>
      </c>
      <c r="S40" s="34"/>
      <c r="T40" s="34" t="s">
        <v>907</v>
      </c>
      <c r="U40" s="34"/>
      <c r="V40" s="34" t="s">
        <v>949</v>
      </c>
      <c r="W40" s="34"/>
      <c r="X40" s="34" t="s">
        <v>909</v>
      </c>
      <c r="Y40" s="34" t="s">
        <v>47</v>
      </c>
      <c r="Z40" s="34">
        <v>2142</v>
      </c>
      <c r="AA40" s="34" t="s">
        <v>393</v>
      </c>
      <c r="AB40" s="34" t="s">
        <v>393</v>
      </c>
      <c r="AC40" s="34"/>
      <c r="AD40" s="34"/>
      <c r="AE40" s="34"/>
      <c r="AF40" s="34" t="s">
        <v>364</v>
      </c>
      <c r="AG40" s="34"/>
      <c r="AH40" s="34"/>
      <c r="AI40" s="34">
        <v>43625</v>
      </c>
      <c r="AJ40" s="34">
        <v>5</v>
      </c>
      <c r="AK40" s="34">
        <v>69.3</v>
      </c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 t="s">
        <v>50</v>
      </c>
      <c r="BL40" s="34" t="s">
        <v>167</v>
      </c>
      <c r="BM40" s="34" t="s">
        <v>166</v>
      </c>
      <c r="BN40" s="34">
        <v>43706.746267175928</v>
      </c>
      <c r="BO40" s="34"/>
      <c r="BP40" s="34"/>
      <c r="BQ40" s="34"/>
      <c r="BR40" s="34" t="s">
        <v>165</v>
      </c>
      <c r="BS40" s="34">
        <v>4.0801201916624399E+18</v>
      </c>
      <c r="BT40" s="34" t="s">
        <v>164</v>
      </c>
      <c r="BU40" s="34" t="s">
        <v>362</v>
      </c>
      <c r="BV40" s="34">
        <v>2020</v>
      </c>
      <c r="BW40" s="34" t="s">
        <v>163</v>
      </c>
      <c r="BX40" s="34"/>
      <c r="BY40" s="34">
        <v>4.08282019112463E+18</v>
      </c>
      <c r="BZ40" s="34" t="s">
        <v>997</v>
      </c>
      <c r="CA40" s="34" t="s">
        <v>161</v>
      </c>
    </row>
    <row r="41" spans="1:79" x14ac:dyDescent="0.25">
      <c r="A41" s="34" t="s">
        <v>374</v>
      </c>
      <c r="B41" s="34" t="s">
        <v>287</v>
      </c>
      <c r="C41" s="34">
        <v>2019</v>
      </c>
      <c r="D41" s="34" t="s">
        <v>852</v>
      </c>
      <c r="E41" s="34">
        <v>2.0190729915684998E+17</v>
      </c>
      <c r="F41" s="34" t="s">
        <v>182</v>
      </c>
      <c r="G41" s="34" t="s">
        <v>998</v>
      </c>
      <c r="H41" s="34">
        <v>1344765</v>
      </c>
      <c r="I41" s="34"/>
      <c r="J41" s="34" t="s">
        <v>180</v>
      </c>
      <c r="K41" s="34" t="s">
        <v>179</v>
      </c>
      <c r="L41" s="34"/>
      <c r="M41" s="34"/>
      <c r="N41" s="34" t="s">
        <v>905</v>
      </c>
      <c r="O41" s="34" t="s">
        <v>850</v>
      </c>
      <c r="P41" s="34"/>
      <c r="Q41" s="34" t="s">
        <v>296</v>
      </c>
      <c r="R41" s="34" t="s">
        <v>906</v>
      </c>
      <c r="S41" s="34"/>
      <c r="T41" s="34" t="s">
        <v>907</v>
      </c>
      <c r="U41" s="34"/>
      <c r="V41" s="34" t="s">
        <v>949</v>
      </c>
      <c r="W41" s="34"/>
      <c r="X41" s="34" t="s">
        <v>909</v>
      </c>
      <c r="Y41" s="34" t="s">
        <v>47</v>
      </c>
      <c r="Z41" s="34">
        <v>2142</v>
      </c>
      <c r="AA41" s="34" t="s">
        <v>393</v>
      </c>
      <c r="AB41" s="34" t="s">
        <v>393</v>
      </c>
      <c r="AC41" s="34"/>
      <c r="AD41" s="34"/>
      <c r="AE41" s="34"/>
      <c r="AF41" s="34" t="s">
        <v>377</v>
      </c>
      <c r="AG41" s="34"/>
      <c r="AH41" s="34"/>
      <c r="AI41" s="34">
        <v>43559</v>
      </c>
      <c r="AJ41" s="34">
        <v>100</v>
      </c>
      <c r="AK41" s="34">
        <v>150</v>
      </c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 t="s">
        <v>50</v>
      </c>
      <c r="BL41" s="34" t="s">
        <v>167</v>
      </c>
      <c r="BM41" s="34" t="s">
        <v>166</v>
      </c>
      <c r="BN41" s="34">
        <v>43706.761914930554</v>
      </c>
      <c r="BO41" s="34"/>
      <c r="BP41" s="34"/>
      <c r="BQ41" s="34"/>
      <c r="BR41" s="34" t="s">
        <v>165</v>
      </c>
      <c r="BS41" s="34">
        <v>4.0801201916624399E+18</v>
      </c>
      <c r="BT41" s="34" t="s">
        <v>164</v>
      </c>
      <c r="BU41" s="34" t="s">
        <v>806</v>
      </c>
      <c r="BV41" s="34">
        <v>2020</v>
      </c>
      <c r="BW41" s="34" t="s">
        <v>163</v>
      </c>
      <c r="BX41" s="34"/>
      <c r="BY41" s="34">
        <v>4.08282019112463E+18</v>
      </c>
      <c r="BZ41" s="34" t="s">
        <v>999</v>
      </c>
      <c r="CA41" s="34" t="s">
        <v>161</v>
      </c>
    </row>
    <row r="42" spans="1:79" x14ac:dyDescent="0.25">
      <c r="A42" s="34" t="s">
        <v>374</v>
      </c>
      <c r="B42" s="34" t="s">
        <v>287</v>
      </c>
      <c r="C42" s="34">
        <v>2019</v>
      </c>
      <c r="D42" s="34" t="s">
        <v>852</v>
      </c>
      <c r="E42" s="34">
        <v>2.0190729915684998E+17</v>
      </c>
      <c r="F42" s="34" t="s">
        <v>182</v>
      </c>
      <c r="G42" s="34" t="s">
        <v>1000</v>
      </c>
      <c r="H42" s="34">
        <v>1344765</v>
      </c>
      <c r="I42" s="34"/>
      <c r="J42" s="34" t="s">
        <v>180</v>
      </c>
      <c r="K42" s="34" t="s">
        <v>179</v>
      </c>
      <c r="L42" s="34"/>
      <c r="M42" s="34"/>
      <c r="N42" s="34" t="s">
        <v>905</v>
      </c>
      <c r="O42" s="34" t="s">
        <v>850</v>
      </c>
      <c r="P42" s="34"/>
      <c r="Q42" s="34" t="s">
        <v>296</v>
      </c>
      <c r="R42" s="34" t="s">
        <v>906</v>
      </c>
      <c r="S42" s="34"/>
      <c r="T42" s="34" t="s">
        <v>907</v>
      </c>
      <c r="U42" s="34"/>
      <c r="V42" s="34" t="s">
        <v>949</v>
      </c>
      <c r="W42" s="34"/>
      <c r="X42" s="34" t="s">
        <v>909</v>
      </c>
      <c r="Y42" s="34" t="s">
        <v>47</v>
      </c>
      <c r="Z42" s="34">
        <v>2142</v>
      </c>
      <c r="AA42" s="34" t="s">
        <v>393</v>
      </c>
      <c r="AB42" s="34" t="s">
        <v>393</v>
      </c>
      <c r="AC42" s="34"/>
      <c r="AD42" s="34"/>
      <c r="AE42" s="34"/>
      <c r="AF42" s="34" t="s">
        <v>377</v>
      </c>
      <c r="AG42" s="34"/>
      <c r="AH42" s="34"/>
      <c r="AI42" s="34">
        <v>43551</v>
      </c>
      <c r="AJ42" s="34">
        <v>27</v>
      </c>
      <c r="AK42" s="34">
        <v>183</v>
      </c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 t="s">
        <v>50</v>
      </c>
      <c r="BL42" s="34" t="s">
        <v>167</v>
      </c>
      <c r="BM42" s="34" t="s">
        <v>166</v>
      </c>
      <c r="BN42" s="34">
        <v>43706.76196596065</v>
      </c>
      <c r="BO42" s="34"/>
      <c r="BP42" s="34"/>
      <c r="BQ42" s="34"/>
      <c r="BR42" s="34" t="s">
        <v>165</v>
      </c>
      <c r="BS42" s="34">
        <v>4.0801201916624399E+18</v>
      </c>
      <c r="BT42" s="34" t="s">
        <v>164</v>
      </c>
      <c r="BU42" s="34" t="s">
        <v>957</v>
      </c>
      <c r="BV42" s="34">
        <v>2020</v>
      </c>
      <c r="BW42" s="34" t="s">
        <v>163</v>
      </c>
      <c r="BX42" s="34"/>
      <c r="BY42" s="34">
        <v>4.08282019112463E+18</v>
      </c>
      <c r="BZ42" s="34" t="s">
        <v>964</v>
      </c>
      <c r="CA42" s="34" t="s">
        <v>161</v>
      </c>
    </row>
    <row r="43" spans="1:79" x14ac:dyDescent="0.25">
      <c r="A43" s="34" t="s">
        <v>374</v>
      </c>
      <c r="B43" s="34" t="s">
        <v>287</v>
      </c>
      <c r="C43" s="34">
        <v>2019</v>
      </c>
      <c r="D43" s="34" t="s">
        <v>852</v>
      </c>
      <c r="E43" s="34">
        <v>2.0190729915684998E+17</v>
      </c>
      <c r="F43" s="34" t="s">
        <v>182</v>
      </c>
      <c r="G43" s="34" t="s">
        <v>1001</v>
      </c>
      <c r="H43" s="34">
        <v>1344765</v>
      </c>
      <c r="I43" s="34"/>
      <c r="J43" s="34" t="s">
        <v>180</v>
      </c>
      <c r="K43" s="34" t="s">
        <v>179</v>
      </c>
      <c r="L43" s="34"/>
      <c r="M43" s="34"/>
      <c r="N43" s="34" t="s">
        <v>905</v>
      </c>
      <c r="O43" s="34" t="s">
        <v>850</v>
      </c>
      <c r="P43" s="34"/>
      <c r="Q43" s="34" t="s">
        <v>296</v>
      </c>
      <c r="R43" s="34" t="s">
        <v>906</v>
      </c>
      <c r="S43" s="34"/>
      <c r="T43" s="34" t="s">
        <v>907</v>
      </c>
      <c r="U43" s="34"/>
      <c r="V43" s="34" t="s">
        <v>949</v>
      </c>
      <c r="W43" s="34"/>
      <c r="X43" s="34" t="s">
        <v>909</v>
      </c>
      <c r="Y43" s="34" t="s">
        <v>47</v>
      </c>
      <c r="Z43" s="34">
        <v>2142</v>
      </c>
      <c r="AA43" s="34" t="s">
        <v>393</v>
      </c>
      <c r="AB43" s="34" t="s">
        <v>393</v>
      </c>
      <c r="AC43" s="34"/>
      <c r="AD43" s="34"/>
      <c r="AE43" s="34"/>
      <c r="AF43" s="34" t="s">
        <v>364</v>
      </c>
      <c r="AG43" s="34"/>
      <c r="AH43" s="34"/>
      <c r="AI43" s="34">
        <v>43599</v>
      </c>
      <c r="AJ43" s="34">
        <v>5</v>
      </c>
      <c r="AK43" s="34">
        <v>69.3</v>
      </c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 t="s">
        <v>50</v>
      </c>
      <c r="BL43" s="34" t="s">
        <v>167</v>
      </c>
      <c r="BM43" s="34" t="s">
        <v>166</v>
      </c>
      <c r="BN43" s="34">
        <v>43706.777160266203</v>
      </c>
      <c r="BO43" s="34"/>
      <c r="BP43" s="34"/>
      <c r="BQ43" s="34"/>
      <c r="BR43" s="34" t="s">
        <v>165</v>
      </c>
      <c r="BS43" s="34">
        <v>4.0801201916624399E+18</v>
      </c>
      <c r="BT43" s="34" t="s">
        <v>164</v>
      </c>
      <c r="BU43" s="34" t="s">
        <v>362</v>
      </c>
      <c r="BV43" s="34">
        <v>2020</v>
      </c>
      <c r="BW43" s="34" t="s">
        <v>163</v>
      </c>
      <c r="BX43" s="34"/>
      <c r="BY43" s="34">
        <v>4.08282019112463E+18</v>
      </c>
      <c r="BZ43" s="34" t="s">
        <v>1002</v>
      </c>
      <c r="CA43" s="34" t="s">
        <v>161</v>
      </c>
    </row>
    <row r="44" spans="1:79" x14ac:dyDescent="0.25">
      <c r="A44" s="34" t="s">
        <v>374</v>
      </c>
      <c r="B44" s="34" t="s">
        <v>287</v>
      </c>
      <c r="C44" s="34">
        <v>2019</v>
      </c>
      <c r="D44" s="34" t="s">
        <v>852</v>
      </c>
      <c r="E44" s="34">
        <v>2.0190729915684998E+17</v>
      </c>
      <c r="F44" s="34" t="s">
        <v>182</v>
      </c>
      <c r="G44" s="34" t="s">
        <v>1003</v>
      </c>
      <c r="H44" s="34">
        <v>1344765</v>
      </c>
      <c r="I44" s="34"/>
      <c r="J44" s="34" t="s">
        <v>180</v>
      </c>
      <c r="K44" s="34" t="s">
        <v>179</v>
      </c>
      <c r="L44" s="34"/>
      <c r="M44" s="34"/>
      <c r="N44" s="34" t="s">
        <v>905</v>
      </c>
      <c r="O44" s="34" t="s">
        <v>850</v>
      </c>
      <c r="P44" s="34"/>
      <c r="Q44" s="34" t="s">
        <v>296</v>
      </c>
      <c r="R44" s="34" t="s">
        <v>906</v>
      </c>
      <c r="S44" s="34"/>
      <c r="T44" s="34" t="s">
        <v>907</v>
      </c>
      <c r="U44" s="34"/>
      <c r="V44" s="34" t="s">
        <v>949</v>
      </c>
      <c r="W44" s="34"/>
      <c r="X44" s="34" t="s">
        <v>909</v>
      </c>
      <c r="Y44" s="34" t="s">
        <v>47</v>
      </c>
      <c r="Z44" s="34">
        <v>2142</v>
      </c>
      <c r="AA44" s="34" t="s">
        <v>393</v>
      </c>
      <c r="AB44" s="34" t="s">
        <v>393</v>
      </c>
      <c r="AC44" s="34"/>
      <c r="AD44" s="34"/>
      <c r="AE44" s="34"/>
      <c r="AF44" s="34" t="s">
        <v>364</v>
      </c>
      <c r="AG44" s="34"/>
      <c r="AH44" s="34"/>
      <c r="AI44" s="34">
        <v>43646</v>
      </c>
      <c r="AJ44" s="34">
        <v>5</v>
      </c>
      <c r="AK44" s="34">
        <v>69.3</v>
      </c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 t="s">
        <v>50</v>
      </c>
      <c r="BL44" s="34" t="s">
        <v>167</v>
      </c>
      <c r="BM44" s="34" t="s">
        <v>166</v>
      </c>
      <c r="BN44" s="34">
        <v>43706.777168553243</v>
      </c>
      <c r="BO44" s="34"/>
      <c r="BP44" s="34"/>
      <c r="BQ44" s="34"/>
      <c r="BR44" s="34" t="s">
        <v>165</v>
      </c>
      <c r="BS44" s="34">
        <v>4.0801201916624399E+18</v>
      </c>
      <c r="BT44" s="34" t="s">
        <v>164</v>
      </c>
      <c r="BU44" s="34" t="s">
        <v>362</v>
      </c>
      <c r="BV44" s="34">
        <v>2020</v>
      </c>
      <c r="BW44" s="34" t="s">
        <v>163</v>
      </c>
      <c r="BX44" s="34"/>
      <c r="BY44" s="34">
        <v>4.0828201911246397E+18</v>
      </c>
      <c r="BZ44" s="34" t="s">
        <v>992</v>
      </c>
      <c r="CA44" s="34" t="s">
        <v>161</v>
      </c>
    </row>
    <row r="45" spans="1:79" x14ac:dyDescent="0.25">
      <c r="A45" s="34" t="s">
        <v>374</v>
      </c>
      <c r="B45" s="34" t="s">
        <v>287</v>
      </c>
      <c r="C45" s="34">
        <v>2019</v>
      </c>
      <c r="D45" s="34" t="s">
        <v>852</v>
      </c>
      <c r="E45" s="34">
        <v>2.0190729915684998E+17</v>
      </c>
      <c r="F45" s="34" t="s">
        <v>182</v>
      </c>
      <c r="G45" s="34" t="s">
        <v>1004</v>
      </c>
      <c r="H45" s="34">
        <v>1344765</v>
      </c>
      <c r="I45" s="34"/>
      <c r="J45" s="34" t="s">
        <v>180</v>
      </c>
      <c r="K45" s="34" t="s">
        <v>179</v>
      </c>
      <c r="L45" s="34"/>
      <c r="M45" s="34"/>
      <c r="N45" s="34" t="s">
        <v>905</v>
      </c>
      <c r="O45" s="34" t="s">
        <v>850</v>
      </c>
      <c r="P45" s="34"/>
      <c r="Q45" s="34" t="s">
        <v>296</v>
      </c>
      <c r="R45" s="34" t="s">
        <v>906</v>
      </c>
      <c r="S45" s="34"/>
      <c r="T45" s="34" t="s">
        <v>907</v>
      </c>
      <c r="U45" s="34"/>
      <c r="V45" s="34" t="s">
        <v>949</v>
      </c>
      <c r="W45" s="34"/>
      <c r="X45" s="34" t="s">
        <v>909</v>
      </c>
      <c r="Y45" s="34" t="s">
        <v>47</v>
      </c>
      <c r="Z45" s="34">
        <v>2142</v>
      </c>
      <c r="AA45" s="34" t="s">
        <v>393</v>
      </c>
      <c r="AB45" s="34" t="s">
        <v>393</v>
      </c>
      <c r="AC45" s="34"/>
      <c r="AD45" s="34"/>
      <c r="AE45" s="34"/>
      <c r="AF45" s="34" t="s">
        <v>377</v>
      </c>
      <c r="AG45" s="34"/>
      <c r="AH45" s="34"/>
      <c r="AI45" s="34">
        <v>43487</v>
      </c>
      <c r="AJ45" s="34">
        <v>25</v>
      </c>
      <c r="AK45" s="34">
        <v>75</v>
      </c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 t="s">
        <v>50</v>
      </c>
      <c r="BL45" s="34" t="s">
        <v>167</v>
      </c>
      <c r="BM45" s="34" t="s">
        <v>166</v>
      </c>
      <c r="BN45" s="34">
        <v>43706.792561863425</v>
      </c>
      <c r="BO45" s="34"/>
      <c r="BP45" s="34"/>
      <c r="BQ45" s="34"/>
      <c r="BR45" s="34" t="s">
        <v>165</v>
      </c>
      <c r="BS45" s="34">
        <v>4.0801201916624399E+18</v>
      </c>
      <c r="BT45" s="34" t="s">
        <v>164</v>
      </c>
      <c r="BU45" s="34" t="s">
        <v>952</v>
      </c>
      <c r="BV45" s="34">
        <v>2020</v>
      </c>
      <c r="BW45" s="34" t="s">
        <v>163</v>
      </c>
      <c r="BX45" s="34"/>
      <c r="BY45" s="34">
        <v>4.08282019112463E+18</v>
      </c>
      <c r="BZ45" s="34" t="s">
        <v>953</v>
      </c>
      <c r="CA45" s="34" t="s">
        <v>161</v>
      </c>
    </row>
    <row r="46" spans="1:79" x14ac:dyDescent="0.25">
      <c r="A46" s="34" t="s">
        <v>374</v>
      </c>
      <c r="B46" s="34" t="s">
        <v>287</v>
      </c>
      <c r="C46" s="34">
        <v>2019</v>
      </c>
      <c r="D46" s="34" t="s">
        <v>852</v>
      </c>
      <c r="E46" s="34">
        <v>2.0190729915684998E+17</v>
      </c>
      <c r="F46" s="34" t="s">
        <v>182</v>
      </c>
      <c r="G46" s="34" t="s">
        <v>1005</v>
      </c>
      <c r="H46" s="34">
        <v>1344765</v>
      </c>
      <c r="I46" s="34"/>
      <c r="J46" s="34" t="s">
        <v>180</v>
      </c>
      <c r="K46" s="34" t="s">
        <v>179</v>
      </c>
      <c r="L46" s="34"/>
      <c r="M46" s="34"/>
      <c r="N46" s="34" t="s">
        <v>905</v>
      </c>
      <c r="O46" s="34" t="s">
        <v>850</v>
      </c>
      <c r="P46" s="34"/>
      <c r="Q46" s="34" t="s">
        <v>296</v>
      </c>
      <c r="R46" s="34" t="s">
        <v>906</v>
      </c>
      <c r="S46" s="34"/>
      <c r="T46" s="34" t="s">
        <v>907</v>
      </c>
      <c r="U46" s="34"/>
      <c r="V46" s="34" t="s">
        <v>949</v>
      </c>
      <c r="W46" s="34"/>
      <c r="X46" s="34" t="s">
        <v>909</v>
      </c>
      <c r="Y46" s="34" t="s">
        <v>47</v>
      </c>
      <c r="Z46" s="34">
        <v>2142</v>
      </c>
      <c r="AA46" s="34" t="s">
        <v>393</v>
      </c>
      <c r="AB46" s="34" t="s">
        <v>393</v>
      </c>
      <c r="AC46" s="34"/>
      <c r="AD46" s="34"/>
      <c r="AE46" s="34"/>
      <c r="AF46" s="34" t="s">
        <v>377</v>
      </c>
      <c r="AG46" s="34"/>
      <c r="AH46" s="34"/>
      <c r="AI46" s="34">
        <v>43510</v>
      </c>
      <c r="AJ46" s="34">
        <v>25</v>
      </c>
      <c r="AK46" s="34">
        <v>75</v>
      </c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 t="s">
        <v>50</v>
      </c>
      <c r="BL46" s="34" t="s">
        <v>167</v>
      </c>
      <c r="BM46" s="34" t="s">
        <v>166</v>
      </c>
      <c r="BN46" s="34">
        <v>43706.808245497683</v>
      </c>
      <c r="BO46" s="34"/>
      <c r="BP46" s="34"/>
      <c r="BQ46" s="34"/>
      <c r="BR46" s="34" t="s">
        <v>165</v>
      </c>
      <c r="BS46" s="34">
        <v>4.0801201916624399E+18</v>
      </c>
      <c r="BT46" s="34" t="s">
        <v>164</v>
      </c>
      <c r="BU46" s="34" t="s">
        <v>952</v>
      </c>
      <c r="BV46" s="34">
        <v>2020</v>
      </c>
      <c r="BW46" s="34" t="s">
        <v>163</v>
      </c>
      <c r="BX46" s="34"/>
      <c r="BY46" s="34">
        <v>4.08282019112463E+18</v>
      </c>
      <c r="BZ46" s="34" t="s">
        <v>962</v>
      </c>
      <c r="CA46" s="34" t="s">
        <v>161</v>
      </c>
    </row>
    <row r="47" spans="1:79" x14ac:dyDescent="0.25">
      <c r="A47" s="34" t="s">
        <v>374</v>
      </c>
      <c r="B47" s="34" t="s">
        <v>287</v>
      </c>
      <c r="C47" s="34">
        <v>2019</v>
      </c>
      <c r="D47" s="34" t="s">
        <v>852</v>
      </c>
      <c r="E47" s="34">
        <v>2.0190729915684998E+17</v>
      </c>
      <c r="F47" s="34" t="s">
        <v>182</v>
      </c>
      <c r="G47" s="34" t="s">
        <v>1006</v>
      </c>
      <c r="H47" s="34">
        <v>1344765</v>
      </c>
      <c r="I47" s="34"/>
      <c r="J47" s="34" t="s">
        <v>180</v>
      </c>
      <c r="K47" s="34" t="s">
        <v>179</v>
      </c>
      <c r="L47" s="34"/>
      <c r="M47" s="34"/>
      <c r="N47" s="34" t="s">
        <v>905</v>
      </c>
      <c r="O47" s="34" t="s">
        <v>850</v>
      </c>
      <c r="P47" s="34"/>
      <c r="Q47" s="34" t="s">
        <v>296</v>
      </c>
      <c r="R47" s="34" t="s">
        <v>906</v>
      </c>
      <c r="S47" s="34"/>
      <c r="T47" s="34" t="s">
        <v>907</v>
      </c>
      <c r="U47" s="34"/>
      <c r="V47" s="34" t="s">
        <v>949</v>
      </c>
      <c r="W47" s="34"/>
      <c r="X47" s="34" t="s">
        <v>909</v>
      </c>
      <c r="Y47" s="34" t="s">
        <v>47</v>
      </c>
      <c r="Z47" s="34">
        <v>2142</v>
      </c>
      <c r="AA47" s="34" t="s">
        <v>393</v>
      </c>
      <c r="AB47" s="34" t="s">
        <v>393</v>
      </c>
      <c r="AC47" s="34"/>
      <c r="AD47" s="34"/>
      <c r="AE47" s="34"/>
      <c r="AF47" s="34" t="s">
        <v>364</v>
      </c>
      <c r="AG47" s="34"/>
      <c r="AH47" s="34"/>
      <c r="AI47" s="34">
        <v>43643</v>
      </c>
      <c r="AJ47" s="34">
        <v>2.7</v>
      </c>
      <c r="AK47" s="34">
        <v>69.3</v>
      </c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 t="s">
        <v>50</v>
      </c>
      <c r="BL47" s="34" t="s">
        <v>167</v>
      </c>
      <c r="BM47" s="34" t="s">
        <v>166</v>
      </c>
      <c r="BN47" s="34">
        <v>43706.824128993052</v>
      </c>
      <c r="BO47" s="34"/>
      <c r="BP47" s="34"/>
      <c r="BQ47" s="34"/>
      <c r="BR47" s="34" t="s">
        <v>165</v>
      </c>
      <c r="BS47" s="34">
        <v>4.0801201916624399E+18</v>
      </c>
      <c r="BT47" s="34" t="s">
        <v>164</v>
      </c>
      <c r="BU47" s="34" t="s">
        <v>362</v>
      </c>
      <c r="BV47" s="34">
        <v>2020</v>
      </c>
      <c r="BW47" s="34" t="s">
        <v>163</v>
      </c>
      <c r="BX47" s="34"/>
      <c r="BY47" s="34">
        <v>4.0828201911246397E+18</v>
      </c>
      <c r="BZ47" s="34" t="s">
        <v>989</v>
      </c>
      <c r="CA47" s="34" t="s">
        <v>161</v>
      </c>
    </row>
    <row r="48" spans="1:79" x14ac:dyDescent="0.25">
      <c r="A48" s="34" t="s">
        <v>374</v>
      </c>
      <c r="B48" s="34" t="s">
        <v>287</v>
      </c>
      <c r="C48" s="34">
        <v>2019</v>
      </c>
      <c r="D48" s="34" t="s">
        <v>852</v>
      </c>
      <c r="E48" s="34">
        <v>2.0190729915684998E+17</v>
      </c>
      <c r="F48" s="34" t="s">
        <v>182</v>
      </c>
      <c r="G48" s="34" t="s">
        <v>1007</v>
      </c>
      <c r="H48" s="34">
        <v>1344765</v>
      </c>
      <c r="I48" s="34"/>
      <c r="J48" s="34" t="s">
        <v>180</v>
      </c>
      <c r="K48" s="34" t="s">
        <v>179</v>
      </c>
      <c r="L48" s="34"/>
      <c r="M48" s="34"/>
      <c r="N48" s="34" t="s">
        <v>905</v>
      </c>
      <c r="O48" s="34" t="s">
        <v>850</v>
      </c>
      <c r="P48" s="34"/>
      <c r="Q48" s="34" t="s">
        <v>296</v>
      </c>
      <c r="R48" s="34" t="s">
        <v>906</v>
      </c>
      <c r="S48" s="34"/>
      <c r="T48" s="34" t="s">
        <v>907</v>
      </c>
      <c r="U48" s="34"/>
      <c r="V48" s="34" t="s">
        <v>949</v>
      </c>
      <c r="W48" s="34"/>
      <c r="X48" s="34" t="s">
        <v>909</v>
      </c>
      <c r="Y48" s="34" t="s">
        <v>47</v>
      </c>
      <c r="Z48" s="34">
        <v>2142</v>
      </c>
      <c r="AA48" s="34" t="s">
        <v>393</v>
      </c>
      <c r="AB48" s="34" t="s">
        <v>393</v>
      </c>
      <c r="AC48" s="34"/>
      <c r="AD48" s="34"/>
      <c r="AE48" s="34"/>
      <c r="AF48" s="34" t="s">
        <v>377</v>
      </c>
      <c r="AG48" s="34"/>
      <c r="AH48" s="34"/>
      <c r="AI48" s="34">
        <v>43646</v>
      </c>
      <c r="AJ48" s="34">
        <v>50</v>
      </c>
      <c r="AK48" s="34">
        <v>183</v>
      </c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 t="s">
        <v>50</v>
      </c>
      <c r="BL48" s="34" t="s">
        <v>167</v>
      </c>
      <c r="BM48" s="34" t="s">
        <v>166</v>
      </c>
      <c r="BN48" s="34">
        <v>43706.82410164352</v>
      </c>
      <c r="BO48" s="34"/>
      <c r="BP48" s="34"/>
      <c r="BQ48" s="34"/>
      <c r="BR48" s="34" t="s">
        <v>165</v>
      </c>
      <c r="BS48" s="34">
        <v>4.0801201916624399E+18</v>
      </c>
      <c r="BT48" s="34" t="s">
        <v>164</v>
      </c>
      <c r="BU48" s="34" t="s">
        <v>957</v>
      </c>
      <c r="BV48" s="34">
        <v>2020</v>
      </c>
      <c r="BW48" s="34" t="s">
        <v>163</v>
      </c>
      <c r="BX48" s="34"/>
      <c r="BY48" s="34">
        <v>4.0828201911246397E+18</v>
      </c>
      <c r="BZ48" s="34" t="s">
        <v>994</v>
      </c>
      <c r="CA48" s="34" t="s">
        <v>161</v>
      </c>
    </row>
    <row r="49" spans="1:79" x14ac:dyDescent="0.25">
      <c r="A49" s="34" t="s">
        <v>374</v>
      </c>
      <c r="B49" s="34" t="s">
        <v>287</v>
      </c>
      <c r="C49" s="34">
        <v>2019</v>
      </c>
      <c r="D49" s="34" t="s">
        <v>852</v>
      </c>
      <c r="E49" s="34">
        <v>2.0190729915684998E+17</v>
      </c>
      <c r="F49" s="34" t="s">
        <v>182</v>
      </c>
      <c r="G49" s="34" t="s">
        <v>1008</v>
      </c>
      <c r="H49" s="34">
        <v>1344765</v>
      </c>
      <c r="I49" s="34"/>
      <c r="J49" s="34" t="s">
        <v>180</v>
      </c>
      <c r="K49" s="34" t="s">
        <v>179</v>
      </c>
      <c r="L49" s="34"/>
      <c r="M49" s="34"/>
      <c r="N49" s="34" t="s">
        <v>905</v>
      </c>
      <c r="O49" s="34" t="s">
        <v>850</v>
      </c>
      <c r="P49" s="34"/>
      <c r="Q49" s="34" t="s">
        <v>296</v>
      </c>
      <c r="R49" s="34" t="s">
        <v>906</v>
      </c>
      <c r="S49" s="34"/>
      <c r="T49" s="34" t="s">
        <v>907</v>
      </c>
      <c r="U49" s="34"/>
      <c r="V49" s="34" t="s">
        <v>949</v>
      </c>
      <c r="W49" s="34"/>
      <c r="X49" s="34" t="s">
        <v>909</v>
      </c>
      <c r="Y49" s="34" t="s">
        <v>47</v>
      </c>
      <c r="Z49" s="34">
        <v>2142</v>
      </c>
      <c r="AA49" s="34" t="s">
        <v>393</v>
      </c>
      <c r="AB49" s="34" t="s">
        <v>393</v>
      </c>
      <c r="AC49" s="34"/>
      <c r="AD49" s="34"/>
      <c r="AE49" s="34"/>
      <c r="AF49" s="34" t="s">
        <v>377</v>
      </c>
      <c r="AG49" s="34"/>
      <c r="AH49" s="34"/>
      <c r="AI49" s="34">
        <v>43582</v>
      </c>
      <c r="AJ49" s="34">
        <v>27</v>
      </c>
      <c r="AK49" s="34">
        <v>183</v>
      </c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 t="s">
        <v>50</v>
      </c>
      <c r="BL49" s="34" t="s">
        <v>167</v>
      </c>
      <c r="BM49" s="34" t="s">
        <v>166</v>
      </c>
      <c r="BN49" s="34">
        <v>43706.839546238429</v>
      </c>
      <c r="BO49" s="34"/>
      <c r="BP49" s="34"/>
      <c r="BQ49" s="34"/>
      <c r="BR49" s="34" t="s">
        <v>165</v>
      </c>
      <c r="BS49" s="34">
        <v>4.0801201916624399E+18</v>
      </c>
      <c r="BT49" s="34" t="s">
        <v>164</v>
      </c>
      <c r="BU49" s="34" t="s">
        <v>957</v>
      </c>
      <c r="BV49" s="34">
        <v>2020</v>
      </c>
      <c r="BW49" s="34" t="s">
        <v>163</v>
      </c>
      <c r="BX49" s="34"/>
      <c r="BY49" s="34">
        <v>4.08282019112463E+18</v>
      </c>
      <c r="BZ49" s="34" t="s">
        <v>971</v>
      </c>
      <c r="CA49" s="34" t="s">
        <v>161</v>
      </c>
    </row>
    <row r="50" spans="1:79" x14ac:dyDescent="0.25">
      <c r="A50" s="34" t="s">
        <v>374</v>
      </c>
      <c r="B50" s="34" t="s">
        <v>287</v>
      </c>
      <c r="C50" s="34">
        <v>2019</v>
      </c>
      <c r="D50" s="34" t="s">
        <v>852</v>
      </c>
      <c r="E50" s="34">
        <v>2.0190729915684998E+17</v>
      </c>
      <c r="F50" s="34" t="s">
        <v>182</v>
      </c>
      <c r="G50" s="34" t="s">
        <v>1009</v>
      </c>
      <c r="H50" s="34">
        <v>1344765</v>
      </c>
      <c r="I50" s="34"/>
      <c r="J50" s="34" t="s">
        <v>180</v>
      </c>
      <c r="K50" s="34" t="s">
        <v>179</v>
      </c>
      <c r="L50" s="34"/>
      <c r="M50" s="34"/>
      <c r="N50" s="34" t="s">
        <v>905</v>
      </c>
      <c r="O50" s="34" t="s">
        <v>850</v>
      </c>
      <c r="P50" s="34"/>
      <c r="Q50" s="34" t="s">
        <v>296</v>
      </c>
      <c r="R50" s="34" t="s">
        <v>906</v>
      </c>
      <c r="S50" s="34"/>
      <c r="T50" s="34" t="s">
        <v>907</v>
      </c>
      <c r="U50" s="34"/>
      <c r="V50" s="34" t="s">
        <v>949</v>
      </c>
      <c r="W50" s="34"/>
      <c r="X50" s="34" t="s">
        <v>909</v>
      </c>
      <c r="Y50" s="34" t="s">
        <v>47</v>
      </c>
      <c r="Z50" s="34">
        <v>2142</v>
      </c>
      <c r="AA50" s="34" t="s">
        <v>393</v>
      </c>
      <c r="AB50" s="34" t="s">
        <v>393</v>
      </c>
      <c r="AC50" s="34"/>
      <c r="AD50" s="34"/>
      <c r="AE50" s="34"/>
      <c r="AF50" s="34" t="s">
        <v>377</v>
      </c>
      <c r="AG50" s="34"/>
      <c r="AH50" s="34"/>
      <c r="AI50" s="34">
        <v>43643</v>
      </c>
      <c r="AJ50" s="34">
        <v>27</v>
      </c>
      <c r="AK50" s="34">
        <v>183</v>
      </c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 t="s">
        <v>50</v>
      </c>
      <c r="BL50" s="34" t="s">
        <v>167</v>
      </c>
      <c r="BM50" s="34" t="s">
        <v>166</v>
      </c>
      <c r="BN50" s="34">
        <v>43706.83955931713</v>
      </c>
      <c r="BO50" s="34"/>
      <c r="BP50" s="34"/>
      <c r="BQ50" s="34"/>
      <c r="BR50" s="34" t="s">
        <v>165</v>
      </c>
      <c r="BS50" s="34">
        <v>4.0801201916624399E+18</v>
      </c>
      <c r="BT50" s="34" t="s">
        <v>164</v>
      </c>
      <c r="BU50" s="34" t="s">
        <v>957</v>
      </c>
      <c r="BV50" s="34">
        <v>2020</v>
      </c>
      <c r="BW50" s="34" t="s">
        <v>163</v>
      </c>
      <c r="BX50" s="34"/>
      <c r="BY50" s="34">
        <v>4.0828201911246397E+18</v>
      </c>
      <c r="BZ50" s="34" t="s">
        <v>989</v>
      </c>
      <c r="CA50" s="34" t="s">
        <v>161</v>
      </c>
    </row>
    <row r="51" spans="1:79" x14ac:dyDescent="0.25">
      <c r="A51" s="34" t="s">
        <v>374</v>
      </c>
      <c r="B51" s="34" t="s">
        <v>287</v>
      </c>
      <c r="C51" s="34">
        <v>2019</v>
      </c>
      <c r="D51" s="34" t="s">
        <v>852</v>
      </c>
      <c r="E51" s="34">
        <v>2.0190729915684998E+17</v>
      </c>
      <c r="F51" s="34" t="s">
        <v>182</v>
      </c>
      <c r="G51" s="34" t="s">
        <v>1010</v>
      </c>
      <c r="H51" s="34">
        <v>1344765</v>
      </c>
      <c r="I51" s="34"/>
      <c r="J51" s="34" t="s">
        <v>180</v>
      </c>
      <c r="K51" s="34" t="s">
        <v>179</v>
      </c>
      <c r="L51" s="34" t="s">
        <v>903</v>
      </c>
      <c r="M51" s="34"/>
      <c r="N51" s="34" t="s">
        <v>905</v>
      </c>
      <c r="O51" s="34" t="s">
        <v>850</v>
      </c>
      <c r="P51" s="34"/>
      <c r="Q51" s="34" t="s">
        <v>296</v>
      </c>
      <c r="R51" s="34" t="s">
        <v>906</v>
      </c>
      <c r="S51" s="34"/>
      <c r="T51" s="34" t="s">
        <v>907</v>
      </c>
      <c r="U51" s="34"/>
      <c r="V51" s="34" t="s">
        <v>949</v>
      </c>
      <c r="W51" s="34"/>
      <c r="X51" s="34" t="s">
        <v>909</v>
      </c>
      <c r="Y51" s="34" t="s">
        <v>47</v>
      </c>
      <c r="Z51" s="34">
        <v>2142</v>
      </c>
      <c r="AA51" s="34" t="s">
        <v>393</v>
      </c>
      <c r="AB51" s="34" t="s">
        <v>393</v>
      </c>
      <c r="AC51" s="34" t="s">
        <v>903</v>
      </c>
      <c r="AD51" s="34" t="s">
        <v>383</v>
      </c>
      <c r="AE51" s="34" t="s">
        <v>382</v>
      </c>
      <c r="AF51" s="34" t="s">
        <v>377</v>
      </c>
      <c r="AG51" s="34"/>
      <c r="AH51" s="34"/>
      <c r="AI51" s="34">
        <v>43625</v>
      </c>
      <c r="AJ51" s="34">
        <v>50</v>
      </c>
      <c r="AK51" s="34">
        <v>260</v>
      </c>
      <c r="AL51" s="34" t="s">
        <v>973</v>
      </c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 t="s">
        <v>50</v>
      </c>
      <c r="BL51" s="34" t="s">
        <v>167</v>
      </c>
      <c r="BM51" s="34" t="s">
        <v>166</v>
      </c>
      <c r="BN51" s="34">
        <v>43706.854908055553</v>
      </c>
      <c r="BO51" s="34"/>
      <c r="BP51" s="34"/>
      <c r="BQ51" s="34"/>
      <c r="BR51" s="34" t="s">
        <v>165</v>
      </c>
      <c r="BS51" s="34">
        <v>4.0801201916624399E+18</v>
      </c>
      <c r="BT51" s="34" t="s">
        <v>164</v>
      </c>
      <c r="BU51" s="34" t="s">
        <v>974</v>
      </c>
      <c r="BV51" s="34">
        <v>2020</v>
      </c>
      <c r="BW51" s="34" t="s">
        <v>163</v>
      </c>
      <c r="BX51" s="34"/>
      <c r="BY51" s="34">
        <v>4.0828201911246397E+18</v>
      </c>
      <c r="BZ51" s="34" t="s">
        <v>1011</v>
      </c>
      <c r="CA51" s="34" t="s">
        <v>161</v>
      </c>
    </row>
    <row r="52" spans="1:79" x14ac:dyDescent="0.25">
      <c r="A52" s="34" t="s">
        <v>374</v>
      </c>
      <c r="B52" s="34" t="s">
        <v>287</v>
      </c>
      <c r="C52" s="34">
        <v>2019</v>
      </c>
      <c r="D52" s="34" t="s">
        <v>852</v>
      </c>
      <c r="E52" s="34">
        <v>2.0190729915684998E+17</v>
      </c>
      <c r="F52" s="34" t="s">
        <v>182</v>
      </c>
      <c r="G52" s="34" t="s">
        <v>1012</v>
      </c>
      <c r="H52" s="34">
        <v>1344765</v>
      </c>
      <c r="I52" s="34"/>
      <c r="J52" s="34" t="s">
        <v>180</v>
      </c>
      <c r="K52" s="34" t="s">
        <v>179</v>
      </c>
      <c r="L52" s="34" t="s">
        <v>903</v>
      </c>
      <c r="M52" s="34"/>
      <c r="N52" s="34" t="s">
        <v>905</v>
      </c>
      <c r="O52" s="34" t="s">
        <v>850</v>
      </c>
      <c r="P52" s="34"/>
      <c r="Q52" s="34" t="s">
        <v>296</v>
      </c>
      <c r="R52" s="34" t="s">
        <v>906</v>
      </c>
      <c r="S52" s="34"/>
      <c r="T52" s="34" t="s">
        <v>907</v>
      </c>
      <c r="U52" s="34"/>
      <c r="V52" s="34" t="s">
        <v>949</v>
      </c>
      <c r="W52" s="34"/>
      <c r="X52" s="34" t="s">
        <v>909</v>
      </c>
      <c r="Y52" s="34" t="s">
        <v>47</v>
      </c>
      <c r="Z52" s="34">
        <v>2142</v>
      </c>
      <c r="AA52" s="34" t="s">
        <v>393</v>
      </c>
      <c r="AB52" s="34" t="s">
        <v>393</v>
      </c>
      <c r="AC52" s="34" t="s">
        <v>903</v>
      </c>
      <c r="AD52" s="34" t="s">
        <v>383</v>
      </c>
      <c r="AE52" s="34" t="s">
        <v>382</v>
      </c>
      <c r="AF52" s="34" t="s">
        <v>377</v>
      </c>
      <c r="AG52" s="34"/>
      <c r="AH52" s="34"/>
      <c r="AI52" s="34">
        <v>43599</v>
      </c>
      <c r="AJ52" s="34">
        <v>50</v>
      </c>
      <c r="AK52" s="34">
        <v>260</v>
      </c>
      <c r="AL52" s="34" t="s">
        <v>973</v>
      </c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 t="s">
        <v>50</v>
      </c>
      <c r="BL52" s="34" t="s">
        <v>167</v>
      </c>
      <c r="BM52" s="34" t="s">
        <v>166</v>
      </c>
      <c r="BN52" s="34">
        <v>43706.868525243059</v>
      </c>
      <c r="BO52" s="34"/>
      <c r="BP52" s="34"/>
      <c r="BQ52" s="34"/>
      <c r="BR52" s="34" t="s">
        <v>165</v>
      </c>
      <c r="BS52" s="34">
        <v>4.0801201916624399E+18</v>
      </c>
      <c r="BT52" s="34" t="s">
        <v>164</v>
      </c>
      <c r="BU52" s="34" t="s">
        <v>974</v>
      </c>
      <c r="BV52" s="34">
        <v>2020</v>
      </c>
      <c r="BW52" s="34" t="s">
        <v>163</v>
      </c>
      <c r="BX52" s="34"/>
      <c r="BY52" s="34">
        <v>4.08282019112463E+18</v>
      </c>
      <c r="BZ52" s="34" t="s">
        <v>979</v>
      </c>
      <c r="CA52" s="34" t="s">
        <v>161</v>
      </c>
    </row>
    <row r="53" spans="1:79" x14ac:dyDescent="0.25">
      <c r="A53" s="34" t="s">
        <v>903</v>
      </c>
      <c r="B53" s="34" t="s">
        <v>904</v>
      </c>
      <c r="C53" s="34">
        <v>2019</v>
      </c>
      <c r="D53" s="34" t="s">
        <v>407</v>
      </c>
      <c r="E53" s="34">
        <v>2.0190906916319501E+17</v>
      </c>
      <c r="F53" s="34" t="s">
        <v>450</v>
      </c>
      <c r="G53" s="34">
        <v>3080420</v>
      </c>
      <c r="H53" s="34">
        <v>1350879</v>
      </c>
      <c r="I53" s="34"/>
      <c r="J53" s="34" t="s">
        <v>180</v>
      </c>
      <c r="K53" s="34" t="s">
        <v>179</v>
      </c>
      <c r="L53" s="34" t="s">
        <v>374</v>
      </c>
      <c r="M53" s="34"/>
      <c r="N53" s="34" t="s">
        <v>905</v>
      </c>
      <c r="O53" s="34" t="s">
        <v>28</v>
      </c>
      <c r="P53" s="34"/>
      <c r="Q53" s="34" t="s">
        <v>28</v>
      </c>
      <c r="R53" s="34" t="s">
        <v>906</v>
      </c>
      <c r="S53" s="34"/>
      <c r="T53" s="34" t="s">
        <v>907</v>
      </c>
      <c r="U53" s="34"/>
      <c r="V53" s="34" t="s">
        <v>908</v>
      </c>
      <c r="W53" s="34"/>
      <c r="X53" s="34" t="s">
        <v>909</v>
      </c>
      <c r="Y53" s="34" t="s">
        <v>47</v>
      </c>
      <c r="Z53" s="34">
        <v>21421229</v>
      </c>
      <c r="AA53" s="34" t="s">
        <v>910</v>
      </c>
      <c r="AB53" s="34" t="s">
        <v>393</v>
      </c>
      <c r="AC53" s="34" t="s">
        <v>374</v>
      </c>
      <c r="AD53" s="34" t="s">
        <v>345</v>
      </c>
      <c r="AE53" s="34" t="s">
        <v>344</v>
      </c>
      <c r="AF53" s="34"/>
      <c r="AG53" s="34"/>
      <c r="AH53" s="34"/>
      <c r="AI53" s="34">
        <v>43599</v>
      </c>
      <c r="AJ53" s="34">
        <v>50</v>
      </c>
      <c r="AK53" s="34">
        <v>260</v>
      </c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 t="s">
        <v>446</v>
      </c>
      <c r="BH53" s="34"/>
      <c r="BI53" s="34" t="s">
        <v>168</v>
      </c>
      <c r="BJ53" s="34">
        <v>2020</v>
      </c>
      <c r="BK53" s="34" t="s">
        <v>0</v>
      </c>
      <c r="BL53" s="34" t="s">
        <v>186</v>
      </c>
      <c r="BM53" s="34" t="s">
        <v>166</v>
      </c>
      <c r="BN53" s="34">
        <v>43720.113086157406</v>
      </c>
      <c r="BO53" s="34"/>
      <c r="BP53" s="34" t="s">
        <v>1013</v>
      </c>
      <c r="BQ53" s="34" t="s">
        <v>877</v>
      </c>
      <c r="BR53" s="34" t="s">
        <v>445</v>
      </c>
      <c r="BS53" s="34">
        <v>4.0906201916723098E+18</v>
      </c>
      <c r="BT53" s="34" t="s">
        <v>164</v>
      </c>
      <c r="BU53" s="34" t="s">
        <v>512</v>
      </c>
      <c r="BV53" s="34">
        <v>2020</v>
      </c>
      <c r="BW53" s="34" t="s">
        <v>163</v>
      </c>
      <c r="BX53" s="34"/>
      <c r="BY53" s="34">
        <v>4.0911201916726098E+18</v>
      </c>
      <c r="BZ53" s="34" t="s">
        <v>1014</v>
      </c>
      <c r="CA53" s="34" t="s">
        <v>161</v>
      </c>
    </row>
    <row r="54" spans="1:79" x14ac:dyDescent="0.25">
      <c r="A54" s="34" t="s">
        <v>903</v>
      </c>
      <c r="B54" s="34" t="s">
        <v>904</v>
      </c>
      <c r="C54" s="34">
        <v>2019</v>
      </c>
      <c r="D54" s="34" t="s">
        <v>407</v>
      </c>
      <c r="E54" s="34">
        <v>2.0190906916319501E+17</v>
      </c>
      <c r="F54" s="34" t="s">
        <v>450</v>
      </c>
      <c r="G54" s="34">
        <v>3526780</v>
      </c>
      <c r="H54" s="34">
        <v>1350879</v>
      </c>
      <c r="I54" s="34"/>
      <c r="J54" s="34" t="s">
        <v>180</v>
      </c>
      <c r="K54" s="34" t="s">
        <v>179</v>
      </c>
      <c r="L54" s="34" t="s">
        <v>374</v>
      </c>
      <c r="M54" s="34"/>
      <c r="N54" s="34" t="s">
        <v>905</v>
      </c>
      <c r="O54" s="34" t="s">
        <v>28</v>
      </c>
      <c r="P54" s="34"/>
      <c r="Q54" s="34" t="s">
        <v>28</v>
      </c>
      <c r="R54" s="34" t="s">
        <v>906</v>
      </c>
      <c r="S54" s="34"/>
      <c r="T54" s="34" t="s">
        <v>907</v>
      </c>
      <c r="U54" s="34"/>
      <c r="V54" s="34" t="s">
        <v>908</v>
      </c>
      <c r="W54" s="34"/>
      <c r="X54" s="34" t="s">
        <v>909</v>
      </c>
      <c r="Y54" s="34" t="s">
        <v>47</v>
      </c>
      <c r="Z54" s="34">
        <v>21421229</v>
      </c>
      <c r="AA54" s="34" t="s">
        <v>910</v>
      </c>
      <c r="AB54" s="34" t="s">
        <v>393</v>
      </c>
      <c r="AC54" s="34" t="s">
        <v>374</v>
      </c>
      <c r="AD54" s="34" t="s">
        <v>345</v>
      </c>
      <c r="AE54" s="34" t="s">
        <v>344</v>
      </c>
      <c r="AF54" s="34"/>
      <c r="AG54" s="34"/>
      <c r="AH54" s="34"/>
      <c r="AI54" s="34">
        <v>43646</v>
      </c>
      <c r="AJ54" s="34">
        <v>50</v>
      </c>
      <c r="AK54" s="34">
        <v>260</v>
      </c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 t="s">
        <v>446</v>
      </c>
      <c r="BH54" s="34"/>
      <c r="BI54" s="34" t="s">
        <v>168</v>
      </c>
      <c r="BJ54" s="34">
        <v>2020</v>
      </c>
      <c r="BK54" s="34" t="s">
        <v>0</v>
      </c>
      <c r="BL54" s="34" t="s">
        <v>186</v>
      </c>
      <c r="BM54" s="34" t="s">
        <v>166</v>
      </c>
      <c r="BN54" s="34">
        <v>43720.113086168982</v>
      </c>
      <c r="BO54" s="34"/>
      <c r="BP54" s="34" t="s">
        <v>1015</v>
      </c>
      <c r="BQ54" s="34" t="s">
        <v>877</v>
      </c>
      <c r="BR54" s="34" t="s">
        <v>445</v>
      </c>
      <c r="BS54" s="34">
        <v>4.0906201916723098E+18</v>
      </c>
      <c r="BT54" s="34" t="s">
        <v>164</v>
      </c>
      <c r="BU54" s="34" t="s">
        <v>512</v>
      </c>
      <c r="BV54" s="34">
        <v>2020</v>
      </c>
      <c r="BW54" s="34" t="s">
        <v>163</v>
      </c>
      <c r="BX54" s="34"/>
      <c r="BY54" s="34">
        <v>4.0911201916726098E+18</v>
      </c>
      <c r="BZ54" s="34" t="s">
        <v>1016</v>
      </c>
      <c r="CA54" s="34" t="s">
        <v>161</v>
      </c>
    </row>
    <row r="55" spans="1:79" x14ac:dyDescent="0.25">
      <c r="A55" s="34" t="s">
        <v>903</v>
      </c>
      <c r="B55" s="34" t="s">
        <v>904</v>
      </c>
      <c r="C55" s="34">
        <v>2019</v>
      </c>
      <c r="D55" s="34" t="s">
        <v>407</v>
      </c>
      <c r="E55" s="34">
        <v>2.0190906916319501E+17</v>
      </c>
      <c r="F55" s="34" t="s">
        <v>450</v>
      </c>
      <c r="G55" s="34">
        <v>3103432</v>
      </c>
      <c r="H55" s="34">
        <v>1350879</v>
      </c>
      <c r="I55" s="34"/>
      <c r="J55" s="34" t="s">
        <v>180</v>
      </c>
      <c r="K55" s="34" t="s">
        <v>179</v>
      </c>
      <c r="L55" s="34" t="s">
        <v>374</v>
      </c>
      <c r="M55" s="34"/>
      <c r="N55" s="34" t="s">
        <v>905</v>
      </c>
      <c r="O55" s="34" t="s">
        <v>28</v>
      </c>
      <c r="P55" s="34"/>
      <c r="Q55" s="34" t="s">
        <v>28</v>
      </c>
      <c r="R55" s="34" t="s">
        <v>906</v>
      </c>
      <c r="S55" s="34"/>
      <c r="T55" s="34" t="s">
        <v>907</v>
      </c>
      <c r="U55" s="34"/>
      <c r="V55" s="34" t="s">
        <v>908</v>
      </c>
      <c r="W55" s="34"/>
      <c r="X55" s="34" t="s">
        <v>909</v>
      </c>
      <c r="Y55" s="34" t="s">
        <v>47</v>
      </c>
      <c r="Z55" s="34">
        <v>21421229</v>
      </c>
      <c r="AA55" s="34" t="s">
        <v>910</v>
      </c>
      <c r="AB55" s="34" t="s">
        <v>393</v>
      </c>
      <c r="AC55" s="34" t="s">
        <v>374</v>
      </c>
      <c r="AD55" s="34" t="s">
        <v>345</v>
      </c>
      <c r="AE55" s="34" t="s">
        <v>344</v>
      </c>
      <c r="AF55" s="34"/>
      <c r="AG55" s="34"/>
      <c r="AH55" s="34"/>
      <c r="AI55" s="34">
        <v>43602</v>
      </c>
      <c r="AJ55" s="34">
        <v>50</v>
      </c>
      <c r="AK55" s="34">
        <v>260</v>
      </c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 t="s">
        <v>446</v>
      </c>
      <c r="BH55" s="34"/>
      <c r="BI55" s="34" t="s">
        <v>168</v>
      </c>
      <c r="BJ55" s="34">
        <v>2020</v>
      </c>
      <c r="BK55" s="34" t="s">
        <v>0</v>
      </c>
      <c r="BL55" s="34" t="s">
        <v>186</v>
      </c>
      <c r="BM55" s="34" t="s">
        <v>166</v>
      </c>
      <c r="BN55" s="34">
        <v>43720.113086157406</v>
      </c>
      <c r="BO55" s="34"/>
      <c r="BP55" s="34" t="s">
        <v>1017</v>
      </c>
      <c r="BQ55" s="34" t="s">
        <v>877</v>
      </c>
      <c r="BR55" s="34" t="s">
        <v>445</v>
      </c>
      <c r="BS55" s="34">
        <v>4.0906201916723098E+18</v>
      </c>
      <c r="BT55" s="34" t="s">
        <v>164</v>
      </c>
      <c r="BU55" s="34" t="s">
        <v>512</v>
      </c>
      <c r="BV55" s="34">
        <v>2020</v>
      </c>
      <c r="BW55" s="34" t="s">
        <v>163</v>
      </c>
      <c r="BX55" s="34"/>
      <c r="BY55" s="34">
        <v>4.0911201916726098E+18</v>
      </c>
      <c r="BZ55" s="34" t="s">
        <v>1018</v>
      </c>
      <c r="CA55" s="34" t="s">
        <v>161</v>
      </c>
    </row>
    <row r="56" spans="1:79" x14ac:dyDescent="0.25">
      <c r="A56" s="34" t="s">
        <v>903</v>
      </c>
      <c r="B56" s="34" t="s">
        <v>904</v>
      </c>
      <c r="C56" s="34">
        <v>2019</v>
      </c>
      <c r="D56" s="34" t="s">
        <v>407</v>
      </c>
      <c r="E56" s="34">
        <v>2.0190906916319501E+17</v>
      </c>
      <c r="F56" s="34" t="s">
        <v>450</v>
      </c>
      <c r="G56" s="34">
        <v>3239822</v>
      </c>
      <c r="H56" s="34">
        <v>1350879</v>
      </c>
      <c r="I56" s="34"/>
      <c r="J56" s="34" t="s">
        <v>180</v>
      </c>
      <c r="K56" s="34" t="s">
        <v>179</v>
      </c>
      <c r="L56" s="34" t="s">
        <v>374</v>
      </c>
      <c r="M56" s="34"/>
      <c r="N56" s="34" t="s">
        <v>905</v>
      </c>
      <c r="O56" s="34" t="s">
        <v>28</v>
      </c>
      <c r="P56" s="34"/>
      <c r="Q56" s="34" t="s">
        <v>28</v>
      </c>
      <c r="R56" s="34" t="s">
        <v>906</v>
      </c>
      <c r="S56" s="34"/>
      <c r="T56" s="34" t="s">
        <v>907</v>
      </c>
      <c r="U56" s="34"/>
      <c r="V56" s="34" t="s">
        <v>908</v>
      </c>
      <c r="W56" s="34"/>
      <c r="X56" s="34" t="s">
        <v>909</v>
      </c>
      <c r="Y56" s="34" t="s">
        <v>47</v>
      </c>
      <c r="Z56" s="34">
        <v>21421229</v>
      </c>
      <c r="AA56" s="34" t="s">
        <v>910</v>
      </c>
      <c r="AB56" s="34" t="s">
        <v>393</v>
      </c>
      <c r="AC56" s="34" t="s">
        <v>374</v>
      </c>
      <c r="AD56" s="34" t="s">
        <v>345</v>
      </c>
      <c r="AE56" s="34" t="s">
        <v>344</v>
      </c>
      <c r="AF56" s="34"/>
      <c r="AG56" s="34"/>
      <c r="AH56" s="34"/>
      <c r="AI56" s="34">
        <v>43625</v>
      </c>
      <c r="AJ56" s="34">
        <v>50</v>
      </c>
      <c r="AK56" s="34">
        <v>260</v>
      </c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 t="s">
        <v>446</v>
      </c>
      <c r="BH56" s="34"/>
      <c r="BI56" s="34" t="s">
        <v>168</v>
      </c>
      <c r="BJ56" s="34">
        <v>2020</v>
      </c>
      <c r="BK56" s="34" t="s">
        <v>0</v>
      </c>
      <c r="BL56" s="34" t="s">
        <v>186</v>
      </c>
      <c r="BM56" s="34" t="s">
        <v>166</v>
      </c>
      <c r="BN56" s="34">
        <v>43720.113086157406</v>
      </c>
      <c r="BO56" s="34"/>
      <c r="BP56" s="34" t="s">
        <v>1019</v>
      </c>
      <c r="BQ56" s="34" t="s">
        <v>877</v>
      </c>
      <c r="BR56" s="34" t="s">
        <v>445</v>
      </c>
      <c r="BS56" s="34">
        <v>4.0906201916723098E+18</v>
      </c>
      <c r="BT56" s="34" t="s">
        <v>164</v>
      </c>
      <c r="BU56" s="34" t="s">
        <v>512</v>
      </c>
      <c r="BV56" s="34">
        <v>2020</v>
      </c>
      <c r="BW56" s="34" t="s">
        <v>163</v>
      </c>
      <c r="BX56" s="34"/>
      <c r="BY56" s="34">
        <v>4.0911201916726098E+18</v>
      </c>
      <c r="BZ56" s="34" t="s">
        <v>1018</v>
      </c>
      <c r="CA56" s="34" t="s">
        <v>161</v>
      </c>
    </row>
    <row r="57" spans="1:79" x14ac:dyDescent="0.25">
      <c r="A57" s="34" t="s">
        <v>903</v>
      </c>
      <c r="B57" s="34" t="s">
        <v>904</v>
      </c>
      <c r="C57" s="34">
        <v>2019</v>
      </c>
      <c r="D57" s="34" t="s">
        <v>407</v>
      </c>
      <c r="E57" s="34">
        <v>2.0190906916319501E+17</v>
      </c>
      <c r="F57" s="34" t="s">
        <v>450</v>
      </c>
      <c r="G57" s="34">
        <v>3308067</v>
      </c>
      <c r="H57" s="34">
        <v>1350879</v>
      </c>
      <c r="I57" s="34"/>
      <c r="J57" s="34" t="s">
        <v>180</v>
      </c>
      <c r="K57" s="34" t="s">
        <v>179</v>
      </c>
      <c r="L57" s="34" t="s">
        <v>374</v>
      </c>
      <c r="M57" s="34"/>
      <c r="N57" s="34" t="s">
        <v>905</v>
      </c>
      <c r="O57" s="34" t="s">
        <v>28</v>
      </c>
      <c r="P57" s="34"/>
      <c r="Q57" s="34" t="s">
        <v>28</v>
      </c>
      <c r="R57" s="34" t="s">
        <v>906</v>
      </c>
      <c r="S57" s="34"/>
      <c r="T57" s="34" t="s">
        <v>907</v>
      </c>
      <c r="U57" s="34"/>
      <c r="V57" s="34" t="s">
        <v>908</v>
      </c>
      <c r="W57" s="34"/>
      <c r="X57" s="34" t="s">
        <v>909</v>
      </c>
      <c r="Y57" s="34" t="s">
        <v>47</v>
      </c>
      <c r="Z57" s="34">
        <v>21421229</v>
      </c>
      <c r="AA57" s="34" t="s">
        <v>910</v>
      </c>
      <c r="AB57" s="34" t="s">
        <v>393</v>
      </c>
      <c r="AC57" s="34" t="s">
        <v>374</v>
      </c>
      <c r="AD57" s="34" t="s">
        <v>345</v>
      </c>
      <c r="AE57" s="34" t="s">
        <v>344</v>
      </c>
      <c r="AF57" s="34"/>
      <c r="AG57" s="34"/>
      <c r="AH57" s="34"/>
      <c r="AI57" s="34">
        <v>43633</v>
      </c>
      <c r="AJ57" s="34">
        <v>10</v>
      </c>
      <c r="AK57" s="34">
        <v>260</v>
      </c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 t="s">
        <v>446</v>
      </c>
      <c r="BH57" s="34"/>
      <c r="BI57" s="34" t="s">
        <v>168</v>
      </c>
      <c r="BJ57" s="34">
        <v>2020</v>
      </c>
      <c r="BK57" s="34" t="s">
        <v>0</v>
      </c>
      <c r="BL57" s="34" t="s">
        <v>186</v>
      </c>
      <c r="BM57" s="34" t="s">
        <v>166</v>
      </c>
      <c r="BN57" s="34">
        <v>43720.113086157406</v>
      </c>
      <c r="BO57" s="34"/>
      <c r="BP57" s="34" t="s">
        <v>1020</v>
      </c>
      <c r="BQ57" s="34" t="s">
        <v>877</v>
      </c>
      <c r="BR57" s="34" t="s">
        <v>445</v>
      </c>
      <c r="BS57" s="34">
        <v>4.0906201916723098E+18</v>
      </c>
      <c r="BT57" s="34" t="s">
        <v>164</v>
      </c>
      <c r="BU57" s="34" t="s">
        <v>512</v>
      </c>
      <c r="BV57" s="34">
        <v>2020</v>
      </c>
      <c r="BW57" s="34" t="s">
        <v>163</v>
      </c>
      <c r="BX57" s="34"/>
      <c r="BY57" s="34">
        <v>4.0911201916726098E+18</v>
      </c>
      <c r="BZ57" s="34" t="s">
        <v>1021</v>
      </c>
      <c r="CA57" s="34" t="s">
        <v>161</v>
      </c>
    </row>
    <row r="58" spans="1:79" x14ac:dyDescent="0.25">
      <c r="A58" s="34" t="s">
        <v>903</v>
      </c>
      <c r="B58" s="34" t="s">
        <v>904</v>
      </c>
      <c r="C58" s="34">
        <v>2019</v>
      </c>
      <c r="D58" s="34" t="s">
        <v>407</v>
      </c>
      <c r="E58" s="34">
        <v>2.0190906916319501E+17</v>
      </c>
      <c r="F58" s="34" t="s">
        <v>450</v>
      </c>
      <c r="G58" s="34">
        <v>3385626</v>
      </c>
      <c r="H58" s="34">
        <v>1350879</v>
      </c>
      <c r="I58" s="34"/>
      <c r="J58" s="34" t="s">
        <v>180</v>
      </c>
      <c r="K58" s="34" t="s">
        <v>179</v>
      </c>
      <c r="L58" s="34" t="s">
        <v>374</v>
      </c>
      <c r="M58" s="34"/>
      <c r="N58" s="34" t="s">
        <v>905</v>
      </c>
      <c r="O58" s="34" t="s">
        <v>28</v>
      </c>
      <c r="P58" s="34"/>
      <c r="Q58" s="34" t="s">
        <v>28</v>
      </c>
      <c r="R58" s="34" t="s">
        <v>906</v>
      </c>
      <c r="S58" s="34"/>
      <c r="T58" s="34" t="s">
        <v>907</v>
      </c>
      <c r="U58" s="34"/>
      <c r="V58" s="34" t="s">
        <v>908</v>
      </c>
      <c r="W58" s="34"/>
      <c r="X58" s="34" t="s">
        <v>909</v>
      </c>
      <c r="Y58" s="34" t="s">
        <v>47</v>
      </c>
      <c r="Z58" s="34">
        <v>21421229</v>
      </c>
      <c r="AA58" s="34" t="s">
        <v>910</v>
      </c>
      <c r="AB58" s="34" t="s">
        <v>393</v>
      </c>
      <c r="AC58" s="34" t="s">
        <v>374</v>
      </c>
      <c r="AD58" s="34" t="s">
        <v>345</v>
      </c>
      <c r="AE58" s="34" t="s">
        <v>344</v>
      </c>
      <c r="AF58" s="34"/>
      <c r="AG58" s="34"/>
      <c r="AH58" s="34"/>
      <c r="AI58" s="34">
        <v>43641</v>
      </c>
      <c r="AJ58" s="34">
        <v>50</v>
      </c>
      <c r="AK58" s="34">
        <v>260</v>
      </c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 t="s">
        <v>446</v>
      </c>
      <c r="BH58" s="34"/>
      <c r="BI58" s="34" t="s">
        <v>168</v>
      </c>
      <c r="BJ58" s="34">
        <v>2020</v>
      </c>
      <c r="BK58" s="34" t="s">
        <v>0</v>
      </c>
      <c r="BL58" s="34" t="s">
        <v>186</v>
      </c>
      <c r="BM58" s="34" t="s">
        <v>166</v>
      </c>
      <c r="BN58" s="34">
        <v>43720.113086157406</v>
      </c>
      <c r="BO58" s="34"/>
      <c r="BP58" s="34" t="s">
        <v>1022</v>
      </c>
      <c r="BQ58" s="34" t="s">
        <v>877</v>
      </c>
      <c r="BR58" s="34" t="s">
        <v>445</v>
      </c>
      <c r="BS58" s="34">
        <v>4.0906201916723098E+18</v>
      </c>
      <c r="BT58" s="34" t="s">
        <v>164</v>
      </c>
      <c r="BU58" s="34" t="s">
        <v>512</v>
      </c>
      <c r="BV58" s="34">
        <v>2020</v>
      </c>
      <c r="BW58" s="34" t="s">
        <v>163</v>
      </c>
      <c r="BX58" s="34"/>
      <c r="BY58" s="34">
        <v>4.0911201916726098E+18</v>
      </c>
      <c r="BZ58" s="34" t="s">
        <v>1016</v>
      </c>
      <c r="CA58" s="34" t="s">
        <v>161</v>
      </c>
    </row>
    <row r="59" spans="1:79" x14ac:dyDescent="0.25">
      <c r="A59" s="34" t="s">
        <v>903</v>
      </c>
      <c r="B59" s="34" t="s">
        <v>904</v>
      </c>
      <c r="C59" s="34">
        <v>2020</v>
      </c>
      <c r="D59" s="34" t="s">
        <v>197</v>
      </c>
      <c r="E59" s="34">
        <v>2.02003209210196E+17</v>
      </c>
      <c r="F59" s="34" t="s">
        <v>450</v>
      </c>
      <c r="G59" s="34">
        <v>5828532</v>
      </c>
      <c r="H59" s="34">
        <v>1391678</v>
      </c>
      <c r="I59" s="34"/>
      <c r="J59" s="34" t="s">
        <v>180</v>
      </c>
      <c r="K59" s="34" t="s">
        <v>179</v>
      </c>
      <c r="L59" s="34" t="s">
        <v>374</v>
      </c>
      <c r="M59" s="34"/>
      <c r="N59" s="34" t="s">
        <v>905</v>
      </c>
      <c r="O59" s="34" t="s">
        <v>28</v>
      </c>
      <c r="P59" s="34"/>
      <c r="Q59" s="34" t="s">
        <v>28</v>
      </c>
      <c r="R59" s="34" t="s">
        <v>906</v>
      </c>
      <c r="S59" s="34"/>
      <c r="T59" s="34" t="s">
        <v>907</v>
      </c>
      <c r="U59" s="34"/>
      <c r="V59" s="34" t="s">
        <v>908</v>
      </c>
      <c r="W59" s="34"/>
      <c r="X59" s="34" t="s">
        <v>909</v>
      </c>
      <c r="Y59" s="34" t="s">
        <v>47</v>
      </c>
      <c r="Z59" s="34">
        <v>21421229</v>
      </c>
      <c r="AA59" s="34" t="s">
        <v>910</v>
      </c>
      <c r="AB59" s="34" t="s">
        <v>393</v>
      </c>
      <c r="AC59" s="34" t="s">
        <v>374</v>
      </c>
      <c r="AD59" s="34" t="s">
        <v>345</v>
      </c>
      <c r="AE59" s="34" t="s">
        <v>344</v>
      </c>
      <c r="AF59" s="34"/>
      <c r="AG59" s="34"/>
      <c r="AH59" s="34"/>
      <c r="AI59" s="34">
        <v>43864</v>
      </c>
      <c r="AJ59" s="34">
        <v>50</v>
      </c>
      <c r="AK59" s="34">
        <v>1040</v>
      </c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 t="s">
        <v>446</v>
      </c>
      <c r="BH59" s="34"/>
      <c r="BI59" s="34" t="s">
        <v>168</v>
      </c>
      <c r="BJ59" s="34">
        <v>2020</v>
      </c>
      <c r="BK59" s="34" t="s">
        <v>50</v>
      </c>
      <c r="BL59" s="34" t="s">
        <v>167</v>
      </c>
      <c r="BM59" s="34" t="s">
        <v>166</v>
      </c>
      <c r="BN59" s="34">
        <v>43917.117658564814</v>
      </c>
      <c r="BO59" s="34"/>
      <c r="BP59" s="34" t="s">
        <v>1023</v>
      </c>
      <c r="BQ59" s="34" t="s">
        <v>877</v>
      </c>
      <c r="BR59" s="34" t="s">
        <v>445</v>
      </c>
      <c r="BS59" s="34">
        <v>4.0321202017040799E+18</v>
      </c>
      <c r="BT59" s="34" t="s">
        <v>164</v>
      </c>
      <c r="BU59" s="34" t="s">
        <v>512</v>
      </c>
      <c r="BV59" s="34">
        <v>2020</v>
      </c>
      <c r="BW59" s="34" t="s">
        <v>163</v>
      </c>
      <c r="BX59" s="34"/>
      <c r="BY59" s="34">
        <v>4.03262020171601E+18</v>
      </c>
      <c r="BZ59" s="34" t="s">
        <v>1024</v>
      </c>
      <c r="CA59" s="34" t="s">
        <v>161</v>
      </c>
    </row>
    <row r="60" spans="1:79" x14ac:dyDescent="0.25">
      <c r="A60" s="34" t="s">
        <v>1025</v>
      </c>
      <c r="B60" s="34" t="s">
        <v>1026</v>
      </c>
      <c r="C60" s="34">
        <v>2019</v>
      </c>
      <c r="D60" s="34" t="s">
        <v>422</v>
      </c>
      <c r="E60" s="34">
        <v>2.02001319184152E+17</v>
      </c>
      <c r="F60" s="34" t="s">
        <v>182</v>
      </c>
      <c r="G60" s="34" t="s">
        <v>1027</v>
      </c>
      <c r="H60" s="34">
        <v>1376755</v>
      </c>
      <c r="I60" s="34"/>
      <c r="J60" s="34" t="s">
        <v>180</v>
      </c>
      <c r="K60" s="34" t="s">
        <v>179</v>
      </c>
      <c r="L60" s="34" t="s">
        <v>374</v>
      </c>
      <c r="M60" s="34"/>
      <c r="N60" s="34" t="s">
        <v>905</v>
      </c>
      <c r="O60" s="34" t="s">
        <v>75</v>
      </c>
      <c r="P60" s="34"/>
      <c r="Q60" s="34" t="s">
        <v>28</v>
      </c>
      <c r="R60" s="34" t="s">
        <v>906</v>
      </c>
      <c r="S60" s="34"/>
      <c r="T60" s="34" t="s">
        <v>907</v>
      </c>
      <c r="U60" s="34"/>
      <c r="V60" s="34" t="s">
        <v>908</v>
      </c>
      <c r="W60" s="34"/>
      <c r="X60" s="34" t="s">
        <v>909</v>
      </c>
      <c r="Y60" s="34" t="s">
        <v>47</v>
      </c>
      <c r="Z60" s="34">
        <v>21421229</v>
      </c>
      <c r="AA60" s="34" t="s">
        <v>1028</v>
      </c>
      <c r="AB60" s="34" t="s">
        <v>290</v>
      </c>
      <c r="AC60" s="34" t="s">
        <v>374</v>
      </c>
      <c r="AD60" s="34" t="s">
        <v>345</v>
      </c>
      <c r="AE60" s="34" t="s">
        <v>344</v>
      </c>
      <c r="AF60" s="34"/>
      <c r="AG60" s="34"/>
      <c r="AH60" s="34"/>
      <c r="AI60" s="34">
        <v>43770</v>
      </c>
      <c r="AJ60" s="34">
        <v>50</v>
      </c>
      <c r="AK60" s="34">
        <v>600</v>
      </c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 t="s">
        <v>446</v>
      </c>
      <c r="BH60" s="34"/>
      <c r="BI60" s="34" t="s">
        <v>168</v>
      </c>
      <c r="BJ60" s="34">
        <v>2020</v>
      </c>
      <c r="BK60" s="34" t="s">
        <v>50</v>
      </c>
      <c r="BL60" s="34" t="s">
        <v>167</v>
      </c>
      <c r="BM60" s="34" t="s">
        <v>166</v>
      </c>
      <c r="BN60" s="34">
        <v>43862.073647106481</v>
      </c>
      <c r="BO60" s="34"/>
      <c r="BP60" s="34" t="s">
        <v>1029</v>
      </c>
      <c r="BQ60" s="34" t="s">
        <v>419</v>
      </c>
      <c r="BR60" s="34" t="s">
        <v>513</v>
      </c>
      <c r="BS60" s="34">
        <v>4.0131202016861798E+18</v>
      </c>
      <c r="BT60" s="34" t="s">
        <v>164</v>
      </c>
      <c r="BU60" s="34" t="s">
        <v>512</v>
      </c>
      <c r="BV60" s="34">
        <v>2020</v>
      </c>
      <c r="BW60" s="34" t="s">
        <v>163</v>
      </c>
      <c r="BX60" s="34"/>
      <c r="BY60" s="34">
        <v>4.0131202016863401E+18</v>
      </c>
      <c r="BZ60" s="34" t="s">
        <v>1030</v>
      </c>
      <c r="CA60" s="34" t="s">
        <v>161</v>
      </c>
    </row>
    <row r="61" spans="1:79" x14ac:dyDescent="0.25">
      <c r="A61" s="34" t="s">
        <v>903</v>
      </c>
      <c r="B61" s="34" t="s">
        <v>904</v>
      </c>
      <c r="C61" s="34">
        <v>2020</v>
      </c>
      <c r="D61" s="34" t="s">
        <v>197</v>
      </c>
      <c r="E61" s="34">
        <v>2.02003209210196E+17</v>
      </c>
      <c r="F61" s="34" t="s">
        <v>450</v>
      </c>
      <c r="G61" s="34">
        <v>6508310</v>
      </c>
      <c r="H61" s="34">
        <v>1391678</v>
      </c>
      <c r="I61" s="34"/>
      <c r="J61" s="34" t="s">
        <v>180</v>
      </c>
      <c r="K61" s="34" t="s">
        <v>179</v>
      </c>
      <c r="L61" s="34" t="s">
        <v>374</v>
      </c>
      <c r="M61" s="34"/>
      <c r="N61" s="34" t="s">
        <v>905</v>
      </c>
      <c r="O61" s="34" t="s">
        <v>28</v>
      </c>
      <c r="P61" s="34"/>
      <c r="Q61" s="34" t="s">
        <v>28</v>
      </c>
      <c r="R61" s="34" t="s">
        <v>906</v>
      </c>
      <c r="S61" s="34"/>
      <c r="T61" s="34" t="s">
        <v>907</v>
      </c>
      <c r="U61" s="34"/>
      <c r="V61" s="34" t="s">
        <v>908</v>
      </c>
      <c r="W61" s="34"/>
      <c r="X61" s="34" t="s">
        <v>909</v>
      </c>
      <c r="Y61" s="34" t="s">
        <v>47</v>
      </c>
      <c r="Z61" s="34">
        <v>21421229</v>
      </c>
      <c r="AA61" s="34" t="s">
        <v>910</v>
      </c>
      <c r="AB61" s="34" t="s">
        <v>393</v>
      </c>
      <c r="AC61" s="34" t="s">
        <v>374</v>
      </c>
      <c r="AD61" s="34" t="s">
        <v>345</v>
      </c>
      <c r="AE61" s="34" t="s">
        <v>344</v>
      </c>
      <c r="AF61" s="34"/>
      <c r="AG61" s="34"/>
      <c r="AH61" s="34"/>
      <c r="AI61" s="34">
        <v>43885</v>
      </c>
      <c r="AJ61" s="34">
        <v>100</v>
      </c>
      <c r="AK61" s="34">
        <v>1040</v>
      </c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 t="s">
        <v>446</v>
      </c>
      <c r="BH61" s="34"/>
      <c r="BI61" s="34" t="s">
        <v>168</v>
      </c>
      <c r="BJ61" s="34">
        <v>2020</v>
      </c>
      <c r="BK61" s="34" t="s">
        <v>50</v>
      </c>
      <c r="BL61" s="34" t="s">
        <v>167</v>
      </c>
      <c r="BM61" s="34" t="s">
        <v>166</v>
      </c>
      <c r="BN61" s="34">
        <v>43917.131431597219</v>
      </c>
      <c r="BO61" s="34"/>
      <c r="BP61" s="34" t="s">
        <v>1031</v>
      </c>
      <c r="BQ61" s="34" t="s">
        <v>877</v>
      </c>
      <c r="BR61" s="34" t="s">
        <v>445</v>
      </c>
      <c r="BS61" s="34">
        <v>4.0321202017040799E+18</v>
      </c>
      <c r="BT61" s="34" t="s">
        <v>164</v>
      </c>
      <c r="BU61" s="34" t="s">
        <v>512</v>
      </c>
      <c r="BV61" s="34">
        <v>2020</v>
      </c>
      <c r="BW61" s="34" t="s">
        <v>163</v>
      </c>
      <c r="BX61" s="34"/>
      <c r="BY61" s="34">
        <v>4.03262020171601E+18</v>
      </c>
      <c r="BZ61" s="34" t="s">
        <v>1032</v>
      </c>
      <c r="CA61" s="34" t="s">
        <v>161</v>
      </c>
    </row>
    <row r="62" spans="1:79" x14ac:dyDescent="0.25">
      <c r="A62" s="34" t="s">
        <v>1025</v>
      </c>
      <c r="B62" s="34" t="s">
        <v>1026</v>
      </c>
      <c r="C62" s="34">
        <v>2019</v>
      </c>
      <c r="D62" s="34" t="s">
        <v>422</v>
      </c>
      <c r="E62" s="34">
        <v>2.0200131918415002E+17</v>
      </c>
      <c r="F62" s="34" t="s">
        <v>182</v>
      </c>
      <c r="G62" s="34" t="s">
        <v>1033</v>
      </c>
      <c r="H62" s="34">
        <v>1376755</v>
      </c>
      <c r="I62" s="34"/>
      <c r="J62" s="34" t="s">
        <v>180</v>
      </c>
      <c r="K62" s="34" t="s">
        <v>179</v>
      </c>
      <c r="L62" s="34" t="s">
        <v>374</v>
      </c>
      <c r="M62" s="34"/>
      <c r="N62" s="34" t="s">
        <v>905</v>
      </c>
      <c r="O62" s="34" t="s">
        <v>75</v>
      </c>
      <c r="P62" s="34"/>
      <c r="Q62" s="34" t="s">
        <v>28</v>
      </c>
      <c r="R62" s="34" t="s">
        <v>906</v>
      </c>
      <c r="S62" s="34"/>
      <c r="T62" s="34" t="s">
        <v>907</v>
      </c>
      <c r="U62" s="34"/>
      <c r="V62" s="34" t="s">
        <v>908</v>
      </c>
      <c r="W62" s="34"/>
      <c r="X62" s="34" t="s">
        <v>909</v>
      </c>
      <c r="Y62" s="34" t="s">
        <v>47</v>
      </c>
      <c r="Z62" s="34">
        <v>21421229</v>
      </c>
      <c r="AA62" s="34" t="s">
        <v>1028</v>
      </c>
      <c r="AB62" s="34" t="s">
        <v>290</v>
      </c>
      <c r="AC62" s="34" t="s">
        <v>374</v>
      </c>
      <c r="AD62" s="34" t="s">
        <v>345</v>
      </c>
      <c r="AE62" s="34" t="s">
        <v>344</v>
      </c>
      <c r="AF62" s="34"/>
      <c r="AG62" s="34"/>
      <c r="AH62" s="34"/>
      <c r="AI62" s="34">
        <v>43812</v>
      </c>
      <c r="AJ62" s="34">
        <v>50</v>
      </c>
      <c r="AK62" s="34">
        <v>600</v>
      </c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 t="s">
        <v>446</v>
      </c>
      <c r="BH62" s="34"/>
      <c r="BI62" s="34" t="s">
        <v>168</v>
      </c>
      <c r="BJ62" s="34">
        <v>2020</v>
      </c>
      <c r="BK62" s="34" t="s">
        <v>50</v>
      </c>
      <c r="BL62" s="34" t="s">
        <v>167</v>
      </c>
      <c r="BM62" s="34" t="s">
        <v>166</v>
      </c>
      <c r="BN62" s="34">
        <v>43862.073439861109</v>
      </c>
      <c r="BO62" s="34"/>
      <c r="BP62" s="34" t="s">
        <v>1034</v>
      </c>
      <c r="BQ62" s="34" t="s">
        <v>419</v>
      </c>
      <c r="BR62" s="34" t="s">
        <v>513</v>
      </c>
      <c r="BS62" s="34">
        <v>4.0131202016861798E+18</v>
      </c>
      <c r="BT62" s="34" t="s">
        <v>164</v>
      </c>
      <c r="BU62" s="34" t="s">
        <v>512</v>
      </c>
      <c r="BV62" s="34">
        <v>2020</v>
      </c>
      <c r="BW62" s="34" t="s">
        <v>163</v>
      </c>
      <c r="BX62" s="34"/>
      <c r="BY62" s="34">
        <v>4.0131202016863299E+18</v>
      </c>
      <c r="BZ62" s="34" t="s">
        <v>1035</v>
      </c>
      <c r="CA62" s="34" t="s">
        <v>161</v>
      </c>
    </row>
    <row r="63" spans="1:79" x14ac:dyDescent="0.25">
      <c r="A63" s="34" t="s">
        <v>1025</v>
      </c>
      <c r="B63" s="34" t="s">
        <v>1026</v>
      </c>
      <c r="C63" s="34">
        <v>2019</v>
      </c>
      <c r="D63" s="34" t="s">
        <v>422</v>
      </c>
      <c r="E63" s="34">
        <v>2.02001319184152E+17</v>
      </c>
      <c r="F63" s="34" t="s">
        <v>182</v>
      </c>
      <c r="G63" s="34" t="s">
        <v>1036</v>
      </c>
      <c r="H63" s="34">
        <v>1376755</v>
      </c>
      <c r="I63" s="34"/>
      <c r="J63" s="34" t="s">
        <v>180</v>
      </c>
      <c r="K63" s="34" t="s">
        <v>179</v>
      </c>
      <c r="L63" s="34" t="s">
        <v>374</v>
      </c>
      <c r="M63" s="34"/>
      <c r="N63" s="34" t="s">
        <v>905</v>
      </c>
      <c r="O63" s="34" t="s">
        <v>75</v>
      </c>
      <c r="P63" s="34"/>
      <c r="Q63" s="34" t="s">
        <v>28</v>
      </c>
      <c r="R63" s="34" t="s">
        <v>906</v>
      </c>
      <c r="S63" s="34"/>
      <c r="T63" s="34" t="s">
        <v>907</v>
      </c>
      <c r="U63" s="34"/>
      <c r="V63" s="34" t="s">
        <v>908</v>
      </c>
      <c r="W63" s="34"/>
      <c r="X63" s="34" t="s">
        <v>909</v>
      </c>
      <c r="Y63" s="34" t="s">
        <v>47</v>
      </c>
      <c r="Z63" s="34">
        <v>21421229</v>
      </c>
      <c r="AA63" s="34" t="s">
        <v>1028</v>
      </c>
      <c r="AB63" s="34" t="s">
        <v>290</v>
      </c>
      <c r="AC63" s="34" t="s">
        <v>374</v>
      </c>
      <c r="AD63" s="34" t="s">
        <v>345</v>
      </c>
      <c r="AE63" s="34" t="s">
        <v>344</v>
      </c>
      <c r="AF63" s="34"/>
      <c r="AG63" s="34"/>
      <c r="AH63" s="34"/>
      <c r="AI63" s="34">
        <v>43765</v>
      </c>
      <c r="AJ63" s="34">
        <v>100</v>
      </c>
      <c r="AK63" s="34">
        <v>600</v>
      </c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 t="s">
        <v>446</v>
      </c>
      <c r="BH63" s="34"/>
      <c r="BI63" s="34" t="s">
        <v>168</v>
      </c>
      <c r="BJ63" s="34">
        <v>2020</v>
      </c>
      <c r="BK63" s="34" t="s">
        <v>50</v>
      </c>
      <c r="BL63" s="34" t="s">
        <v>167</v>
      </c>
      <c r="BM63" s="34" t="s">
        <v>166</v>
      </c>
      <c r="BN63" s="34">
        <v>43862.073647569443</v>
      </c>
      <c r="BO63" s="34"/>
      <c r="BP63" s="34" t="s">
        <v>1037</v>
      </c>
      <c r="BQ63" s="34" t="s">
        <v>419</v>
      </c>
      <c r="BR63" s="34" t="s">
        <v>513</v>
      </c>
      <c r="BS63" s="34">
        <v>4.0131202016861798E+18</v>
      </c>
      <c r="BT63" s="34" t="s">
        <v>164</v>
      </c>
      <c r="BU63" s="34" t="s">
        <v>512</v>
      </c>
      <c r="BV63" s="34">
        <v>2020</v>
      </c>
      <c r="BW63" s="34" t="s">
        <v>163</v>
      </c>
      <c r="BX63" s="34"/>
      <c r="BY63" s="34">
        <v>4.0131202016863401E+18</v>
      </c>
      <c r="BZ63" s="34" t="s">
        <v>1038</v>
      </c>
      <c r="CA63" s="34" t="s">
        <v>161</v>
      </c>
    </row>
    <row r="64" spans="1:79" x14ac:dyDescent="0.25">
      <c r="A64" s="34" t="s">
        <v>1025</v>
      </c>
      <c r="B64" s="34" t="s">
        <v>1026</v>
      </c>
      <c r="C64" s="34">
        <v>2019</v>
      </c>
      <c r="D64" s="34" t="s">
        <v>422</v>
      </c>
      <c r="E64" s="34">
        <v>2.02001319184152E+17</v>
      </c>
      <c r="F64" s="34" t="s">
        <v>182</v>
      </c>
      <c r="G64" s="34" t="s">
        <v>1039</v>
      </c>
      <c r="H64" s="34">
        <v>1376755</v>
      </c>
      <c r="I64" s="34"/>
      <c r="J64" s="34" t="s">
        <v>180</v>
      </c>
      <c r="K64" s="34" t="s">
        <v>179</v>
      </c>
      <c r="L64" s="34" t="s">
        <v>374</v>
      </c>
      <c r="M64" s="34"/>
      <c r="N64" s="34" t="s">
        <v>905</v>
      </c>
      <c r="O64" s="34" t="s">
        <v>75</v>
      </c>
      <c r="P64" s="34"/>
      <c r="Q64" s="34" t="s">
        <v>28</v>
      </c>
      <c r="R64" s="34" t="s">
        <v>906</v>
      </c>
      <c r="S64" s="34"/>
      <c r="T64" s="34" t="s">
        <v>907</v>
      </c>
      <c r="U64" s="34"/>
      <c r="V64" s="34" t="s">
        <v>908</v>
      </c>
      <c r="W64" s="34"/>
      <c r="X64" s="34" t="s">
        <v>909</v>
      </c>
      <c r="Y64" s="34" t="s">
        <v>47</v>
      </c>
      <c r="Z64" s="34">
        <v>21421229</v>
      </c>
      <c r="AA64" s="34" t="s">
        <v>1028</v>
      </c>
      <c r="AB64" s="34" t="s">
        <v>290</v>
      </c>
      <c r="AC64" s="34" t="s">
        <v>374</v>
      </c>
      <c r="AD64" s="34" t="s">
        <v>345</v>
      </c>
      <c r="AE64" s="34" t="s">
        <v>344</v>
      </c>
      <c r="AF64" s="34"/>
      <c r="AG64" s="34"/>
      <c r="AH64" s="34"/>
      <c r="AI64" s="34">
        <v>43779</v>
      </c>
      <c r="AJ64" s="34">
        <v>100</v>
      </c>
      <c r="AK64" s="34">
        <v>600</v>
      </c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 t="s">
        <v>446</v>
      </c>
      <c r="BH64" s="34"/>
      <c r="BI64" s="34" t="s">
        <v>168</v>
      </c>
      <c r="BJ64" s="34">
        <v>2020</v>
      </c>
      <c r="BK64" s="34" t="s">
        <v>50</v>
      </c>
      <c r="BL64" s="34" t="s">
        <v>167</v>
      </c>
      <c r="BM64" s="34" t="s">
        <v>166</v>
      </c>
      <c r="BN64" s="34">
        <v>43862.073668425925</v>
      </c>
      <c r="BO64" s="34"/>
      <c r="BP64" s="34" t="s">
        <v>1040</v>
      </c>
      <c r="BQ64" s="34" t="s">
        <v>419</v>
      </c>
      <c r="BR64" s="34" t="s">
        <v>513</v>
      </c>
      <c r="BS64" s="34">
        <v>4.0131202016861798E+18</v>
      </c>
      <c r="BT64" s="34" t="s">
        <v>164</v>
      </c>
      <c r="BU64" s="34" t="s">
        <v>512</v>
      </c>
      <c r="BV64" s="34">
        <v>2020</v>
      </c>
      <c r="BW64" s="34" t="s">
        <v>163</v>
      </c>
      <c r="BX64" s="34"/>
      <c r="BY64" s="34">
        <v>4.0131202016863401E+18</v>
      </c>
      <c r="BZ64" s="34" t="s">
        <v>1041</v>
      </c>
      <c r="CA64" s="34" t="s">
        <v>161</v>
      </c>
    </row>
    <row r="65" spans="1:79" x14ac:dyDescent="0.25">
      <c r="A65" s="34" t="s">
        <v>1025</v>
      </c>
      <c r="B65" s="34" t="s">
        <v>1026</v>
      </c>
      <c r="C65" s="34">
        <v>2019</v>
      </c>
      <c r="D65" s="34" t="s">
        <v>422</v>
      </c>
      <c r="E65" s="34">
        <v>2.0200131918415299E+17</v>
      </c>
      <c r="F65" s="34" t="s">
        <v>182</v>
      </c>
      <c r="G65" s="34" t="s">
        <v>1042</v>
      </c>
      <c r="H65" s="34">
        <v>1376755</v>
      </c>
      <c r="I65" s="34"/>
      <c r="J65" s="34" t="s">
        <v>180</v>
      </c>
      <c r="K65" s="34" t="s">
        <v>179</v>
      </c>
      <c r="L65" s="34" t="s">
        <v>374</v>
      </c>
      <c r="M65" s="34"/>
      <c r="N65" s="34" t="s">
        <v>905</v>
      </c>
      <c r="O65" s="34" t="s">
        <v>75</v>
      </c>
      <c r="P65" s="34"/>
      <c r="Q65" s="34" t="s">
        <v>28</v>
      </c>
      <c r="R65" s="34" t="s">
        <v>906</v>
      </c>
      <c r="S65" s="34"/>
      <c r="T65" s="34" t="s">
        <v>907</v>
      </c>
      <c r="U65" s="34"/>
      <c r="V65" s="34" t="s">
        <v>908</v>
      </c>
      <c r="W65" s="34"/>
      <c r="X65" s="34" t="s">
        <v>909</v>
      </c>
      <c r="Y65" s="34" t="s">
        <v>47</v>
      </c>
      <c r="Z65" s="34">
        <v>21421229</v>
      </c>
      <c r="AA65" s="34" t="s">
        <v>1028</v>
      </c>
      <c r="AB65" s="34" t="s">
        <v>290</v>
      </c>
      <c r="AC65" s="34" t="s">
        <v>374</v>
      </c>
      <c r="AD65" s="34" t="s">
        <v>345</v>
      </c>
      <c r="AE65" s="34" t="s">
        <v>344</v>
      </c>
      <c r="AF65" s="34"/>
      <c r="AG65" s="34"/>
      <c r="AH65" s="34"/>
      <c r="AI65" s="34">
        <v>43767</v>
      </c>
      <c r="AJ65" s="34">
        <v>100</v>
      </c>
      <c r="AK65" s="34">
        <v>600</v>
      </c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 t="s">
        <v>446</v>
      </c>
      <c r="BH65" s="34"/>
      <c r="BI65" s="34" t="s">
        <v>168</v>
      </c>
      <c r="BJ65" s="34">
        <v>2020</v>
      </c>
      <c r="BK65" s="34" t="s">
        <v>50</v>
      </c>
      <c r="BL65" s="34" t="s">
        <v>167</v>
      </c>
      <c r="BM65" s="34" t="s">
        <v>166</v>
      </c>
      <c r="BN65" s="34">
        <v>43862.073731689816</v>
      </c>
      <c r="BO65" s="34"/>
      <c r="BP65" s="34" t="s">
        <v>1043</v>
      </c>
      <c r="BQ65" s="34" t="s">
        <v>419</v>
      </c>
      <c r="BR65" s="34" t="s">
        <v>513</v>
      </c>
      <c r="BS65" s="34">
        <v>4.0131202016861798E+18</v>
      </c>
      <c r="BT65" s="34" t="s">
        <v>164</v>
      </c>
      <c r="BU65" s="34" t="s">
        <v>512</v>
      </c>
      <c r="BV65" s="34">
        <v>2020</v>
      </c>
      <c r="BW65" s="34" t="s">
        <v>163</v>
      </c>
      <c r="BX65" s="34"/>
      <c r="BY65" s="34">
        <v>4.0131202016863401E+18</v>
      </c>
      <c r="BZ65" s="34" t="s">
        <v>1044</v>
      </c>
      <c r="CA65" s="34" t="s">
        <v>161</v>
      </c>
    </row>
    <row r="66" spans="1:79" x14ac:dyDescent="0.25">
      <c r="A66" s="34" t="s">
        <v>1025</v>
      </c>
      <c r="B66" s="34" t="s">
        <v>1026</v>
      </c>
      <c r="C66" s="34">
        <v>2019</v>
      </c>
      <c r="D66" s="34" t="s">
        <v>422</v>
      </c>
      <c r="E66" s="34">
        <v>2.0200131918415299E+17</v>
      </c>
      <c r="F66" s="34" t="s">
        <v>182</v>
      </c>
      <c r="G66" s="34" t="s">
        <v>1045</v>
      </c>
      <c r="H66" s="34">
        <v>1376755</v>
      </c>
      <c r="I66" s="34"/>
      <c r="J66" s="34" t="s">
        <v>180</v>
      </c>
      <c r="K66" s="34" t="s">
        <v>179</v>
      </c>
      <c r="L66" s="34" t="s">
        <v>374</v>
      </c>
      <c r="M66" s="34"/>
      <c r="N66" s="34" t="s">
        <v>905</v>
      </c>
      <c r="O66" s="34" t="s">
        <v>75</v>
      </c>
      <c r="P66" s="34"/>
      <c r="Q66" s="34" t="s">
        <v>28</v>
      </c>
      <c r="R66" s="34" t="s">
        <v>906</v>
      </c>
      <c r="S66" s="34"/>
      <c r="T66" s="34" t="s">
        <v>907</v>
      </c>
      <c r="U66" s="34"/>
      <c r="V66" s="34" t="s">
        <v>908</v>
      </c>
      <c r="W66" s="34"/>
      <c r="X66" s="34" t="s">
        <v>909</v>
      </c>
      <c r="Y66" s="34" t="s">
        <v>47</v>
      </c>
      <c r="Z66" s="34">
        <v>21421229</v>
      </c>
      <c r="AA66" s="34" t="s">
        <v>1028</v>
      </c>
      <c r="AB66" s="34" t="s">
        <v>290</v>
      </c>
      <c r="AC66" s="34" t="s">
        <v>374</v>
      </c>
      <c r="AD66" s="34" t="s">
        <v>345</v>
      </c>
      <c r="AE66" s="34" t="s">
        <v>344</v>
      </c>
      <c r="AF66" s="34"/>
      <c r="AG66" s="34"/>
      <c r="AH66" s="34"/>
      <c r="AI66" s="34">
        <v>43762</v>
      </c>
      <c r="AJ66" s="34">
        <v>100</v>
      </c>
      <c r="AK66" s="34">
        <v>600</v>
      </c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 t="s">
        <v>446</v>
      </c>
      <c r="BH66" s="34"/>
      <c r="BI66" s="34" t="s">
        <v>168</v>
      </c>
      <c r="BJ66" s="34">
        <v>2020</v>
      </c>
      <c r="BK66" s="34" t="s">
        <v>50</v>
      </c>
      <c r="BL66" s="34" t="s">
        <v>167</v>
      </c>
      <c r="BM66" s="34" t="s">
        <v>166</v>
      </c>
      <c r="BN66" s="34">
        <v>43862.073752997683</v>
      </c>
      <c r="BO66" s="34"/>
      <c r="BP66" s="34" t="s">
        <v>1046</v>
      </c>
      <c r="BQ66" s="34" t="s">
        <v>419</v>
      </c>
      <c r="BR66" s="34" t="s">
        <v>513</v>
      </c>
      <c r="BS66" s="34">
        <v>4.0131202016861798E+18</v>
      </c>
      <c r="BT66" s="34" t="s">
        <v>164</v>
      </c>
      <c r="BU66" s="34" t="s">
        <v>512</v>
      </c>
      <c r="BV66" s="34">
        <v>2020</v>
      </c>
      <c r="BW66" s="34" t="s">
        <v>163</v>
      </c>
      <c r="BX66" s="34"/>
      <c r="BY66" s="34">
        <v>4.0131202016863401E+18</v>
      </c>
      <c r="BZ66" s="34" t="s">
        <v>1047</v>
      </c>
      <c r="CA66" s="34" t="s">
        <v>161</v>
      </c>
    </row>
    <row r="67" spans="1:79" x14ac:dyDescent="0.25">
      <c r="A67" s="34" t="s">
        <v>1025</v>
      </c>
      <c r="B67" s="34" t="s">
        <v>1026</v>
      </c>
      <c r="C67" s="34">
        <v>2019</v>
      </c>
      <c r="D67" s="34" t="s">
        <v>422</v>
      </c>
      <c r="E67" s="34">
        <v>2.0200131918415299E+17</v>
      </c>
      <c r="F67" s="34" t="s">
        <v>182</v>
      </c>
      <c r="G67" s="34" t="s">
        <v>1048</v>
      </c>
      <c r="H67" s="34">
        <v>1376755</v>
      </c>
      <c r="I67" s="34"/>
      <c r="J67" s="34" t="s">
        <v>180</v>
      </c>
      <c r="K67" s="34" t="s">
        <v>179</v>
      </c>
      <c r="L67" s="34" t="s">
        <v>374</v>
      </c>
      <c r="M67" s="34"/>
      <c r="N67" s="34" t="s">
        <v>905</v>
      </c>
      <c r="O67" s="34" t="s">
        <v>75</v>
      </c>
      <c r="P67" s="34"/>
      <c r="Q67" s="34" t="s">
        <v>28</v>
      </c>
      <c r="R67" s="34" t="s">
        <v>906</v>
      </c>
      <c r="S67" s="34"/>
      <c r="T67" s="34" t="s">
        <v>907</v>
      </c>
      <c r="U67" s="34"/>
      <c r="V67" s="34" t="s">
        <v>908</v>
      </c>
      <c r="W67" s="34"/>
      <c r="X67" s="34" t="s">
        <v>909</v>
      </c>
      <c r="Y67" s="34" t="s">
        <v>47</v>
      </c>
      <c r="Z67" s="34">
        <v>21421229</v>
      </c>
      <c r="AA67" s="34" t="s">
        <v>1028</v>
      </c>
      <c r="AB67" s="34" t="s">
        <v>290</v>
      </c>
      <c r="AC67" s="34" t="s">
        <v>374</v>
      </c>
      <c r="AD67" s="34" t="s">
        <v>345</v>
      </c>
      <c r="AE67" s="34" t="s">
        <v>344</v>
      </c>
      <c r="AF67" s="34"/>
      <c r="AG67" s="34"/>
      <c r="AH67" s="34"/>
      <c r="AI67" s="34">
        <v>43770</v>
      </c>
      <c r="AJ67" s="34">
        <v>50</v>
      </c>
      <c r="AK67" s="34">
        <v>600</v>
      </c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 t="s">
        <v>446</v>
      </c>
      <c r="BH67" s="34"/>
      <c r="BI67" s="34" t="s">
        <v>168</v>
      </c>
      <c r="BJ67" s="34">
        <v>2020</v>
      </c>
      <c r="BK67" s="34" t="s">
        <v>50</v>
      </c>
      <c r="BL67" s="34" t="s">
        <v>167</v>
      </c>
      <c r="BM67" s="34" t="s">
        <v>166</v>
      </c>
      <c r="BN67" s="34">
        <v>43862.073732314813</v>
      </c>
      <c r="BO67" s="34"/>
      <c r="BP67" s="34" t="s">
        <v>1049</v>
      </c>
      <c r="BQ67" s="34" t="s">
        <v>419</v>
      </c>
      <c r="BR67" s="34" t="s">
        <v>513</v>
      </c>
      <c r="BS67" s="34">
        <v>4.0131202016861798E+18</v>
      </c>
      <c r="BT67" s="34" t="s">
        <v>164</v>
      </c>
      <c r="BU67" s="34" t="s">
        <v>512</v>
      </c>
      <c r="BV67" s="34">
        <v>2020</v>
      </c>
      <c r="BW67" s="34" t="s">
        <v>163</v>
      </c>
      <c r="BX67" s="34"/>
      <c r="BY67" s="34">
        <v>4.0131202016863401E+18</v>
      </c>
      <c r="BZ67" s="34" t="s">
        <v>1050</v>
      </c>
      <c r="CA67" s="34" t="s">
        <v>161</v>
      </c>
    </row>
    <row r="68" spans="1:79" x14ac:dyDescent="0.25">
      <c r="A68" s="34" t="s">
        <v>903</v>
      </c>
      <c r="B68" s="34" t="s">
        <v>904</v>
      </c>
      <c r="C68" s="34">
        <v>2020</v>
      </c>
      <c r="D68" s="34" t="s">
        <v>197</v>
      </c>
      <c r="E68" s="34">
        <v>2.02003209210196E+17</v>
      </c>
      <c r="F68" s="34" t="s">
        <v>450</v>
      </c>
      <c r="G68" s="34">
        <v>5842306</v>
      </c>
      <c r="H68" s="34">
        <v>1391678</v>
      </c>
      <c r="I68" s="34"/>
      <c r="J68" s="34" t="s">
        <v>180</v>
      </c>
      <c r="K68" s="34" t="s">
        <v>179</v>
      </c>
      <c r="L68" s="34" t="s">
        <v>374</v>
      </c>
      <c r="M68" s="34"/>
      <c r="N68" s="34" t="s">
        <v>905</v>
      </c>
      <c r="O68" s="34" t="s">
        <v>28</v>
      </c>
      <c r="P68" s="34"/>
      <c r="Q68" s="34" t="s">
        <v>28</v>
      </c>
      <c r="R68" s="34" t="s">
        <v>906</v>
      </c>
      <c r="S68" s="34"/>
      <c r="T68" s="34" t="s">
        <v>907</v>
      </c>
      <c r="U68" s="34"/>
      <c r="V68" s="34" t="s">
        <v>908</v>
      </c>
      <c r="W68" s="34"/>
      <c r="X68" s="34" t="s">
        <v>909</v>
      </c>
      <c r="Y68" s="34" t="s">
        <v>47</v>
      </c>
      <c r="Z68" s="34">
        <v>21421229</v>
      </c>
      <c r="AA68" s="34" t="s">
        <v>910</v>
      </c>
      <c r="AB68" s="34" t="s">
        <v>393</v>
      </c>
      <c r="AC68" s="34" t="s">
        <v>374</v>
      </c>
      <c r="AD68" s="34" t="s">
        <v>345</v>
      </c>
      <c r="AE68" s="34" t="s">
        <v>344</v>
      </c>
      <c r="AF68" s="34"/>
      <c r="AG68" s="34"/>
      <c r="AH68" s="34"/>
      <c r="AI68" s="34">
        <v>43865</v>
      </c>
      <c r="AJ68" s="34">
        <v>30</v>
      </c>
      <c r="AK68" s="34">
        <v>1040</v>
      </c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 t="s">
        <v>446</v>
      </c>
      <c r="BH68" s="34"/>
      <c r="BI68" s="34" t="s">
        <v>168</v>
      </c>
      <c r="BJ68" s="34">
        <v>2020</v>
      </c>
      <c r="BK68" s="34" t="s">
        <v>50</v>
      </c>
      <c r="BL68" s="34" t="s">
        <v>167</v>
      </c>
      <c r="BM68" s="34" t="s">
        <v>166</v>
      </c>
      <c r="BN68" s="34">
        <v>43917.132258912039</v>
      </c>
      <c r="BO68" s="34"/>
      <c r="BP68" s="34" t="s">
        <v>1051</v>
      </c>
      <c r="BQ68" s="34" t="s">
        <v>877</v>
      </c>
      <c r="BR68" s="34" t="s">
        <v>445</v>
      </c>
      <c r="BS68" s="34">
        <v>4.0321202017040799E+18</v>
      </c>
      <c r="BT68" s="34" t="s">
        <v>164</v>
      </c>
      <c r="BU68" s="34" t="s">
        <v>512</v>
      </c>
      <c r="BV68" s="34">
        <v>2020</v>
      </c>
      <c r="BW68" s="34" t="s">
        <v>163</v>
      </c>
      <c r="BX68" s="34"/>
      <c r="BY68" s="34">
        <v>4.03262020171601E+18</v>
      </c>
      <c r="BZ68" s="34" t="s">
        <v>1052</v>
      </c>
      <c r="CA68" s="34" t="s">
        <v>161</v>
      </c>
    </row>
    <row r="69" spans="1:79" x14ac:dyDescent="0.25">
      <c r="A69" s="34" t="s">
        <v>1025</v>
      </c>
      <c r="B69" s="34" t="s">
        <v>1026</v>
      </c>
      <c r="C69" s="34">
        <v>2019</v>
      </c>
      <c r="D69" s="34" t="s">
        <v>422</v>
      </c>
      <c r="E69" s="34">
        <v>2.0200131918415501E+17</v>
      </c>
      <c r="F69" s="34" t="s">
        <v>182</v>
      </c>
      <c r="G69" s="34" t="s">
        <v>1053</v>
      </c>
      <c r="H69" s="34">
        <v>1376755</v>
      </c>
      <c r="I69" s="34"/>
      <c r="J69" s="34" t="s">
        <v>180</v>
      </c>
      <c r="K69" s="34" t="s">
        <v>179</v>
      </c>
      <c r="L69" s="34" t="s">
        <v>374</v>
      </c>
      <c r="M69" s="34"/>
      <c r="N69" s="34" t="s">
        <v>905</v>
      </c>
      <c r="O69" s="34" t="s">
        <v>75</v>
      </c>
      <c r="P69" s="34"/>
      <c r="Q69" s="34" t="s">
        <v>28</v>
      </c>
      <c r="R69" s="34" t="s">
        <v>906</v>
      </c>
      <c r="S69" s="34"/>
      <c r="T69" s="34" t="s">
        <v>907</v>
      </c>
      <c r="U69" s="34"/>
      <c r="V69" s="34" t="s">
        <v>908</v>
      </c>
      <c r="W69" s="34"/>
      <c r="X69" s="34" t="s">
        <v>909</v>
      </c>
      <c r="Y69" s="34" t="s">
        <v>47</v>
      </c>
      <c r="Z69" s="34">
        <v>21421229</v>
      </c>
      <c r="AA69" s="34" t="s">
        <v>1028</v>
      </c>
      <c r="AB69" s="34" t="s">
        <v>290</v>
      </c>
      <c r="AC69" s="34" t="s">
        <v>374</v>
      </c>
      <c r="AD69" s="34" t="s">
        <v>345</v>
      </c>
      <c r="AE69" s="34" t="s">
        <v>344</v>
      </c>
      <c r="AF69" s="34"/>
      <c r="AG69" s="34"/>
      <c r="AH69" s="34"/>
      <c r="AI69" s="34">
        <v>43788</v>
      </c>
      <c r="AJ69" s="34">
        <v>50</v>
      </c>
      <c r="AK69" s="34">
        <v>600</v>
      </c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 t="s">
        <v>446</v>
      </c>
      <c r="BH69" s="34"/>
      <c r="BI69" s="34" t="s">
        <v>168</v>
      </c>
      <c r="BJ69" s="34">
        <v>2020</v>
      </c>
      <c r="BK69" s="34" t="s">
        <v>50</v>
      </c>
      <c r="BL69" s="34" t="s">
        <v>167</v>
      </c>
      <c r="BM69" s="34" t="s">
        <v>166</v>
      </c>
      <c r="BN69" s="34">
        <v>43862.073834675924</v>
      </c>
      <c r="BO69" s="34"/>
      <c r="BP69" s="34" t="s">
        <v>1054</v>
      </c>
      <c r="BQ69" s="34" t="s">
        <v>419</v>
      </c>
      <c r="BR69" s="34" t="s">
        <v>513</v>
      </c>
      <c r="BS69" s="34">
        <v>4.0131202016861798E+18</v>
      </c>
      <c r="BT69" s="34" t="s">
        <v>164</v>
      </c>
      <c r="BU69" s="34" t="s">
        <v>512</v>
      </c>
      <c r="BV69" s="34">
        <v>2020</v>
      </c>
      <c r="BW69" s="34" t="s">
        <v>163</v>
      </c>
      <c r="BX69" s="34"/>
      <c r="BY69" s="34">
        <v>4.0131202016863498E+18</v>
      </c>
      <c r="BZ69" s="34" t="s">
        <v>1055</v>
      </c>
      <c r="CA69" s="34" t="s">
        <v>161</v>
      </c>
    </row>
    <row r="70" spans="1:79" x14ac:dyDescent="0.25">
      <c r="A70" s="34" t="s">
        <v>903</v>
      </c>
      <c r="B70" s="34" t="s">
        <v>904</v>
      </c>
      <c r="C70" s="34">
        <v>2020</v>
      </c>
      <c r="D70" s="34" t="s">
        <v>197</v>
      </c>
      <c r="E70" s="34">
        <v>2.02003209210196E+17</v>
      </c>
      <c r="F70" s="34" t="s">
        <v>450</v>
      </c>
      <c r="G70" s="34">
        <v>6291069</v>
      </c>
      <c r="H70" s="34">
        <v>1391678</v>
      </c>
      <c r="I70" s="34"/>
      <c r="J70" s="34" t="s">
        <v>180</v>
      </c>
      <c r="K70" s="34" t="s">
        <v>179</v>
      </c>
      <c r="L70" s="34" t="s">
        <v>374</v>
      </c>
      <c r="M70" s="34"/>
      <c r="N70" s="34" t="s">
        <v>905</v>
      </c>
      <c r="O70" s="34" t="s">
        <v>28</v>
      </c>
      <c r="P70" s="34"/>
      <c r="Q70" s="34" t="s">
        <v>28</v>
      </c>
      <c r="R70" s="34" t="s">
        <v>906</v>
      </c>
      <c r="S70" s="34"/>
      <c r="T70" s="34" t="s">
        <v>907</v>
      </c>
      <c r="U70" s="34"/>
      <c r="V70" s="34" t="s">
        <v>908</v>
      </c>
      <c r="W70" s="34"/>
      <c r="X70" s="34" t="s">
        <v>909</v>
      </c>
      <c r="Y70" s="34" t="s">
        <v>47</v>
      </c>
      <c r="Z70" s="34">
        <v>21421229</v>
      </c>
      <c r="AA70" s="34" t="s">
        <v>910</v>
      </c>
      <c r="AB70" s="34" t="s">
        <v>393</v>
      </c>
      <c r="AC70" s="34" t="s">
        <v>374</v>
      </c>
      <c r="AD70" s="34" t="s">
        <v>345</v>
      </c>
      <c r="AE70" s="34" t="s">
        <v>344</v>
      </c>
      <c r="AF70" s="34"/>
      <c r="AG70" s="34"/>
      <c r="AH70" s="34"/>
      <c r="AI70" s="34">
        <v>43881</v>
      </c>
      <c r="AJ70" s="34">
        <v>100</v>
      </c>
      <c r="AK70" s="34">
        <v>1040</v>
      </c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 t="s">
        <v>446</v>
      </c>
      <c r="BH70" s="34"/>
      <c r="BI70" s="34" t="s">
        <v>168</v>
      </c>
      <c r="BJ70" s="34">
        <v>2020</v>
      </c>
      <c r="BK70" s="34" t="s">
        <v>50</v>
      </c>
      <c r="BL70" s="34" t="s">
        <v>167</v>
      </c>
      <c r="BM70" s="34" t="s">
        <v>166</v>
      </c>
      <c r="BN70" s="34">
        <v>43917.131855196756</v>
      </c>
      <c r="BO70" s="34"/>
      <c r="BP70" s="34" t="s">
        <v>1056</v>
      </c>
      <c r="BQ70" s="34" t="s">
        <v>877</v>
      </c>
      <c r="BR70" s="34" t="s">
        <v>445</v>
      </c>
      <c r="BS70" s="34">
        <v>4.0321202017040799E+18</v>
      </c>
      <c r="BT70" s="34" t="s">
        <v>164</v>
      </c>
      <c r="BU70" s="34" t="s">
        <v>512</v>
      </c>
      <c r="BV70" s="34">
        <v>2020</v>
      </c>
      <c r="BW70" s="34" t="s">
        <v>163</v>
      </c>
      <c r="BX70" s="34"/>
      <c r="BY70" s="34">
        <v>4.03262020171601E+18</v>
      </c>
      <c r="BZ70" s="34" t="s">
        <v>1052</v>
      </c>
      <c r="CA70" s="34" t="s">
        <v>161</v>
      </c>
    </row>
    <row r="71" spans="1:79" x14ac:dyDescent="0.25">
      <c r="A71" s="34" t="s">
        <v>1057</v>
      </c>
      <c r="B71" s="34" t="s">
        <v>1058</v>
      </c>
      <c r="C71" s="34">
        <v>2019</v>
      </c>
      <c r="D71" s="34" t="s">
        <v>422</v>
      </c>
      <c r="E71" s="34">
        <v>2.020013191858E+17</v>
      </c>
      <c r="F71" s="34" t="s">
        <v>182</v>
      </c>
      <c r="G71" s="34">
        <v>2039371</v>
      </c>
      <c r="H71" s="34">
        <v>1379421</v>
      </c>
      <c r="I71" s="34"/>
      <c r="J71" s="34" t="s">
        <v>180</v>
      </c>
      <c r="K71" s="34" t="s">
        <v>179</v>
      </c>
      <c r="L71" s="34"/>
      <c r="M71" s="34"/>
      <c r="N71" s="34" t="s">
        <v>905</v>
      </c>
      <c r="O71" s="34" t="s">
        <v>850</v>
      </c>
      <c r="P71" s="34"/>
      <c r="Q71" s="34" t="s">
        <v>296</v>
      </c>
      <c r="R71" s="34" t="s">
        <v>906</v>
      </c>
      <c r="S71" s="34"/>
      <c r="T71" s="34" t="s">
        <v>907</v>
      </c>
      <c r="U71" s="34"/>
      <c r="V71" s="34" t="s">
        <v>908</v>
      </c>
      <c r="W71" s="34" t="s">
        <v>1059</v>
      </c>
      <c r="X71" s="34" t="s">
        <v>909</v>
      </c>
      <c r="Y71" s="34" t="s">
        <v>47</v>
      </c>
      <c r="Z71" s="34">
        <v>21421239</v>
      </c>
      <c r="AA71" s="34" t="s">
        <v>393</v>
      </c>
      <c r="AB71" s="34" t="s">
        <v>393</v>
      </c>
      <c r="AC71" s="34"/>
      <c r="AD71" s="34">
        <v>15</v>
      </c>
      <c r="AE71" s="34" t="s">
        <v>169</v>
      </c>
      <c r="AF71" s="34"/>
      <c r="AG71" s="34"/>
      <c r="AH71" s="34"/>
      <c r="AI71" s="34">
        <v>43785</v>
      </c>
      <c r="AJ71" s="34">
        <v>50</v>
      </c>
      <c r="AK71" s="34">
        <v>250</v>
      </c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 t="s">
        <v>28</v>
      </c>
      <c r="BH71" s="34"/>
      <c r="BI71" s="34" t="s">
        <v>168</v>
      </c>
      <c r="BJ71" s="34"/>
      <c r="BK71" s="34" t="s">
        <v>50</v>
      </c>
      <c r="BL71" s="34" t="s">
        <v>167</v>
      </c>
      <c r="BM71" s="34" t="s">
        <v>166</v>
      </c>
      <c r="BN71" s="34">
        <v>43872.069841886572</v>
      </c>
      <c r="BO71" s="34"/>
      <c r="BP71" s="34"/>
      <c r="BQ71" s="34"/>
      <c r="BR71" s="34" t="s">
        <v>165</v>
      </c>
      <c r="BS71" s="34">
        <v>4.02012020168638E+18</v>
      </c>
      <c r="BT71" s="34" t="s">
        <v>164</v>
      </c>
      <c r="BU71" s="34"/>
      <c r="BV71" s="34">
        <v>2020</v>
      </c>
      <c r="BW71" s="34" t="s">
        <v>163</v>
      </c>
      <c r="BX71" s="34"/>
      <c r="BY71" s="34">
        <v>4.0210202016880799E+18</v>
      </c>
      <c r="BZ71" s="34" t="s">
        <v>1060</v>
      </c>
      <c r="CA71" s="34" t="s">
        <v>161</v>
      </c>
    </row>
    <row r="72" spans="1:79" x14ac:dyDescent="0.25">
      <c r="A72" s="34" t="s">
        <v>1057</v>
      </c>
      <c r="B72" s="34" t="s">
        <v>1058</v>
      </c>
      <c r="C72" s="34">
        <v>2019</v>
      </c>
      <c r="D72" s="34" t="s">
        <v>422</v>
      </c>
      <c r="E72" s="34">
        <v>2.020013191858E+17</v>
      </c>
      <c r="F72" s="34" t="s">
        <v>182</v>
      </c>
      <c r="G72" s="34">
        <v>1955238</v>
      </c>
      <c r="H72" s="34">
        <v>1379421</v>
      </c>
      <c r="I72" s="34"/>
      <c r="J72" s="34" t="s">
        <v>180</v>
      </c>
      <c r="K72" s="34" t="s">
        <v>179</v>
      </c>
      <c r="L72" s="34"/>
      <c r="M72" s="34"/>
      <c r="N72" s="34" t="s">
        <v>905</v>
      </c>
      <c r="O72" s="34" t="s">
        <v>850</v>
      </c>
      <c r="P72" s="34"/>
      <c r="Q72" s="34" t="s">
        <v>296</v>
      </c>
      <c r="R72" s="34" t="s">
        <v>906</v>
      </c>
      <c r="S72" s="34"/>
      <c r="T72" s="34" t="s">
        <v>907</v>
      </c>
      <c r="U72" s="34"/>
      <c r="V72" s="34" t="s">
        <v>908</v>
      </c>
      <c r="W72" s="34" t="s">
        <v>1059</v>
      </c>
      <c r="X72" s="34" t="s">
        <v>909</v>
      </c>
      <c r="Y72" s="34" t="s">
        <v>47</v>
      </c>
      <c r="Z72" s="34">
        <v>21421239</v>
      </c>
      <c r="AA72" s="34" t="s">
        <v>393</v>
      </c>
      <c r="AB72" s="34" t="s">
        <v>393</v>
      </c>
      <c r="AC72" s="34"/>
      <c r="AD72" s="34">
        <v>15</v>
      </c>
      <c r="AE72" s="34" t="s">
        <v>169</v>
      </c>
      <c r="AF72" s="34"/>
      <c r="AG72" s="34"/>
      <c r="AH72" s="34"/>
      <c r="AI72" s="34">
        <v>43815</v>
      </c>
      <c r="AJ72" s="34">
        <v>50</v>
      </c>
      <c r="AK72" s="34">
        <v>300</v>
      </c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 t="s">
        <v>28</v>
      </c>
      <c r="BH72" s="34"/>
      <c r="BI72" s="34" t="s">
        <v>168</v>
      </c>
      <c r="BJ72" s="34"/>
      <c r="BK72" s="34" t="s">
        <v>50</v>
      </c>
      <c r="BL72" s="34" t="s">
        <v>167</v>
      </c>
      <c r="BM72" s="34" t="s">
        <v>166</v>
      </c>
      <c r="BN72" s="34">
        <v>43872.069841886572</v>
      </c>
      <c r="BO72" s="34"/>
      <c r="BP72" s="34"/>
      <c r="BQ72" s="34"/>
      <c r="BR72" s="34" t="s">
        <v>165</v>
      </c>
      <c r="BS72" s="34">
        <v>4.02012020168638E+18</v>
      </c>
      <c r="BT72" s="34" t="s">
        <v>164</v>
      </c>
      <c r="BU72" s="34"/>
      <c r="BV72" s="34">
        <v>2020</v>
      </c>
      <c r="BW72" s="34" t="s">
        <v>163</v>
      </c>
      <c r="BX72" s="34"/>
      <c r="BY72" s="34">
        <v>4.0210202016880799E+18</v>
      </c>
      <c r="BZ72" s="34" t="s">
        <v>1060</v>
      </c>
      <c r="CA72" s="34" t="s">
        <v>161</v>
      </c>
    </row>
    <row r="73" spans="1:79" x14ac:dyDescent="0.25">
      <c r="A73" s="34" t="s">
        <v>1061</v>
      </c>
      <c r="B73" s="34" t="s">
        <v>1062</v>
      </c>
      <c r="C73" s="34">
        <v>2019</v>
      </c>
      <c r="D73" s="34" t="s">
        <v>341</v>
      </c>
      <c r="E73" s="34">
        <v>2.0200131918412E+17</v>
      </c>
      <c r="F73" s="34" t="s">
        <v>182</v>
      </c>
      <c r="G73" s="34" t="s">
        <v>1063</v>
      </c>
      <c r="H73" s="34">
        <v>1376589</v>
      </c>
      <c r="I73" s="34"/>
      <c r="J73" s="34" t="s">
        <v>180</v>
      </c>
      <c r="K73" s="34" t="s">
        <v>179</v>
      </c>
      <c r="L73" s="34" t="s">
        <v>374</v>
      </c>
      <c r="M73" s="34"/>
      <c r="N73" s="34" t="s">
        <v>905</v>
      </c>
      <c r="O73" s="34" t="s">
        <v>75</v>
      </c>
      <c r="P73" s="34"/>
      <c r="Q73" s="34" t="s">
        <v>28</v>
      </c>
      <c r="R73" s="34" t="s">
        <v>906</v>
      </c>
      <c r="S73" s="34"/>
      <c r="T73" s="34" t="s">
        <v>907</v>
      </c>
      <c r="U73" s="34"/>
      <c r="V73" s="34" t="s">
        <v>908</v>
      </c>
      <c r="W73" s="34"/>
      <c r="X73" s="34" t="s">
        <v>909</v>
      </c>
      <c r="Y73" s="34" t="s">
        <v>47</v>
      </c>
      <c r="Z73" s="34">
        <v>21421229</v>
      </c>
      <c r="AA73" s="34" t="s">
        <v>393</v>
      </c>
      <c r="AB73" s="34" t="s">
        <v>393</v>
      </c>
      <c r="AC73" s="34" t="s">
        <v>374</v>
      </c>
      <c r="AD73" s="34" t="s">
        <v>345</v>
      </c>
      <c r="AE73" s="34" t="s">
        <v>344</v>
      </c>
      <c r="AF73" s="34"/>
      <c r="AG73" s="34"/>
      <c r="AH73" s="34"/>
      <c r="AI73" s="34">
        <v>43704</v>
      </c>
      <c r="AJ73" s="34">
        <v>27</v>
      </c>
      <c r="AK73" s="34">
        <v>412</v>
      </c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 t="s">
        <v>446</v>
      </c>
      <c r="BH73" s="34"/>
      <c r="BI73" s="34" t="s">
        <v>168</v>
      </c>
      <c r="BJ73" s="34">
        <v>2020</v>
      </c>
      <c r="BK73" s="34" t="s">
        <v>0</v>
      </c>
      <c r="BL73" s="34" t="s">
        <v>186</v>
      </c>
      <c r="BM73" s="34" t="s">
        <v>166</v>
      </c>
      <c r="BN73" s="34">
        <v>43883.085165011573</v>
      </c>
      <c r="BO73" s="34"/>
      <c r="BP73" s="34" t="s">
        <v>1064</v>
      </c>
      <c r="BQ73" s="34" t="s">
        <v>419</v>
      </c>
      <c r="BR73" s="34" t="s">
        <v>513</v>
      </c>
      <c r="BS73" s="34">
        <v>4.0131202016861798E+18</v>
      </c>
      <c r="BT73" s="34" t="s">
        <v>164</v>
      </c>
      <c r="BU73" s="34" t="s">
        <v>512</v>
      </c>
      <c r="BV73" s="34">
        <v>2020</v>
      </c>
      <c r="BW73" s="34" t="s">
        <v>163</v>
      </c>
      <c r="BX73" s="34"/>
      <c r="BY73" s="34">
        <v>4.02212020169346E+18</v>
      </c>
      <c r="BZ73" s="34" t="s">
        <v>1065</v>
      </c>
      <c r="CA73" s="34" t="s">
        <v>161</v>
      </c>
    </row>
    <row r="74" spans="1:79" x14ac:dyDescent="0.25">
      <c r="A74" s="34" t="s">
        <v>903</v>
      </c>
      <c r="B74" s="34" t="s">
        <v>904</v>
      </c>
      <c r="C74" s="34">
        <v>2019</v>
      </c>
      <c r="D74" s="34" t="s">
        <v>422</v>
      </c>
      <c r="E74" s="34">
        <v>2.02001319184988E+17</v>
      </c>
      <c r="F74" s="34" t="s">
        <v>450</v>
      </c>
      <c r="G74" s="34">
        <v>4611850</v>
      </c>
      <c r="H74" s="34">
        <v>1378669</v>
      </c>
      <c r="I74" s="34"/>
      <c r="J74" s="34" t="s">
        <v>180</v>
      </c>
      <c r="K74" s="34" t="s">
        <v>179</v>
      </c>
      <c r="L74" s="34" t="s">
        <v>374</v>
      </c>
      <c r="M74" s="34"/>
      <c r="N74" s="34" t="s">
        <v>905</v>
      </c>
      <c r="O74" s="34" t="s">
        <v>28</v>
      </c>
      <c r="P74" s="34"/>
      <c r="Q74" s="34" t="s">
        <v>28</v>
      </c>
      <c r="R74" s="34" t="s">
        <v>906</v>
      </c>
      <c r="S74" s="34"/>
      <c r="T74" s="34" t="s">
        <v>907</v>
      </c>
      <c r="U74" s="34"/>
      <c r="V74" s="34" t="s">
        <v>908</v>
      </c>
      <c r="W74" s="34"/>
      <c r="X74" s="34" t="s">
        <v>909</v>
      </c>
      <c r="Y74" s="34" t="s">
        <v>47</v>
      </c>
      <c r="Z74" s="34">
        <v>21421229</v>
      </c>
      <c r="AA74" s="34" t="s">
        <v>910</v>
      </c>
      <c r="AB74" s="34" t="s">
        <v>393</v>
      </c>
      <c r="AC74" s="34" t="s">
        <v>374</v>
      </c>
      <c r="AD74" s="34" t="s">
        <v>345</v>
      </c>
      <c r="AE74" s="34" t="s">
        <v>344</v>
      </c>
      <c r="AF74" s="34"/>
      <c r="AG74" s="34"/>
      <c r="AH74" s="34"/>
      <c r="AI74" s="34">
        <v>43753</v>
      </c>
      <c r="AJ74" s="34">
        <v>50</v>
      </c>
      <c r="AK74" s="34">
        <v>710</v>
      </c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 t="s">
        <v>446</v>
      </c>
      <c r="BH74" s="34"/>
      <c r="BI74" s="34" t="s">
        <v>168</v>
      </c>
      <c r="BJ74" s="34">
        <v>2020</v>
      </c>
      <c r="BK74" s="34" t="s">
        <v>50</v>
      </c>
      <c r="BL74" s="34" t="s">
        <v>167</v>
      </c>
      <c r="BM74" s="34" t="s">
        <v>166</v>
      </c>
      <c r="BN74" s="34">
        <v>43875.067599386573</v>
      </c>
      <c r="BO74" s="34"/>
      <c r="BP74" s="34" t="s">
        <v>1066</v>
      </c>
      <c r="BQ74" s="34" t="s">
        <v>877</v>
      </c>
      <c r="BR74" s="34" t="s">
        <v>445</v>
      </c>
      <c r="BS74" s="34">
        <v>4.0131202016861901E+18</v>
      </c>
      <c r="BT74" s="34" t="s">
        <v>164</v>
      </c>
      <c r="BU74" s="34" t="s">
        <v>512</v>
      </c>
      <c r="BV74" s="34">
        <v>2020</v>
      </c>
      <c r="BW74" s="34" t="s">
        <v>163</v>
      </c>
      <c r="BX74" s="34"/>
      <c r="BY74" s="34">
        <v>4.0213202016906701E+18</v>
      </c>
      <c r="BZ74" s="34" t="s">
        <v>1067</v>
      </c>
      <c r="CA74" s="34" t="s">
        <v>161</v>
      </c>
    </row>
    <row r="75" spans="1:79" x14ac:dyDescent="0.25">
      <c r="A75" s="34" t="s">
        <v>903</v>
      </c>
      <c r="B75" s="34" t="s">
        <v>904</v>
      </c>
      <c r="C75" s="34">
        <v>2019</v>
      </c>
      <c r="D75" s="34" t="s">
        <v>422</v>
      </c>
      <c r="E75" s="34">
        <v>2.02001319184988E+17</v>
      </c>
      <c r="F75" s="34" t="s">
        <v>450</v>
      </c>
      <c r="G75" s="34">
        <v>4921395</v>
      </c>
      <c r="H75" s="34">
        <v>1378669</v>
      </c>
      <c r="I75" s="34"/>
      <c r="J75" s="34" t="s">
        <v>180</v>
      </c>
      <c r="K75" s="34" t="s">
        <v>179</v>
      </c>
      <c r="L75" s="34" t="s">
        <v>374</v>
      </c>
      <c r="M75" s="34"/>
      <c r="N75" s="34" t="s">
        <v>905</v>
      </c>
      <c r="O75" s="34" t="s">
        <v>28</v>
      </c>
      <c r="P75" s="34"/>
      <c r="Q75" s="34" t="s">
        <v>28</v>
      </c>
      <c r="R75" s="34" t="s">
        <v>906</v>
      </c>
      <c r="S75" s="34"/>
      <c r="T75" s="34" t="s">
        <v>907</v>
      </c>
      <c r="U75" s="34"/>
      <c r="V75" s="34" t="s">
        <v>908</v>
      </c>
      <c r="W75" s="34"/>
      <c r="X75" s="34" t="s">
        <v>909</v>
      </c>
      <c r="Y75" s="34" t="s">
        <v>47</v>
      </c>
      <c r="Z75" s="34">
        <v>21421229</v>
      </c>
      <c r="AA75" s="34" t="s">
        <v>910</v>
      </c>
      <c r="AB75" s="34" t="s">
        <v>393</v>
      </c>
      <c r="AC75" s="34" t="s">
        <v>374</v>
      </c>
      <c r="AD75" s="34" t="s">
        <v>345</v>
      </c>
      <c r="AE75" s="34" t="s">
        <v>344</v>
      </c>
      <c r="AF75" s="34"/>
      <c r="AG75" s="34"/>
      <c r="AH75" s="34"/>
      <c r="AI75" s="34">
        <v>43789</v>
      </c>
      <c r="AJ75" s="34">
        <v>50</v>
      </c>
      <c r="AK75" s="34">
        <v>710</v>
      </c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 t="s">
        <v>446</v>
      </c>
      <c r="BH75" s="34"/>
      <c r="BI75" s="34" t="s">
        <v>168</v>
      </c>
      <c r="BJ75" s="34">
        <v>2020</v>
      </c>
      <c r="BK75" s="34" t="s">
        <v>50</v>
      </c>
      <c r="BL75" s="34" t="s">
        <v>167</v>
      </c>
      <c r="BM75" s="34" t="s">
        <v>166</v>
      </c>
      <c r="BN75" s="34">
        <v>43875.067599386573</v>
      </c>
      <c r="BO75" s="34"/>
      <c r="BP75" s="34" t="s">
        <v>1068</v>
      </c>
      <c r="BQ75" s="34" t="s">
        <v>877</v>
      </c>
      <c r="BR75" s="34" t="s">
        <v>445</v>
      </c>
      <c r="BS75" s="34">
        <v>4.0131202016861901E+18</v>
      </c>
      <c r="BT75" s="34" t="s">
        <v>164</v>
      </c>
      <c r="BU75" s="34" t="s">
        <v>512</v>
      </c>
      <c r="BV75" s="34">
        <v>2020</v>
      </c>
      <c r="BW75" s="34" t="s">
        <v>163</v>
      </c>
      <c r="BX75" s="34"/>
      <c r="BY75" s="34">
        <v>4.0213202016906701E+18</v>
      </c>
      <c r="BZ75" s="34" t="s">
        <v>1067</v>
      </c>
      <c r="CA75" s="34" t="s">
        <v>161</v>
      </c>
    </row>
    <row r="76" spans="1:79" x14ac:dyDescent="0.25">
      <c r="A76" s="34" t="s">
        <v>1061</v>
      </c>
      <c r="B76" s="34" t="s">
        <v>1062</v>
      </c>
      <c r="C76" s="34">
        <v>2019</v>
      </c>
      <c r="D76" s="34" t="s">
        <v>341</v>
      </c>
      <c r="E76" s="34">
        <v>2.0200131918412E+17</v>
      </c>
      <c r="F76" s="34" t="s">
        <v>182</v>
      </c>
      <c r="G76" s="34" t="s">
        <v>1069</v>
      </c>
      <c r="H76" s="34">
        <v>1376589</v>
      </c>
      <c r="I76" s="34"/>
      <c r="J76" s="34" t="s">
        <v>180</v>
      </c>
      <c r="K76" s="34" t="s">
        <v>179</v>
      </c>
      <c r="L76" s="34" t="s">
        <v>374</v>
      </c>
      <c r="M76" s="34"/>
      <c r="N76" s="34" t="s">
        <v>905</v>
      </c>
      <c r="O76" s="34" t="s">
        <v>75</v>
      </c>
      <c r="P76" s="34"/>
      <c r="Q76" s="34" t="s">
        <v>28</v>
      </c>
      <c r="R76" s="34" t="s">
        <v>906</v>
      </c>
      <c r="S76" s="34"/>
      <c r="T76" s="34" t="s">
        <v>907</v>
      </c>
      <c r="U76" s="34"/>
      <c r="V76" s="34" t="s">
        <v>908</v>
      </c>
      <c r="W76" s="34"/>
      <c r="X76" s="34" t="s">
        <v>909</v>
      </c>
      <c r="Y76" s="34" t="s">
        <v>47</v>
      </c>
      <c r="Z76" s="34">
        <v>21421229</v>
      </c>
      <c r="AA76" s="34" t="s">
        <v>393</v>
      </c>
      <c r="AB76" s="34" t="s">
        <v>393</v>
      </c>
      <c r="AC76" s="34" t="s">
        <v>374</v>
      </c>
      <c r="AD76" s="34" t="s">
        <v>345</v>
      </c>
      <c r="AE76" s="34" t="s">
        <v>344</v>
      </c>
      <c r="AF76" s="34"/>
      <c r="AG76" s="34"/>
      <c r="AH76" s="34"/>
      <c r="AI76" s="34">
        <v>43661</v>
      </c>
      <c r="AJ76" s="34">
        <v>50</v>
      </c>
      <c r="AK76" s="34">
        <v>258</v>
      </c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 t="s">
        <v>446</v>
      </c>
      <c r="BH76" s="34"/>
      <c r="BI76" s="34" t="s">
        <v>168</v>
      </c>
      <c r="BJ76" s="34">
        <v>2020</v>
      </c>
      <c r="BK76" s="34" t="s">
        <v>0</v>
      </c>
      <c r="BL76" s="34" t="s">
        <v>186</v>
      </c>
      <c r="BM76" s="34" t="s">
        <v>166</v>
      </c>
      <c r="BN76" s="34">
        <v>43883.085164999997</v>
      </c>
      <c r="BO76" s="34"/>
      <c r="BP76" s="34" t="s">
        <v>1070</v>
      </c>
      <c r="BQ76" s="34" t="s">
        <v>419</v>
      </c>
      <c r="BR76" s="34" t="s">
        <v>513</v>
      </c>
      <c r="BS76" s="34">
        <v>4.0131202016861798E+18</v>
      </c>
      <c r="BT76" s="34" t="s">
        <v>164</v>
      </c>
      <c r="BU76" s="34" t="s">
        <v>512</v>
      </c>
      <c r="BV76" s="34">
        <v>2020</v>
      </c>
      <c r="BW76" s="34" t="s">
        <v>163</v>
      </c>
      <c r="BX76" s="34"/>
      <c r="BY76" s="34">
        <v>4.02212020169346E+18</v>
      </c>
      <c r="BZ76" s="34" t="s">
        <v>1071</v>
      </c>
      <c r="CA76" s="34" t="s">
        <v>161</v>
      </c>
    </row>
    <row r="77" spans="1:79" x14ac:dyDescent="0.25">
      <c r="A77" s="34" t="s">
        <v>1061</v>
      </c>
      <c r="B77" s="34" t="s">
        <v>1062</v>
      </c>
      <c r="C77" s="34">
        <v>2019</v>
      </c>
      <c r="D77" s="34" t="s">
        <v>341</v>
      </c>
      <c r="E77" s="34">
        <v>2.0200131918412E+17</v>
      </c>
      <c r="F77" s="34" t="s">
        <v>182</v>
      </c>
      <c r="G77" s="34" t="s">
        <v>1072</v>
      </c>
      <c r="H77" s="34">
        <v>1376589</v>
      </c>
      <c r="I77" s="34"/>
      <c r="J77" s="34" t="s">
        <v>180</v>
      </c>
      <c r="K77" s="34" t="s">
        <v>179</v>
      </c>
      <c r="L77" s="34" t="s">
        <v>374</v>
      </c>
      <c r="M77" s="34"/>
      <c r="N77" s="34" t="s">
        <v>905</v>
      </c>
      <c r="O77" s="34" t="s">
        <v>75</v>
      </c>
      <c r="P77" s="34"/>
      <c r="Q77" s="34" t="s">
        <v>28</v>
      </c>
      <c r="R77" s="34" t="s">
        <v>906</v>
      </c>
      <c r="S77" s="34"/>
      <c r="T77" s="34" t="s">
        <v>907</v>
      </c>
      <c r="U77" s="34"/>
      <c r="V77" s="34" t="s">
        <v>908</v>
      </c>
      <c r="W77" s="34"/>
      <c r="X77" s="34" t="s">
        <v>909</v>
      </c>
      <c r="Y77" s="34" t="s">
        <v>47</v>
      </c>
      <c r="Z77" s="34">
        <v>21421229</v>
      </c>
      <c r="AA77" s="34" t="s">
        <v>393</v>
      </c>
      <c r="AB77" s="34" t="s">
        <v>393</v>
      </c>
      <c r="AC77" s="34" t="s">
        <v>374</v>
      </c>
      <c r="AD77" s="34" t="s">
        <v>345</v>
      </c>
      <c r="AE77" s="34" t="s">
        <v>344</v>
      </c>
      <c r="AF77" s="34"/>
      <c r="AG77" s="34"/>
      <c r="AH77" s="34"/>
      <c r="AI77" s="34">
        <v>43662</v>
      </c>
      <c r="AJ77" s="34">
        <v>25</v>
      </c>
      <c r="AK77" s="34">
        <v>258</v>
      </c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 t="s">
        <v>446</v>
      </c>
      <c r="BH77" s="34"/>
      <c r="BI77" s="34" t="s">
        <v>168</v>
      </c>
      <c r="BJ77" s="34">
        <v>2020</v>
      </c>
      <c r="BK77" s="34" t="s">
        <v>0</v>
      </c>
      <c r="BL77" s="34" t="s">
        <v>186</v>
      </c>
      <c r="BM77" s="34" t="s">
        <v>166</v>
      </c>
      <c r="BN77" s="34">
        <v>43883.085164999997</v>
      </c>
      <c r="BO77" s="34"/>
      <c r="BP77" s="34" t="s">
        <v>1073</v>
      </c>
      <c r="BQ77" s="34" t="s">
        <v>419</v>
      </c>
      <c r="BR77" s="34" t="s">
        <v>513</v>
      </c>
      <c r="BS77" s="34">
        <v>4.0131202016861798E+18</v>
      </c>
      <c r="BT77" s="34" t="s">
        <v>164</v>
      </c>
      <c r="BU77" s="34" t="s">
        <v>512</v>
      </c>
      <c r="BV77" s="34">
        <v>2020</v>
      </c>
      <c r="BW77" s="34" t="s">
        <v>163</v>
      </c>
      <c r="BX77" s="34"/>
      <c r="BY77" s="34">
        <v>4.02212020169346E+18</v>
      </c>
      <c r="BZ77" s="34" t="s">
        <v>1074</v>
      </c>
      <c r="CA77" s="34" t="s">
        <v>161</v>
      </c>
    </row>
    <row r="78" spans="1:79" x14ac:dyDescent="0.25">
      <c r="A78" s="34" t="s">
        <v>1061</v>
      </c>
      <c r="B78" s="34" t="s">
        <v>1062</v>
      </c>
      <c r="C78" s="34">
        <v>2019</v>
      </c>
      <c r="D78" s="34" t="s">
        <v>341</v>
      </c>
      <c r="E78" s="34">
        <v>2.0200131918412E+17</v>
      </c>
      <c r="F78" s="34" t="s">
        <v>182</v>
      </c>
      <c r="G78" s="34" t="s">
        <v>1075</v>
      </c>
      <c r="H78" s="34">
        <v>1376589</v>
      </c>
      <c r="I78" s="34"/>
      <c r="J78" s="34" t="s">
        <v>180</v>
      </c>
      <c r="K78" s="34" t="s">
        <v>179</v>
      </c>
      <c r="L78" s="34" t="s">
        <v>374</v>
      </c>
      <c r="M78" s="34"/>
      <c r="N78" s="34" t="s">
        <v>905</v>
      </c>
      <c r="O78" s="34" t="s">
        <v>75</v>
      </c>
      <c r="P78" s="34"/>
      <c r="Q78" s="34" t="s">
        <v>28</v>
      </c>
      <c r="R78" s="34" t="s">
        <v>906</v>
      </c>
      <c r="S78" s="34"/>
      <c r="T78" s="34" t="s">
        <v>907</v>
      </c>
      <c r="U78" s="34"/>
      <c r="V78" s="34" t="s">
        <v>908</v>
      </c>
      <c r="W78" s="34"/>
      <c r="X78" s="34" t="s">
        <v>909</v>
      </c>
      <c r="Y78" s="34" t="s">
        <v>47</v>
      </c>
      <c r="Z78" s="34">
        <v>21421229</v>
      </c>
      <c r="AA78" s="34" t="s">
        <v>393</v>
      </c>
      <c r="AB78" s="34" t="s">
        <v>393</v>
      </c>
      <c r="AC78" s="34" t="s">
        <v>374</v>
      </c>
      <c r="AD78" s="34" t="s">
        <v>345</v>
      </c>
      <c r="AE78" s="34" t="s">
        <v>344</v>
      </c>
      <c r="AF78" s="34"/>
      <c r="AG78" s="34"/>
      <c r="AH78" s="34"/>
      <c r="AI78" s="34">
        <v>43667</v>
      </c>
      <c r="AJ78" s="34">
        <v>100</v>
      </c>
      <c r="AK78" s="34">
        <v>358</v>
      </c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 t="s">
        <v>446</v>
      </c>
      <c r="BH78" s="34"/>
      <c r="BI78" s="34" t="s">
        <v>168</v>
      </c>
      <c r="BJ78" s="34">
        <v>2020</v>
      </c>
      <c r="BK78" s="34" t="s">
        <v>0</v>
      </c>
      <c r="BL78" s="34" t="s">
        <v>186</v>
      </c>
      <c r="BM78" s="34" t="s">
        <v>166</v>
      </c>
      <c r="BN78" s="34">
        <v>43883.085164999997</v>
      </c>
      <c r="BO78" s="34"/>
      <c r="BP78" s="34" t="s">
        <v>1076</v>
      </c>
      <c r="BQ78" s="34" t="s">
        <v>419</v>
      </c>
      <c r="BR78" s="34" t="s">
        <v>513</v>
      </c>
      <c r="BS78" s="34">
        <v>4.0131202016861798E+18</v>
      </c>
      <c r="BT78" s="34" t="s">
        <v>164</v>
      </c>
      <c r="BU78" s="34" t="s">
        <v>512</v>
      </c>
      <c r="BV78" s="34">
        <v>2020</v>
      </c>
      <c r="BW78" s="34" t="s">
        <v>163</v>
      </c>
      <c r="BX78" s="34"/>
      <c r="BY78" s="34">
        <v>4.02212020169346E+18</v>
      </c>
      <c r="BZ78" s="34" t="s">
        <v>1074</v>
      </c>
      <c r="CA78" s="34" t="s">
        <v>161</v>
      </c>
    </row>
    <row r="79" spans="1:79" x14ac:dyDescent="0.25">
      <c r="A79" s="34" t="s">
        <v>1061</v>
      </c>
      <c r="B79" s="34" t="s">
        <v>1062</v>
      </c>
      <c r="C79" s="34">
        <v>2019</v>
      </c>
      <c r="D79" s="34" t="s">
        <v>341</v>
      </c>
      <c r="E79" s="34">
        <v>2.0200131918412E+17</v>
      </c>
      <c r="F79" s="34" t="s">
        <v>182</v>
      </c>
      <c r="G79" s="34" t="s">
        <v>1077</v>
      </c>
      <c r="H79" s="34">
        <v>1376589</v>
      </c>
      <c r="I79" s="34"/>
      <c r="J79" s="34" t="s">
        <v>180</v>
      </c>
      <c r="K79" s="34" t="s">
        <v>179</v>
      </c>
      <c r="L79" s="34" t="s">
        <v>374</v>
      </c>
      <c r="M79" s="34"/>
      <c r="N79" s="34" t="s">
        <v>905</v>
      </c>
      <c r="O79" s="34" t="s">
        <v>75</v>
      </c>
      <c r="P79" s="34"/>
      <c r="Q79" s="34" t="s">
        <v>28</v>
      </c>
      <c r="R79" s="34" t="s">
        <v>906</v>
      </c>
      <c r="S79" s="34"/>
      <c r="T79" s="34" t="s">
        <v>907</v>
      </c>
      <c r="U79" s="34"/>
      <c r="V79" s="34" t="s">
        <v>908</v>
      </c>
      <c r="W79" s="34"/>
      <c r="X79" s="34" t="s">
        <v>909</v>
      </c>
      <c r="Y79" s="34" t="s">
        <v>47</v>
      </c>
      <c r="Z79" s="34">
        <v>21421229</v>
      </c>
      <c r="AA79" s="34" t="s">
        <v>393</v>
      </c>
      <c r="AB79" s="34" t="s">
        <v>393</v>
      </c>
      <c r="AC79" s="34" t="s">
        <v>374</v>
      </c>
      <c r="AD79" s="34" t="s">
        <v>345</v>
      </c>
      <c r="AE79" s="34" t="s">
        <v>344</v>
      </c>
      <c r="AF79" s="34"/>
      <c r="AG79" s="34"/>
      <c r="AH79" s="34"/>
      <c r="AI79" s="34">
        <v>43673</v>
      </c>
      <c r="AJ79" s="34">
        <v>27</v>
      </c>
      <c r="AK79" s="34">
        <v>385</v>
      </c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 t="s">
        <v>446</v>
      </c>
      <c r="BH79" s="34"/>
      <c r="BI79" s="34" t="s">
        <v>168</v>
      </c>
      <c r="BJ79" s="34">
        <v>2020</v>
      </c>
      <c r="BK79" s="34" t="s">
        <v>0</v>
      </c>
      <c r="BL79" s="34" t="s">
        <v>186</v>
      </c>
      <c r="BM79" s="34" t="s">
        <v>166</v>
      </c>
      <c r="BN79" s="34">
        <v>43883.085164999997</v>
      </c>
      <c r="BO79" s="34"/>
      <c r="BP79" s="34" t="s">
        <v>1078</v>
      </c>
      <c r="BQ79" s="34" t="s">
        <v>419</v>
      </c>
      <c r="BR79" s="34" t="s">
        <v>513</v>
      </c>
      <c r="BS79" s="34">
        <v>4.0131202016861798E+18</v>
      </c>
      <c r="BT79" s="34" t="s">
        <v>164</v>
      </c>
      <c r="BU79" s="34" t="s">
        <v>512</v>
      </c>
      <c r="BV79" s="34">
        <v>2020</v>
      </c>
      <c r="BW79" s="34" t="s">
        <v>163</v>
      </c>
      <c r="BX79" s="34"/>
      <c r="BY79" s="34">
        <v>4.02212020169346E+18</v>
      </c>
      <c r="BZ79" s="34" t="s">
        <v>1079</v>
      </c>
      <c r="CA79" s="34" t="s">
        <v>161</v>
      </c>
    </row>
    <row r="80" spans="1:79" x14ac:dyDescent="0.25">
      <c r="A80" s="34" t="s">
        <v>1061</v>
      </c>
      <c r="B80" s="34" t="s">
        <v>1062</v>
      </c>
      <c r="C80" s="34">
        <v>2019</v>
      </c>
      <c r="D80" s="34" t="s">
        <v>341</v>
      </c>
      <c r="E80" s="34">
        <v>2.0200131918412E+17</v>
      </c>
      <c r="F80" s="34" t="s">
        <v>182</v>
      </c>
      <c r="G80" s="34" t="s">
        <v>1080</v>
      </c>
      <c r="H80" s="34">
        <v>1376589</v>
      </c>
      <c r="I80" s="34"/>
      <c r="J80" s="34" t="s">
        <v>180</v>
      </c>
      <c r="K80" s="34" t="s">
        <v>179</v>
      </c>
      <c r="L80" s="34" t="s">
        <v>374</v>
      </c>
      <c r="M80" s="34"/>
      <c r="N80" s="34" t="s">
        <v>905</v>
      </c>
      <c r="O80" s="34" t="s">
        <v>75</v>
      </c>
      <c r="P80" s="34"/>
      <c r="Q80" s="34" t="s">
        <v>28</v>
      </c>
      <c r="R80" s="34" t="s">
        <v>906</v>
      </c>
      <c r="S80" s="34"/>
      <c r="T80" s="34" t="s">
        <v>907</v>
      </c>
      <c r="U80" s="34"/>
      <c r="V80" s="34" t="s">
        <v>908</v>
      </c>
      <c r="W80" s="34"/>
      <c r="X80" s="34" t="s">
        <v>909</v>
      </c>
      <c r="Y80" s="34" t="s">
        <v>47</v>
      </c>
      <c r="Z80" s="34">
        <v>21421229</v>
      </c>
      <c r="AA80" s="34" t="s">
        <v>393</v>
      </c>
      <c r="AB80" s="34" t="s">
        <v>393</v>
      </c>
      <c r="AC80" s="34" t="s">
        <v>374</v>
      </c>
      <c r="AD80" s="34" t="s">
        <v>345</v>
      </c>
      <c r="AE80" s="34" t="s">
        <v>344</v>
      </c>
      <c r="AF80" s="34"/>
      <c r="AG80" s="34"/>
      <c r="AH80" s="34"/>
      <c r="AI80" s="34">
        <v>43735</v>
      </c>
      <c r="AJ80" s="34">
        <v>27</v>
      </c>
      <c r="AK80" s="34">
        <v>439</v>
      </c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 t="s">
        <v>446</v>
      </c>
      <c r="BH80" s="34"/>
      <c r="BI80" s="34" t="s">
        <v>168</v>
      </c>
      <c r="BJ80" s="34">
        <v>2020</v>
      </c>
      <c r="BK80" s="34" t="s">
        <v>0</v>
      </c>
      <c r="BL80" s="34" t="s">
        <v>186</v>
      </c>
      <c r="BM80" s="34" t="s">
        <v>166</v>
      </c>
      <c r="BN80" s="34">
        <v>43883.085165011573</v>
      </c>
      <c r="BO80" s="34"/>
      <c r="BP80" s="34" t="s">
        <v>1081</v>
      </c>
      <c r="BQ80" s="34" t="s">
        <v>419</v>
      </c>
      <c r="BR80" s="34" t="s">
        <v>513</v>
      </c>
      <c r="BS80" s="34">
        <v>4.0131202016861798E+18</v>
      </c>
      <c r="BT80" s="34" t="s">
        <v>164</v>
      </c>
      <c r="BU80" s="34" t="s">
        <v>512</v>
      </c>
      <c r="BV80" s="34">
        <v>2020</v>
      </c>
      <c r="BW80" s="34" t="s">
        <v>163</v>
      </c>
      <c r="BX80" s="34"/>
      <c r="BY80" s="34">
        <v>4.02212020169346E+18</v>
      </c>
      <c r="BZ80" s="34" t="s">
        <v>1065</v>
      </c>
      <c r="CA80" s="34" t="s">
        <v>161</v>
      </c>
    </row>
    <row r="81" spans="1:79" x14ac:dyDescent="0.25">
      <c r="A81" s="34" t="s">
        <v>1025</v>
      </c>
      <c r="B81" s="34" t="s">
        <v>1026</v>
      </c>
      <c r="C81" s="34">
        <v>2020</v>
      </c>
      <c r="D81" s="34" t="s">
        <v>730</v>
      </c>
      <c r="E81" s="34">
        <v>2.02002209186608E+17</v>
      </c>
      <c r="F81" s="34" t="s">
        <v>182</v>
      </c>
      <c r="G81" s="34" t="s">
        <v>1082</v>
      </c>
      <c r="H81" s="34">
        <v>1384345</v>
      </c>
      <c r="I81" s="34"/>
      <c r="J81" s="34" t="s">
        <v>180</v>
      </c>
      <c r="K81" s="34" t="s">
        <v>179</v>
      </c>
      <c r="L81" s="34" t="s">
        <v>374</v>
      </c>
      <c r="M81" s="34"/>
      <c r="N81" s="34" t="s">
        <v>905</v>
      </c>
      <c r="O81" s="34" t="s">
        <v>75</v>
      </c>
      <c r="P81" s="34"/>
      <c r="Q81" s="34" t="s">
        <v>28</v>
      </c>
      <c r="R81" s="34" t="s">
        <v>906</v>
      </c>
      <c r="S81" s="34"/>
      <c r="T81" s="34" t="s">
        <v>907</v>
      </c>
      <c r="U81" s="34"/>
      <c r="V81" s="34" t="s">
        <v>908</v>
      </c>
      <c r="W81" s="34"/>
      <c r="X81" s="34" t="s">
        <v>909</v>
      </c>
      <c r="Y81" s="34" t="s">
        <v>47</v>
      </c>
      <c r="Z81" s="34">
        <v>21421229</v>
      </c>
      <c r="AA81" s="34" t="s">
        <v>1028</v>
      </c>
      <c r="AB81" s="34" t="s">
        <v>290</v>
      </c>
      <c r="AC81" s="34" t="s">
        <v>374</v>
      </c>
      <c r="AD81" s="34" t="s">
        <v>345</v>
      </c>
      <c r="AE81" s="34" t="s">
        <v>344</v>
      </c>
      <c r="AF81" s="34"/>
      <c r="AG81" s="34"/>
      <c r="AH81" s="34"/>
      <c r="AI81" s="34">
        <v>43835</v>
      </c>
      <c r="AJ81" s="34">
        <v>25</v>
      </c>
      <c r="AK81" s="34">
        <v>745</v>
      </c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 t="s">
        <v>446</v>
      </c>
      <c r="BH81" s="34"/>
      <c r="BI81" s="34" t="s">
        <v>168</v>
      </c>
      <c r="BJ81" s="34">
        <v>2020</v>
      </c>
      <c r="BK81" s="34" t="s">
        <v>50</v>
      </c>
      <c r="BL81" s="34" t="s">
        <v>167</v>
      </c>
      <c r="BM81" s="34" t="s">
        <v>166</v>
      </c>
      <c r="BN81" s="34">
        <v>43889.188153657407</v>
      </c>
      <c r="BO81" s="34"/>
      <c r="BP81" s="34" t="s">
        <v>1083</v>
      </c>
      <c r="BQ81" s="34" t="s">
        <v>419</v>
      </c>
      <c r="BR81" s="34" t="s">
        <v>513</v>
      </c>
      <c r="BS81" s="34">
        <v>4.0220202016931901E+18</v>
      </c>
      <c r="BT81" s="34" t="s">
        <v>164</v>
      </c>
      <c r="BU81" s="34" t="s">
        <v>512</v>
      </c>
      <c r="BV81" s="34">
        <v>2020</v>
      </c>
      <c r="BW81" s="34" t="s">
        <v>163</v>
      </c>
      <c r="BX81" s="34"/>
      <c r="BY81" s="34">
        <v>4.02272020169965E+18</v>
      </c>
      <c r="BZ81" s="34" t="s">
        <v>1084</v>
      </c>
      <c r="CA81" s="34" t="s">
        <v>161</v>
      </c>
    </row>
    <row r="82" spans="1:79" x14ac:dyDescent="0.25">
      <c r="A82" s="34" t="s">
        <v>1025</v>
      </c>
      <c r="B82" s="34" t="s">
        <v>1026</v>
      </c>
      <c r="C82" s="34">
        <v>2020</v>
      </c>
      <c r="D82" s="34" t="s">
        <v>730</v>
      </c>
      <c r="E82" s="34">
        <v>2.02002209186608E+17</v>
      </c>
      <c r="F82" s="34" t="s">
        <v>182</v>
      </c>
      <c r="G82" s="34" t="s">
        <v>1085</v>
      </c>
      <c r="H82" s="34">
        <v>1384345</v>
      </c>
      <c r="I82" s="34"/>
      <c r="J82" s="34" t="s">
        <v>180</v>
      </c>
      <c r="K82" s="34" t="s">
        <v>179</v>
      </c>
      <c r="L82" s="34" t="s">
        <v>374</v>
      </c>
      <c r="M82" s="34"/>
      <c r="N82" s="34" t="s">
        <v>905</v>
      </c>
      <c r="O82" s="34" t="s">
        <v>75</v>
      </c>
      <c r="P82" s="34"/>
      <c r="Q82" s="34" t="s">
        <v>28</v>
      </c>
      <c r="R82" s="34" t="s">
        <v>906</v>
      </c>
      <c r="S82" s="34"/>
      <c r="T82" s="34" t="s">
        <v>907</v>
      </c>
      <c r="U82" s="34"/>
      <c r="V82" s="34" t="s">
        <v>908</v>
      </c>
      <c r="W82" s="34"/>
      <c r="X82" s="34" t="s">
        <v>909</v>
      </c>
      <c r="Y82" s="34" t="s">
        <v>47</v>
      </c>
      <c r="Z82" s="34">
        <v>21421229</v>
      </c>
      <c r="AA82" s="34" t="s">
        <v>1028</v>
      </c>
      <c r="AB82" s="34" t="s">
        <v>290</v>
      </c>
      <c r="AC82" s="34" t="s">
        <v>374</v>
      </c>
      <c r="AD82" s="34" t="s">
        <v>345</v>
      </c>
      <c r="AE82" s="34" t="s">
        <v>344</v>
      </c>
      <c r="AF82" s="34"/>
      <c r="AG82" s="34"/>
      <c r="AH82" s="34"/>
      <c r="AI82" s="34">
        <v>43843</v>
      </c>
      <c r="AJ82" s="34">
        <v>50</v>
      </c>
      <c r="AK82" s="34">
        <v>745</v>
      </c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 t="s">
        <v>446</v>
      </c>
      <c r="BH82" s="34"/>
      <c r="BI82" s="34" t="s">
        <v>168</v>
      </c>
      <c r="BJ82" s="34">
        <v>2020</v>
      </c>
      <c r="BK82" s="34" t="s">
        <v>50</v>
      </c>
      <c r="BL82" s="34" t="s">
        <v>167</v>
      </c>
      <c r="BM82" s="34" t="s">
        <v>166</v>
      </c>
      <c r="BN82" s="34">
        <v>43889.188153657407</v>
      </c>
      <c r="BO82" s="34"/>
      <c r="BP82" s="34" t="s">
        <v>1086</v>
      </c>
      <c r="BQ82" s="34" t="s">
        <v>419</v>
      </c>
      <c r="BR82" s="34" t="s">
        <v>513</v>
      </c>
      <c r="BS82" s="34">
        <v>4.0220202016931901E+18</v>
      </c>
      <c r="BT82" s="34" t="s">
        <v>164</v>
      </c>
      <c r="BU82" s="34" t="s">
        <v>512</v>
      </c>
      <c r="BV82" s="34">
        <v>2020</v>
      </c>
      <c r="BW82" s="34" t="s">
        <v>163</v>
      </c>
      <c r="BX82" s="34"/>
      <c r="BY82" s="34">
        <v>4.02272020169965E+18</v>
      </c>
      <c r="BZ82" s="34" t="s">
        <v>1087</v>
      </c>
      <c r="CA82" s="34" t="s">
        <v>161</v>
      </c>
    </row>
    <row r="83" spans="1:79" x14ac:dyDescent="0.25">
      <c r="A83" s="34" t="s">
        <v>1025</v>
      </c>
      <c r="B83" s="34" t="s">
        <v>1026</v>
      </c>
      <c r="C83" s="34">
        <v>2020</v>
      </c>
      <c r="D83" s="34" t="s">
        <v>730</v>
      </c>
      <c r="E83" s="34">
        <v>2.02002209186608E+17</v>
      </c>
      <c r="F83" s="34" t="s">
        <v>182</v>
      </c>
      <c r="G83" s="34" t="s">
        <v>1088</v>
      </c>
      <c r="H83" s="34">
        <v>1384345</v>
      </c>
      <c r="I83" s="34"/>
      <c r="J83" s="34" t="s">
        <v>180</v>
      </c>
      <c r="K83" s="34" t="s">
        <v>179</v>
      </c>
      <c r="L83" s="34" t="s">
        <v>374</v>
      </c>
      <c r="M83" s="34"/>
      <c r="N83" s="34" t="s">
        <v>905</v>
      </c>
      <c r="O83" s="34" t="s">
        <v>75</v>
      </c>
      <c r="P83" s="34"/>
      <c r="Q83" s="34" t="s">
        <v>28</v>
      </c>
      <c r="R83" s="34" t="s">
        <v>906</v>
      </c>
      <c r="S83" s="34"/>
      <c r="T83" s="34" t="s">
        <v>907</v>
      </c>
      <c r="U83" s="34"/>
      <c r="V83" s="34" t="s">
        <v>908</v>
      </c>
      <c r="W83" s="34"/>
      <c r="X83" s="34" t="s">
        <v>909</v>
      </c>
      <c r="Y83" s="34" t="s">
        <v>47</v>
      </c>
      <c r="Z83" s="34">
        <v>21421229</v>
      </c>
      <c r="AA83" s="34" t="s">
        <v>1028</v>
      </c>
      <c r="AB83" s="34" t="s">
        <v>290</v>
      </c>
      <c r="AC83" s="34" t="s">
        <v>374</v>
      </c>
      <c r="AD83" s="34" t="s">
        <v>345</v>
      </c>
      <c r="AE83" s="34" t="s">
        <v>344</v>
      </c>
      <c r="AF83" s="34"/>
      <c r="AG83" s="34"/>
      <c r="AH83" s="34"/>
      <c r="AI83" s="34">
        <v>43865</v>
      </c>
      <c r="AJ83" s="34">
        <v>70</v>
      </c>
      <c r="AK83" s="34">
        <v>745</v>
      </c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 t="s">
        <v>446</v>
      </c>
      <c r="BH83" s="34"/>
      <c r="BI83" s="34" t="s">
        <v>168</v>
      </c>
      <c r="BJ83" s="34">
        <v>2020</v>
      </c>
      <c r="BK83" s="34" t="s">
        <v>50</v>
      </c>
      <c r="BL83" s="34" t="s">
        <v>167</v>
      </c>
      <c r="BM83" s="34" t="s">
        <v>166</v>
      </c>
      <c r="BN83" s="34">
        <v>43889.188153657407</v>
      </c>
      <c r="BO83" s="34"/>
      <c r="BP83" s="34" t="s">
        <v>1089</v>
      </c>
      <c r="BQ83" s="34" t="s">
        <v>419</v>
      </c>
      <c r="BR83" s="34" t="s">
        <v>513</v>
      </c>
      <c r="BS83" s="34">
        <v>4.0220202016931901E+18</v>
      </c>
      <c r="BT83" s="34" t="s">
        <v>164</v>
      </c>
      <c r="BU83" s="34" t="s">
        <v>512</v>
      </c>
      <c r="BV83" s="34">
        <v>2020</v>
      </c>
      <c r="BW83" s="34" t="s">
        <v>163</v>
      </c>
      <c r="BX83" s="34"/>
      <c r="BY83" s="34">
        <v>4.02272020169965E+18</v>
      </c>
      <c r="BZ83" s="34" t="s">
        <v>1087</v>
      </c>
      <c r="CA83" s="34" t="s">
        <v>161</v>
      </c>
    </row>
    <row r="84" spans="1:79" x14ac:dyDescent="0.25">
      <c r="A84" s="34" t="s">
        <v>374</v>
      </c>
      <c r="B84" s="34" t="s">
        <v>287</v>
      </c>
      <c r="C84" s="34">
        <v>2019</v>
      </c>
      <c r="D84" s="34" t="s">
        <v>422</v>
      </c>
      <c r="E84" s="34">
        <v>2.0200129917472301E+17</v>
      </c>
      <c r="F84" s="34" t="s">
        <v>182</v>
      </c>
      <c r="G84" s="34" t="s">
        <v>1090</v>
      </c>
      <c r="H84" s="34">
        <v>1378435</v>
      </c>
      <c r="I84" s="34"/>
      <c r="J84" s="34" t="s">
        <v>180</v>
      </c>
      <c r="K84" s="34" t="s">
        <v>179</v>
      </c>
      <c r="L84" s="34"/>
      <c r="M84" s="34"/>
      <c r="N84" s="34" t="s">
        <v>905</v>
      </c>
      <c r="O84" s="34" t="s">
        <v>297</v>
      </c>
      <c r="P84" s="34"/>
      <c r="Q84" s="34" t="s">
        <v>296</v>
      </c>
      <c r="R84" s="34" t="s">
        <v>906</v>
      </c>
      <c r="S84" s="34"/>
      <c r="T84" s="34" t="s">
        <v>907</v>
      </c>
      <c r="U84" s="34"/>
      <c r="V84" s="34" t="s">
        <v>949</v>
      </c>
      <c r="W84" s="34"/>
      <c r="X84" s="34" t="s">
        <v>909</v>
      </c>
      <c r="Y84" s="34" t="s">
        <v>47</v>
      </c>
      <c r="Z84" s="34">
        <v>2142</v>
      </c>
      <c r="AA84" s="34" t="s">
        <v>393</v>
      </c>
      <c r="AB84" s="34" t="s">
        <v>393</v>
      </c>
      <c r="AC84" s="34"/>
      <c r="AD84" s="34"/>
      <c r="AE84" s="34"/>
      <c r="AF84" s="34" t="s">
        <v>377</v>
      </c>
      <c r="AG84" s="34"/>
      <c r="AH84" s="34"/>
      <c r="AI84" s="34">
        <v>43704</v>
      </c>
      <c r="AJ84" s="34">
        <v>20</v>
      </c>
      <c r="AK84" s="34">
        <v>52.5</v>
      </c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 t="s">
        <v>363</v>
      </c>
      <c r="BG84" s="34"/>
      <c r="BH84" s="34"/>
      <c r="BI84" s="34"/>
      <c r="BJ84" s="34"/>
      <c r="BK84" s="34" t="s">
        <v>50</v>
      </c>
      <c r="BL84" s="34" t="s">
        <v>167</v>
      </c>
      <c r="BM84" s="34" t="s">
        <v>166</v>
      </c>
      <c r="BN84" s="34">
        <v>43894.291711273145</v>
      </c>
      <c r="BO84" s="34"/>
      <c r="BP84" s="34"/>
      <c r="BQ84" s="34"/>
      <c r="BR84" s="34" t="s">
        <v>165</v>
      </c>
      <c r="BS84" s="34">
        <v>4.02012020168638E+18</v>
      </c>
      <c r="BT84" s="34" t="s">
        <v>164</v>
      </c>
      <c r="BU84" s="34" t="s">
        <v>650</v>
      </c>
      <c r="BV84" s="34">
        <v>2020</v>
      </c>
      <c r="BW84" s="34" t="s">
        <v>163</v>
      </c>
      <c r="BX84" s="34"/>
      <c r="BY84" s="34">
        <v>4.0302202012160799E+18</v>
      </c>
      <c r="BZ84" s="34" t="s">
        <v>1091</v>
      </c>
      <c r="CA84" s="34" t="s">
        <v>161</v>
      </c>
    </row>
    <row r="85" spans="1:79" x14ac:dyDescent="0.25">
      <c r="A85" s="34" t="s">
        <v>374</v>
      </c>
      <c r="B85" s="34" t="s">
        <v>287</v>
      </c>
      <c r="C85" s="34">
        <v>2019</v>
      </c>
      <c r="D85" s="34" t="s">
        <v>422</v>
      </c>
      <c r="E85" s="34">
        <v>2.0200129917472301E+17</v>
      </c>
      <c r="F85" s="34" t="s">
        <v>182</v>
      </c>
      <c r="G85" s="34" t="s">
        <v>1092</v>
      </c>
      <c r="H85" s="34">
        <v>1378435</v>
      </c>
      <c r="I85" s="34"/>
      <c r="J85" s="34" t="s">
        <v>180</v>
      </c>
      <c r="K85" s="34" t="s">
        <v>179</v>
      </c>
      <c r="L85" s="34"/>
      <c r="M85" s="34"/>
      <c r="N85" s="34" t="s">
        <v>905</v>
      </c>
      <c r="O85" s="34" t="s">
        <v>297</v>
      </c>
      <c r="P85" s="34"/>
      <c r="Q85" s="34" t="s">
        <v>296</v>
      </c>
      <c r="R85" s="34" t="s">
        <v>906</v>
      </c>
      <c r="S85" s="34"/>
      <c r="T85" s="34" t="s">
        <v>907</v>
      </c>
      <c r="U85" s="34"/>
      <c r="V85" s="34" t="s">
        <v>949</v>
      </c>
      <c r="W85" s="34"/>
      <c r="X85" s="34" t="s">
        <v>909</v>
      </c>
      <c r="Y85" s="34" t="s">
        <v>47</v>
      </c>
      <c r="Z85" s="34">
        <v>2142</v>
      </c>
      <c r="AA85" s="34" t="s">
        <v>393</v>
      </c>
      <c r="AB85" s="34" t="s">
        <v>393</v>
      </c>
      <c r="AC85" s="34"/>
      <c r="AD85" s="34">
        <v>15</v>
      </c>
      <c r="AE85" s="34" t="s">
        <v>169</v>
      </c>
      <c r="AF85" s="34" t="s">
        <v>364</v>
      </c>
      <c r="AG85" s="34"/>
      <c r="AH85" s="34"/>
      <c r="AI85" s="34">
        <v>43715</v>
      </c>
      <c r="AJ85" s="34">
        <v>10</v>
      </c>
      <c r="AK85" s="34">
        <v>367.62</v>
      </c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 t="s">
        <v>363</v>
      </c>
      <c r="BG85" s="34"/>
      <c r="BH85" s="34"/>
      <c r="BI85" s="34"/>
      <c r="BJ85" s="34"/>
      <c r="BK85" s="34" t="s">
        <v>50</v>
      </c>
      <c r="BL85" s="34" t="s">
        <v>167</v>
      </c>
      <c r="BM85" s="34" t="s">
        <v>166</v>
      </c>
      <c r="BN85" s="34">
        <v>43894.294445694446</v>
      </c>
      <c r="BO85" s="34"/>
      <c r="BP85" s="34"/>
      <c r="BQ85" s="34"/>
      <c r="BR85" s="34" t="s">
        <v>165</v>
      </c>
      <c r="BS85" s="34">
        <v>4.02012020168638E+18</v>
      </c>
      <c r="BT85" s="34" t="s">
        <v>164</v>
      </c>
      <c r="BU85" s="34" t="s">
        <v>362</v>
      </c>
      <c r="BV85" s="34">
        <v>2020</v>
      </c>
      <c r="BW85" s="34" t="s">
        <v>163</v>
      </c>
      <c r="BX85" s="34"/>
      <c r="BY85" s="34">
        <v>4.0302202012218102E+18</v>
      </c>
      <c r="BZ85" s="34" t="s">
        <v>1093</v>
      </c>
      <c r="CA85" s="34" t="s">
        <v>161</v>
      </c>
    </row>
    <row r="86" spans="1:79" x14ac:dyDescent="0.25">
      <c r="A86" s="34" t="s">
        <v>374</v>
      </c>
      <c r="B86" s="34" t="s">
        <v>287</v>
      </c>
      <c r="C86" s="34">
        <v>2019</v>
      </c>
      <c r="D86" s="34" t="s">
        <v>422</v>
      </c>
      <c r="E86" s="34">
        <v>2.0200129917472301E+17</v>
      </c>
      <c r="F86" s="34" t="s">
        <v>182</v>
      </c>
      <c r="G86" s="34" t="s">
        <v>1094</v>
      </c>
      <c r="H86" s="34">
        <v>1378435</v>
      </c>
      <c r="I86" s="34"/>
      <c r="J86" s="34" t="s">
        <v>180</v>
      </c>
      <c r="K86" s="34" t="s">
        <v>179</v>
      </c>
      <c r="L86" s="34" t="s">
        <v>1061</v>
      </c>
      <c r="M86" s="34"/>
      <c r="N86" s="34" t="s">
        <v>905</v>
      </c>
      <c r="O86" s="34" t="s">
        <v>297</v>
      </c>
      <c r="P86" s="34"/>
      <c r="Q86" s="34" t="s">
        <v>296</v>
      </c>
      <c r="R86" s="34" t="s">
        <v>906</v>
      </c>
      <c r="S86" s="34"/>
      <c r="T86" s="34" t="s">
        <v>907</v>
      </c>
      <c r="U86" s="34"/>
      <c r="V86" s="34" t="s">
        <v>949</v>
      </c>
      <c r="W86" s="34"/>
      <c r="X86" s="34" t="s">
        <v>909</v>
      </c>
      <c r="Y86" s="34" t="s">
        <v>47</v>
      </c>
      <c r="Z86" s="34">
        <v>2142</v>
      </c>
      <c r="AA86" s="34" t="s">
        <v>393</v>
      </c>
      <c r="AB86" s="34" t="s">
        <v>393</v>
      </c>
      <c r="AC86" s="34" t="s">
        <v>1061</v>
      </c>
      <c r="AD86" s="34" t="s">
        <v>383</v>
      </c>
      <c r="AE86" s="34" t="s">
        <v>382</v>
      </c>
      <c r="AF86" s="34" t="s">
        <v>377</v>
      </c>
      <c r="AG86" s="34"/>
      <c r="AH86" s="34"/>
      <c r="AI86" s="34">
        <v>43735</v>
      </c>
      <c r="AJ86" s="34">
        <v>27</v>
      </c>
      <c r="AK86" s="34">
        <v>489</v>
      </c>
      <c r="AL86" s="34" t="s">
        <v>1095</v>
      </c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 t="s">
        <v>363</v>
      </c>
      <c r="BG86" s="34"/>
      <c r="BH86" s="34"/>
      <c r="BI86" s="34"/>
      <c r="BJ86" s="34"/>
      <c r="BK86" s="34" t="s">
        <v>50</v>
      </c>
      <c r="BL86" s="34" t="s">
        <v>167</v>
      </c>
      <c r="BM86" s="34" t="s">
        <v>166</v>
      </c>
      <c r="BN86" s="34">
        <v>43894.295794201389</v>
      </c>
      <c r="BO86" s="34"/>
      <c r="BP86" s="34"/>
      <c r="BQ86" s="34"/>
      <c r="BR86" s="34" t="s">
        <v>165</v>
      </c>
      <c r="BS86" s="34">
        <v>4.02012020168638E+18</v>
      </c>
      <c r="BT86" s="34" t="s">
        <v>164</v>
      </c>
      <c r="BU86" s="34" t="s">
        <v>957</v>
      </c>
      <c r="BV86" s="34">
        <v>2020</v>
      </c>
      <c r="BW86" s="34" t="s">
        <v>163</v>
      </c>
      <c r="BX86" s="34"/>
      <c r="BY86" s="34">
        <v>4.0302202012221199E+18</v>
      </c>
      <c r="BZ86" s="34" t="s">
        <v>1096</v>
      </c>
      <c r="CA86" s="34" t="s">
        <v>161</v>
      </c>
    </row>
    <row r="87" spans="1:79" x14ac:dyDescent="0.25">
      <c r="A87" s="34" t="s">
        <v>374</v>
      </c>
      <c r="B87" s="34" t="s">
        <v>287</v>
      </c>
      <c r="C87" s="34">
        <v>2019</v>
      </c>
      <c r="D87" s="34" t="s">
        <v>422</v>
      </c>
      <c r="E87" s="34">
        <v>2.0200129917472301E+17</v>
      </c>
      <c r="F87" s="34" t="s">
        <v>182</v>
      </c>
      <c r="G87" s="34" t="s">
        <v>1097</v>
      </c>
      <c r="H87" s="34">
        <v>1378435</v>
      </c>
      <c r="I87" s="34"/>
      <c r="J87" s="34" t="s">
        <v>180</v>
      </c>
      <c r="K87" s="34" t="s">
        <v>179</v>
      </c>
      <c r="L87" s="34" t="s">
        <v>1025</v>
      </c>
      <c r="M87" s="34"/>
      <c r="N87" s="34" t="s">
        <v>905</v>
      </c>
      <c r="O87" s="34" t="s">
        <v>297</v>
      </c>
      <c r="P87" s="34"/>
      <c r="Q87" s="34" t="s">
        <v>296</v>
      </c>
      <c r="R87" s="34" t="s">
        <v>906</v>
      </c>
      <c r="S87" s="34"/>
      <c r="T87" s="34" t="s">
        <v>907</v>
      </c>
      <c r="U87" s="34"/>
      <c r="V87" s="34" t="s">
        <v>949</v>
      </c>
      <c r="W87" s="34"/>
      <c r="X87" s="34" t="s">
        <v>909</v>
      </c>
      <c r="Y87" s="34" t="s">
        <v>47</v>
      </c>
      <c r="Z87" s="34">
        <v>2142</v>
      </c>
      <c r="AA87" s="34" t="s">
        <v>393</v>
      </c>
      <c r="AB87" s="34" t="s">
        <v>393</v>
      </c>
      <c r="AC87" s="34" t="s">
        <v>1025</v>
      </c>
      <c r="AD87" s="34" t="s">
        <v>383</v>
      </c>
      <c r="AE87" s="34" t="s">
        <v>382</v>
      </c>
      <c r="AF87" s="34" t="s">
        <v>377</v>
      </c>
      <c r="AG87" s="34"/>
      <c r="AH87" s="34"/>
      <c r="AI87" s="34">
        <v>43762</v>
      </c>
      <c r="AJ87" s="34">
        <v>100</v>
      </c>
      <c r="AK87" s="34">
        <v>600</v>
      </c>
      <c r="AL87" s="34" t="s">
        <v>1098</v>
      </c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 t="s">
        <v>363</v>
      </c>
      <c r="BG87" s="34"/>
      <c r="BH87" s="34"/>
      <c r="BI87" s="34"/>
      <c r="BJ87" s="34"/>
      <c r="BK87" s="34" t="s">
        <v>50</v>
      </c>
      <c r="BL87" s="34" t="s">
        <v>167</v>
      </c>
      <c r="BM87" s="34" t="s">
        <v>166</v>
      </c>
      <c r="BN87" s="34">
        <v>43894.296063090274</v>
      </c>
      <c r="BO87" s="34"/>
      <c r="BP87" s="34"/>
      <c r="BQ87" s="34"/>
      <c r="BR87" s="34" t="s">
        <v>165</v>
      </c>
      <c r="BS87" s="34">
        <v>4.02012020168638E+18</v>
      </c>
      <c r="BT87" s="34" t="s">
        <v>164</v>
      </c>
      <c r="BU87" s="34" t="s">
        <v>1099</v>
      </c>
      <c r="BV87" s="34">
        <v>2020</v>
      </c>
      <c r="BW87" s="34" t="s">
        <v>163</v>
      </c>
      <c r="BX87" s="34"/>
      <c r="BY87" s="34">
        <v>4.0302202012226099E+18</v>
      </c>
      <c r="BZ87" s="34" t="s">
        <v>1100</v>
      </c>
      <c r="CA87" s="34" t="s">
        <v>161</v>
      </c>
    </row>
    <row r="88" spans="1:79" x14ac:dyDescent="0.25">
      <c r="A88" s="34" t="s">
        <v>374</v>
      </c>
      <c r="B88" s="34" t="s">
        <v>287</v>
      </c>
      <c r="C88" s="34">
        <v>2019</v>
      </c>
      <c r="D88" s="34" t="s">
        <v>422</v>
      </c>
      <c r="E88" s="34">
        <v>2.0200129917472301E+17</v>
      </c>
      <c r="F88" s="34" t="s">
        <v>182</v>
      </c>
      <c r="G88" s="34" t="s">
        <v>1101</v>
      </c>
      <c r="H88" s="34">
        <v>1378435</v>
      </c>
      <c r="I88" s="34"/>
      <c r="J88" s="34" t="s">
        <v>180</v>
      </c>
      <c r="K88" s="34" t="s">
        <v>179</v>
      </c>
      <c r="L88" s="34" t="s">
        <v>903</v>
      </c>
      <c r="M88" s="34"/>
      <c r="N88" s="34" t="s">
        <v>905</v>
      </c>
      <c r="O88" s="34" t="s">
        <v>297</v>
      </c>
      <c r="P88" s="34"/>
      <c r="Q88" s="34" t="s">
        <v>296</v>
      </c>
      <c r="R88" s="34" t="s">
        <v>906</v>
      </c>
      <c r="S88" s="34"/>
      <c r="T88" s="34" t="s">
        <v>907</v>
      </c>
      <c r="U88" s="34"/>
      <c r="V88" s="34" t="s">
        <v>949</v>
      </c>
      <c r="W88" s="34"/>
      <c r="X88" s="34" t="s">
        <v>909</v>
      </c>
      <c r="Y88" s="34" t="s">
        <v>47</v>
      </c>
      <c r="Z88" s="34">
        <v>2142</v>
      </c>
      <c r="AA88" s="34" t="s">
        <v>393</v>
      </c>
      <c r="AB88" s="34" t="s">
        <v>393</v>
      </c>
      <c r="AC88" s="34" t="s">
        <v>903</v>
      </c>
      <c r="AD88" s="34" t="s">
        <v>383</v>
      </c>
      <c r="AE88" s="34" t="s">
        <v>382</v>
      </c>
      <c r="AF88" s="34" t="s">
        <v>377</v>
      </c>
      <c r="AG88" s="34"/>
      <c r="AH88" s="34"/>
      <c r="AI88" s="34">
        <v>43675</v>
      </c>
      <c r="AJ88" s="34">
        <v>50</v>
      </c>
      <c r="AK88" s="34">
        <v>710</v>
      </c>
      <c r="AL88" s="34" t="s">
        <v>973</v>
      </c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 t="s">
        <v>363</v>
      </c>
      <c r="BG88" s="34"/>
      <c r="BH88" s="34"/>
      <c r="BI88" s="34"/>
      <c r="BJ88" s="34"/>
      <c r="BK88" s="34" t="s">
        <v>50</v>
      </c>
      <c r="BL88" s="34" t="s">
        <v>167</v>
      </c>
      <c r="BM88" s="34" t="s">
        <v>166</v>
      </c>
      <c r="BN88" s="34">
        <v>43894.296755023148</v>
      </c>
      <c r="BO88" s="34"/>
      <c r="BP88" s="34"/>
      <c r="BQ88" s="34"/>
      <c r="BR88" s="34" t="s">
        <v>165</v>
      </c>
      <c r="BS88" s="34">
        <v>4.02012020168638E+18</v>
      </c>
      <c r="BT88" s="34" t="s">
        <v>164</v>
      </c>
      <c r="BU88" s="34" t="s">
        <v>974</v>
      </c>
      <c r="BV88" s="34">
        <v>2020</v>
      </c>
      <c r="BW88" s="34" t="s">
        <v>163</v>
      </c>
      <c r="BX88" s="34"/>
      <c r="BY88" s="34">
        <v>4.0302202012242299E+18</v>
      </c>
      <c r="BZ88" s="34" t="s">
        <v>1102</v>
      </c>
      <c r="CA88" s="34" t="s">
        <v>161</v>
      </c>
    </row>
    <row r="89" spans="1:79" x14ac:dyDescent="0.25">
      <c r="A89" s="34" t="s">
        <v>374</v>
      </c>
      <c r="B89" s="34" t="s">
        <v>287</v>
      </c>
      <c r="C89" s="34">
        <v>2019</v>
      </c>
      <c r="D89" s="34" t="s">
        <v>422</v>
      </c>
      <c r="E89" s="34">
        <v>2.0200129917472301E+17</v>
      </c>
      <c r="F89" s="34" t="s">
        <v>182</v>
      </c>
      <c r="G89" s="34" t="s">
        <v>1103</v>
      </c>
      <c r="H89" s="34">
        <v>1378435</v>
      </c>
      <c r="I89" s="34"/>
      <c r="J89" s="34" t="s">
        <v>180</v>
      </c>
      <c r="K89" s="34" t="s">
        <v>179</v>
      </c>
      <c r="L89" s="34" t="s">
        <v>1104</v>
      </c>
      <c r="M89" s="34"/>
      <c r="N89" s="34" t="s">
        <v>905</v>
      </c>
      <c r="O89" s="34" t="s">
        <v>297</v>
      </c>
      <c r="P89" s="34"/>
      <c r="Q89" s="34" t="s">
        <v>296</v>
      </c>
      <c r="R89" s="34" t="s">
        <v>906</v>
      </c>
      <c r="S89" s="34"/>
      <c r="T89" s="34" t="s">
        <v>907</v>
      </c>
      <c r="U89" s="34"/>
      <c r="V89" s="34" t="s">
        <v>949</v>
      </c>
      <c r="W89" s="34"/>
      <c r="X89" s="34" t="s">
        <v>909</v>
      </c>
      <c r="Y89" s="34" t="s">
        <v>47</v>
      </c>
      <c r="Z89" s="34">
        <v>2142</v>
      </c>
      <c r="AA89" s="34" t="s">
        <v>393</v>
      </c>
      <c r="AB89" s="34" t="s">
        <v>393</v>
      </c>
      <c r="AC89" s="34" t="s">
        <v>1104</v>
      </c>
      <c r="AD89" s="34" t="s">
        <v>383</v>
      </c>
      <c r="AE89" s="34" t="s">
        <v>382</v>
      </c>
      <c r="AF89" s="34" t="s">
        <v>377</v>
      </c>
      <c r="AG89" s="34"/>
      <c r="AH89" s="34"/>
      <c r="AI89" s="34">
        <v>43807</v>
      </c>
      <c r="AJ89" s="34">
        <v>100</v>
      </c>
      <c r="AK89" s="34">
        <v>400</v>
      </c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 t="s">
        <v>363</v>
      </c>
      <c r="BG89" s="34"/>
      <c r="BH89" s="34"/>
      <c r="BI89" s="34"/>
      <c r="BJ89" s="34"/>
      <c r="BK89" s="34" t="s">
        <v>50</v>
      </c>
      <c r="BL89" s="34" t="s">
        <v>167</v>
      </c>
      <c r="BM89" s="34" t="s">
        <v>166</v>
      </c>
      <c r="BN89" s="34">
        <v>43894.299902511571</v>
      </c>
      <c r="BO89" s="34"/>
      <c r="BP89" s="34"/>
      <c r="BQ89" s="34"/>
      <c r="BR89" s="34" t="s">
        <v>165</v>
      </c>
      <c r="BS89" s="34">
        <v>4.02012020168638E+18</v>
      </c>
      <c r="BT89" s="34" t="s">
        <v>164</v>
      </c>
      <c r="BU89" s="34" t="s">
        <v>1105</v>
      </c>
      <c r="BV89" s="34">
        <v>2020</v>
      </c>
      <c r="BW89" s="34" t="s">
        <v>163</v>
      </c>
      <c r="BX89" s="34"/>
      <c r="BY89" s="34">
        <v>4.03022020123571E+18</v>
      </c>
      <c r="BZ89" s="34" t="s">
        <v>1106</v>
      </c>
      <c r="CA89" s="34" t="s">
        <v>161</v>
      </c>
    </row>
    <row r="90" spans="1:79" x14ac:dyDescent="0.25">
      <c r="A90" s="34" t="s">
        <v>374</v>
      </c>
      <c r="B90" s="34" t="s">
        <v>287</v>
      </c>
      <c r="C90" s="34">
        <v>2019</v>
      </c>
      <c r="D90" s="34" t="s">
        <v>422</v>
      </c>
      <c r="E90" s="34">
        <v>2.0200129917472301E+17</v>
      </c>
      <c r="F90" s="34" t="s">
        <v>182</v>
      </c>
      <c r="G90" s="34" t="s">
        <v>1107</v>
      </c>
      <c r="H90" s="34">
        <v>1378435</v>
      </c>
      <c r="I90" s="34"/>
      <c r="J90" s="34" t="s">
        <v>180</v>
      </c>
      <c r="K90" s="34" t="s">
        <v>179</v>
      </c>
      <c r="L90" s="34"/>
      <c r="M90" s="34"/>
      <c r="N90" s="34" t="s">
        <v>905</v>
      </c>
      <c r="O90" s="34" t="s">
        <v>297</v>
      </c>
      <c r="P90" s="34"/>
      <c r="Q90" s="34" t="s">
        <v>296</v>
      </c>
      <c r="R90" s="34" t="s">
        <v>906</v>
      </c>
      <c r="S90" s="34"/>
      <c r="T90" s="34" t="s">
        <v>907</v>
      </c>
      <c r="U90" s="34"/>
      <c r="V90" s="34" t="s">
        <v>949</v>
      </c>
      <c r="W90" s="34"/>
      <c r="X90" s="34" t="s">
        <v>909</v>
      </c>
      <c r="Y90" s="34" t="s">
        <v>47</v>
      </c>
      <c r="Z90" s="34">
        <v>2142</v>
      </c>
      <c r="AA90" s="34" t="s">
        <v>393</v>
      </c>
      <c r="AB90" s="34" t="s">
        <v>393</v>
      </c>
      <c r="AC90" s="34"/>
      <c r="AD90" s="34">
        <v>15</v>
      </c>
      <c r="AE90" s="34" t="s">
        <v>169</v>
      </c>
      <c r="AF90" s="34" t="s">
        <v>364</v>
      </c>
      <c r="AG90" s="34"/>
      <c r="AH90" s="34"/>
      <c r="AI90" s="34">
        <v>43826</v>
      </c>
      <c r="AJ90" s="34">
        <v>5</v>
      </c>
      <c r="AK90" s="34">
        <v>367.62</v>
      </c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 t="s">
        <v>363</v>
      </c>
      <c r="BG90" s="34"/>
      <c r="BH90" s="34"/>
      <c r="BI90" s="34"/>
      <c r="BJ90" s="34"/>
      <c r="BK90" s="34" t="s">
        <v>50</v>
      </c>
      <c r="BL90" s="34" t="s">
        <v>167</v>
      </c>
      <c r="BM90" s="34" t="s">
        <v>166</v>
      </c>
      <c r="BN90" s="34">
        <v>43894.301540775465</v>
      </c>
      <c r="BO90" s="34"/>
      <c r="BP90" s="34"/>
      <c r="BQ90" s="34"/>
      <c r="BR90" s="34" t="s">
        <v>165</v>
      </c>
      <c r="BS90" s="34">
        <v>4.02012020168638E+18</v>
      </c>
      <c r="BT90" s="34" t="s">
        <v>164</v>
      </c>
      <c r="BU90" s="34" t="s">
        <v>362</v>
      </c>
      <c r="BV90" s="34">
        <v>2020</v>
      </c>
      <c r="BW90" s="34" t="s">
        <v>163</v>
      </c>
      <c r="BX90" s="34"/>
      <c r="BY90" s="34">
        <v>4.0302202012391301E+18</v>
      </c>
      <c r="BZ90" s="34" t="s">
        <v>1108</v>
      </c>
      <c r="CA90" s="34" t="s">
        <v>161</v>
      </c>
    </row>
    <row r="91" spans="1:79" x14ac:dyDescent="0.25">
      <c r="A91" s="34" t="s">
        <v>374</v>
      </c>
      <c r="B91" s="34" t="s">
        <v>287</v>
      </c>
      <c r="C91" s="34">
        <v>2019</v>
      </c>
      <c r="D91" s="34" t="s">
        <v>422</v>
      </c>
      <c r="E91" s="34">
        <v>2.0200129917472301E+17</v>
      </c>
      <c r="F91" s="34" t="s">
        <v>182</v>
      </c>
      <c r="G91" s="34" t="s">
        <v>1109</v>
      </c>
      <c r="H91" s="34">
        <v>1378435</v>
      </c>
      <c r="I91" s="34"/>
      <c r="J91" s="34" t="s">
        <v>180</v>
      </c>
      <c r="K91" s="34" t="s">
        <v>179</v>
      </c>
      <c r="L91" s="34" t="s">
        <v>903</v>
      </c>
      <c r="M91" s="34"/>
      <c r="N91" s="34" t="s">
        <v>905</v>
      </c>
      <c r="O91" s="34" t="s">
        <v>297</v>
      </c>
      <c r="P91" s="34"/>
      <c r="Q91" s="34" t="s">
        <v>296</v>
      </c>
      <c r="R91" s="34" t="s">
        <v>906</v>
      </c>
      <c r="S91" s="34"/>
      <c r="T91" s="34" t="s">
        <v>907</v>
      </c>
      <c r="U91" s="34"/>
      <c r="V91" s="34" t="s">
        <v>949</v>
      </c>
      <c r="W91" s="34"/>
      <c r="X91" s="34" t="s">
        <v>909</v>
      </c>
      <c r="Y91" s="34" t="s">
        <v>47</v>
      </c>
      <c r="Z91" s="34">
        <v>2142</v>
      </c>
      <c r="AA91" s="34" t="s">
        <v>393</v>
      </c>
      <c r="AB91" s="34" t="s">
        <v>393</v>
      </c>
      <c r="AC91" s="34" t="s">
        <v>903</v>
      </c>
      <c r="AD91" s="34" t="s">
        <v>383</v>
      </c>
      <c r="AE91" s="34" t="s">
        <v>382</v>
      </c>
      <c r="AF91" s="34" t="s">
        <v>377</v>
      </c>
      <c r="AG91" s="34"/>
      <c r="AH91" s="34"/>
      <c r="AI91" s="34">
        <v>43674</v>
      </c>
      <c r="AJ91" s="34">
        <v>50</v>
      </c>
      <c r="AK91" s="34">
        <v>710</v>
      </c>
      <c r="AL91" s="34" t="s">
        <v>973</v>
      </c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 t="s">
        <v>363</v>
      </c>
      <c r="BG91" s="34"/>
      <c r="BH91" s="34"/>
      <c r="BI91" s="34"/>
      <c r="BJ91" s="34"/>
      <c r="BK91" s="34" t="s">
        <v>50</v>
      </c>
      <c r="BL91" s="34" t="s">
        <v>167</v>
      </c>
      <c r="BM91" s="34" t="s">
        <v>166</v>
      </c>
      <c r="BN91" s="34">
        <v>43894.304468530092</v>
      </c>
      <c r="BO91" s="34"/>
      <c r="BP91" s="34"/>
      <c r="BQ91" s="34"/>
      <c r="BR91" s="34" t="s">
        <v>165</v>
      </c>
      <c r="BS91" s="34">
        <v>4.02012020168638E+18</v>
      </c>
      <c r="BT91" s="34" t="s">
        <v>164</v>
      </c>
      <c r="BU91" s="34" t="s">
        <v>974</v>
      </c>
      <c r="BV91" s="34">
        <v>2020</v>
      </c>
      <c r="BW91" s="34" t="s">
        <v>163</v>
      </c>
      <c r="BX91" s="34"/>
      <c r="BY91" s="34">
        <v>4.0302202012151101E+18</v>
      </c>
      <c r="BZ91" s="34" t="s">
        <v>1102</v>
      </c>
      <c r="CA91" s="34" t="s">
        <v>161</v>
      </c>
    </row>
    <row r="92" spans="1:79" x14ac:dyDescent="0.25">
      <c r="A92" s="34" t="s">
        <v>374</v>
      </c>
      <c r="B92" s="34" t="s">
        <v>287</v>
      </c>
      <c r="C92" s="34">
        <v>2019</v>
      </c>
      <c r="D92" s="34" t="s">
        <v>422</v>
      </c>
      <c r="E92" s="34">
        <v>2.0200129917472301E+17</v>
      </c>
      <c r="F92" s="34" t="s">
        <v>182</v>
      </c>
      <c r="G92" s="34" t="s">
        <v>1110</v>
      </c>
      <c r="H92" s="34">
        <v>1378435</v>
      </c>
      <c r="I92" s="34"/>
      <c r="J92" s="34" t="s">
        <v>180</v>
      </c>
      <c r="K92" s="34" t="s">
        <v>179</v>
      </c>
      <c r="L92" s="34" t="s">
        <v>1025</v>
      </c>
      <c r="M92" s="34"/>
      <c r="N92" s="34" t="s">
        <v>905</v>
      </c>
      <c r="O92" s="34" t="s">
        <v>297</v>
      </c>
      <c r="P92" s="34"/>
      <c r="Q92" s="34" t="s">
        <v>296</v>
      </c>
      <c r="R92" s="34" t="s">
        <v>906</v>
      </c>
      <c r="S92" s="34"/>
      <c r="T92" s="34" t="s">
        <v>907</v>
      </c>
      <c r="U92" s="34"/>
      <c r="V92" s="34" t="s">
        <v>949</v>
      </c>
      <c r="W92" s="34"/>
      <c r="X92" s="34" t="s">
        <v>909</v>
      </c>
      <c r="Y92" s="34" t="s">
        <v>47</v>
      </c>
      <c r="Z92" s="34">
        <v>2142</v>
      </c>
      <c r="AA92" s="34" t="s">
        <v>393</v>
      </c>
      <c r="AB92" s="34" t="s">
        <v>393</v>
      </c>
      <c r="AC92" s="34" t="s">
        <v>1025</v>
      </c>
      <c r="AD92" s="34" t="s">
        <v>383</v>
      </c>
      <c r="AE92" s="34" t="s">
        <v>382</v>
      </c>
      <c r="AF92" s="34" t="s">
        <v>377</v>
      </c>
      <c r="AG92" s="34"/>
      <c r="AH92" s="34"/>
      <c r="AI92" s="34">
        <v>43812</v>
      </c>
      <c r="AJ92" s="34">
        <v>50</v>
      </c>
      <c r="AK92" s="34">
        <v>600</v>
      </c>
      <c r="AL92" s="34" t="s">
        <v>1098</v>
      </c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 t="s">
        <v>363</v>
      </c>
      <c r="BG92" s="34"/>
      <c r="BH92" s="34"/>
      <c r="BI92" s="34"/>
      <c r="BJ92" s="34"/>
      <c r="BK92" s="34" t="s">
        <v>50</v>
      </c>
      <c r="BL92" s="34" t="s">
        <v>167</v>
      </c>
      <c r="BM92" s="34" t="s">
        <v>166</v>
      </c>
      <c r="BN92" s="34">
        <v>43894.304472048614</v>
      </c>
      <c r="BO92" s="34"/>
      <c r="BP92" s="34"/>
      <c r="BQ92" s="34"/>
      <c r="BR92" s="34" t="s">
        <v>165</v>
      </c>
      <c r="BS92" s="34">
        <v>4.02012020168638E+18</v>
      </c>
      <c r="BT92" s="34" t="s">
        <v>164</v>
      </c>
      <c r="BU92" s="34" t="s">
        <v>1099</v>
      </c>
      <c r="BV92" s="34">
        <v>2020</v>
      </c>
      <c r="BW92" s="34" t="s">
        <v>163</v>
      </c>
      <c r="BX92" s="34"/>
      <c r="BY92" s="34">
        <v>4.0302202012151199E+18</v>
      </c>
      <c r="BZ92" s="34" t="s">
        <v>1111</v>
      </c>
      <c r="CA92" s="34" t="s">
        <v>161</v>
      </c>
    </row>
    <row r="93" spans="1:79" x14ac:dyDescent="0.25">
      <c r="A93" s="34" t="s">
        <v>374</v>
      </c>
      <c r="B93" s="34" t="s">
        <v>287</v>
      </c>
      <c r="C93" s="34">
        <v>2019</v>
      </c>
      <c r="D93" s="34" t="s">
        <v>422</v>
      </c>
      <c r="E93" s="34">
        <v>2.0200129917472301E+17</v>
      </c>
      <c r="F93" s="34" t="s">
        <v>182</v>
      </c>
      <c r="G93" s="34" t="s">
        <v>1112</v>
      </c>
      <c r="H93" s="34">
        <v>1378435</v>
      </c>
      <c r="I93" s="34"/>
      <c r="J93" s="34" t="s">
        <v>180</v>
      </c>
      <c r="K93" s="34" t="s">
        <v>179</v>
      </c>
      <c r="L93" s="34"/>
      <c r="M93" s="34"/>
      <c r="N93" s="34" t="s">
        <v>905</v>
      </c>
      <c r="O93" s="34" t="s">
        <v>297</v>
      </c>
      <c r="P93" s="34"/>
      <c r="Q93" s="34" t="s">
        <v>296</v>
      </c>
      <c r="R93" s="34" t="s">
        <v>906</v>
      </c>
      <c r="S93" s="34"/>
      <c r="T93" s="34" t="s">
        <v>907</v>
      </c>
      <c r="U93" s="34"/>
      <c r="V93" s="34" t="s">
        <v>949</v>
      </c>
      <c r="W93" s="34"/>
      <c r="X93" s="34" t="s">
        <v>909</v>
      </c>
      <c r="Y93" s="34" t="s">
        <v>47</v>
      </c>
      <c r="Z93" s="34">
        <v>2142</v>
      </c>
      <c r="AA93" s="34" t="s">
        <v>393</v>
      </c>
      <c r="AB93" s="34" t="s">
        <v>393</v>
      </c>
      <c r="AC93" s="34"/>
      <c r="AD93" s="34">
        <v>15</v>
      </c>
      <c r="AE93" s="34" t="s">
        <v>169</v>
      </c>
      <c r="AF93" s="34" t="s">
        <v>364</v>
      </c>
      <c r="AG93" s="34"/>
      <c r="AH93" s="34"/>
      <c r="AI93" s="34">
        <v>43676</v>
      </c>
      <c r="AJ93" s="34">
        <v>5</v>
      </c>
      <c r="AK93" s="34">
        <v>367.62</v>
      </c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 t="s">
        <v>363</v>
      </c>
      <c r="BG93" s="34"/>
      <c r="BH93" s="34"/>
      <c r="BI93" s="34"/>
      <c r="BJ93" s="34"/>
      <c r="BK93" s="34" t="s">
        <v>50</v>
      </c>
      <c r="BL93" s="34" t="s">
        <v>167</v>
      </c>
      <c r="BM93" s="34" t="s">
        <v>166</v>
      </c>
      <c r="BN93" s="34">
        <v>43894.304651874998</v>
      </c>
      <c r="BO93" s="34"/>
      <c r="BP93" s="34"/>
      <c r="BQ93" s="34"/>
      <c r="BR93" s="34" t="s">
        <v>165</v>
      </c>
      <c r="BS93" s="34">
        <v>4.02012020168638E+18</v>
      </c>
      <c r="BT93" s="34" t="s">
        <v>164</v>
      </c>
      <c r="BU93" s="34" t="s">
        <v>362</v>
      </c>
      <c r="BV93" s="34">
        <v>2020</v>
      </c>
      <c r="BW93" s="34" t="s">
        <v>163</v>
      </c>
      <c r="BX93" s="34"/>
      <c r="BY93" s="34">
        <v>4.0302202012150902E+18</v>
      </c>
      <c r="BZ93" s="34" t="s">
        <v>1113</v>
      </c>
      <c r="CA93" s="34" t="s">
        <v>161</v>
      </c>
    </row>
    <row r="94" spans="1:79" x14ac:dyDescent="0.25">
      <c r="A94" s="34" t="s">
        <v>374</v>
      </c>
      <c r="B94" s="34" t="s">
        <v>287</v>
      </c>
      <c r="C94" s="34">
        <v>2019</v>
      </c>
      <c r="D94" s="34" t="s">
        <v>422</v>
      </c>
      <c r="E94" s="34">
        <v>2.0200129917472301E+17</v>
      </c>
      <c r="F94" s="34" t="s">
        <v>182</v>
      </c>
      <c r="G94" s="34" t="s">
        <v>1114</v>
      </c>
      <c r="H94" s="34">
        <v>1378435</v>
      </c>
      <c r="I94" s="34"/>
      <c r="J94" s="34" t="s">
        <v>180</v>
      </c>
      <c r="K94" s="34" t="s">
        <v>179</v>
      </c>
      <c r="L94" s="34"/>
      <c r="M94" s="34"/>
      <c r="N94" s="34" t="s">
        <v>905</v>
      </c>
      <c r="O94" s="34" t="s">
        <v>297</v>
      </c>
      <c r="P94" s="34"/>
      <c r="Q94" s="34" t="s">
        <v>296</v>
      </c>
      <c r="R94" s="34" t="s">
        <v>906</v>
      </c>
      <c r="S94" s="34"/>
      <c r="T94" s="34" t="s">
        <v>907</v>
      </c>
      <c r="U94" s="34"/>
      <c r="V94" s="34" t="s">
        <v>949</v>
      </c>
      <c r="W94" s="34"/>
      <c r="X94" s="34" t="s">
        <v>909</v>
      </c>
      <c r="Y94" s="34" t="s">
        <v>47</v>
      </c>
      <c r="Z94" s="34">
        <v>2142</v>
      </c>
      <c r="AA94" s="34" t="s">
        <v>393</v>
      </c>
      <c r="AB94" s="34" t="s">
        <v>393</v>
      </c>
      <c r="AC94" s="34"/>
      <c r="AD94" s="34"/>
      <c r="AE94" s="34"/>
      <c r="AF94" s="34" t="s">
        <v>377</v>
      </c>
      <c r="AG94" s="34"/>
      <c r="AH94" s="34"/>
      <c r="AI94" s="34">
        <v>43760</v>
      </c>
      <c r="AJ94" s="34">
        <v>27</v>
      </c>
      <c r="AK94" s="34">
        <v>142</v>
      </c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 t="s">
        <v>363</v>
      </c>
      <c r="BG94" s="34"/>
      <c r="BH94" s="34"/>
      <c r="BI94" s="34"/>
      <c r="BJ94" s="34"/>
      <c r="BK94" s="34" t="s">
        <v>50</v>
      </c>
      <c r="BL94" s="34" t="s">
        <v>167</v>
      </c>
      <c r="BM94" s="34" t="s">
        <v>166</v>
      </c>
      <c r="BN94" s="34">
        <v>43894.308632627311</v>
      </c>
      <c r="BO94" s="34"/>
      <c r="BP94" s="34"/>
      <c r="BQ94" s="34"/>
      <c r="BR94" s="34" t="s">
        <v>165</v>
      </c>
      <c r="BS94" s="34">
        <v>4.02012020168638E+18</v>
      </c>
      <c r="BT94" s="34" t="s">
        <v>164</v>
      </c>
      <c r="BU94" s="34" t="s">
        <v>1115</v>
      </c>
      <c r="BV94" s="34">
        <v>2020</v>
      </c>
      <c r="BW94" s="34" t="s">
        <v>163</v>
      </c>
      <c r="BX94" s="34"/>
      <c r="BY94" s="34">
        <v>4.0302202012225802E+18</v>
      </c>
      <c r="BZ94" s="34" t="s">
        <v>1116</v>
      </c>
      <c r="CA94" s="34" t="s">
        <v>161</v>
      </c>
    </row>
    <row r="95" spans="1:79" x14ac:dyDescent="0.25">
      <c r="A95" s="34" t="s">
        <v>374</v>
      </c>
      <c r="B95" s="34" t="s">
        <v>287</v>
      </c>
      <c r="C95" s="34">
        <v>2019</v>
      </c>
      <c r="D95" s="34" t="s">
        <v>422</v>
      </c>
      <c r="E95" s="34">
        <v>2.0200129917472301E+17</v>
      </c>
      <c r="F95" s="34" t="s">
        <v>182</v>
      </c>
      <c r="G95" s="34" t="s">
        <v>1117</v>
      </c>
      <c r="H95" s="34">
        <v>1378435</v>
      </c>
      <c r="I95" s="34"/>
      <c r="J95" s="34" t="s">
        <v>180</v>
      </c>
      <c r="K95" s="34" t="s">
        <v>179</v>
      </c>
      <c r="L95" s="34" t="s">
        <v>1118</v>
      </c>
      <c r="M95" s="34"/>
      <c r="N95" s="34" t="s">
        <v>905</v>
      </c>
      <c r="O95" s="34" t="s">
        <v>297</v>
      </c>
      <c r="P95" s="34"/>
      <c r="Q95" s="34" t="s">
        <v>296</v>
      </c>
      <c r="R95" s="34" t="s">
        <v>906</v>
      </c>
      <c r="S95" s="34"/>
      <c r="T95" s="34" t="s">
        <v>907</v>
      </c>
      <c r="U95" s="34"/>
      <c r="V95" s="34" t="s">
        <v>949</v>
      </c>
      <c r="W95" s="34"/>
      <c r="X95" s="34" t="s">
        <v>909</v>
      </c>
      <c r="Y95" s="34" t="s">
        <v>47</v>
      </c>
      <c r="Z95" s="34">
        <v>2142</v>
      </c>
      <c r="AA95" s="34" t="s">
        <v>393</v>
      </c>
      <c r="AB95" s="34" t="s">
        <v>393</v>
      </c>
      <c r="AC95" s="34" t="s">
        <v>1118</v>
      </c>
      <c r="AD95" s="34" t="s">
        <v>383</v>
      </c>
      <c r="AE95" s="34" t="s">
        <v>382</v>
      </c>
      <c r="AF95" s="34" t="s">
        <v>377</v>
      </c>
      <c r="AG95" s="34"/>
      <c r="AH95" s="34"/>
      <c r="AI95" s="34">
        <v>43826</v>
      </c>
      <c r="AJ95" s="34">
        <v>50</v>
      </c>
      <c r="AK95" s="34">
        <v>350</v>
      </c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 t="s">
        <v>363</v>
      </c>
      <c r="BG95" s="34"/>
      <c r="BH95" s="34"/>
      <c r="BI95" s="34"/>
      <c r="BJ95" s="34"/>
      <c r="BK95" s="34" t="s">
        <v>50</v>
      </c>
      <c r="BL95" s="34" t="s">
        <v>167</v>
      </c>
      <c r="BM95" s="34" t="s">
        <v>166</v>
      </c>
      <c r="BN95" s="34">
        <v>43894.310545289351</v>
      </c>
      <c r="BO95" s="34"/>
      <c r="BP95" s="34"/>
      <c r="BQ95" s="34"/>
      <c r="BR95" s="34" t="s">
        <v>165</v>
      </c>
      <c r="BS95" s="34">
        <v>4.02012020168638E+18</v>
      </c>
      <c r="BT95" s="34" t="s">
        <v>164</v>
      </c>
      <c r="BU95" s="34" t="s">
        <v>1119</v>
      </c>
      <c r="BV95" s="34">
        <v>2020</v>
      </c>
      <c r="BW95" s="34" t="s">
        <v>163</v>
      </c>
      <c r="BX95" s="34"/>
      <c r="BY95" s="34">
        <v>4.0302202012267602E+18</v>
      </c>
      <c r="BZ95" s="34" t="s">
        <v>1120</v>
      </c>
      <c r="CA95" s="34" t="s">
        <v>161</v>
      </c>
    </row>
    <row r="96" spans="1:79" x14ac:dyDescent="0.25">
      <c r="A96" s="34" t="s">
        <v>374</v>
      </c>
      <c r="B96" s="34" t="s">
        <v>287</v>
      </c>
      <c r="C96" s="34">
        <v>2019</v>
      </c>
      <c r="D96" s="34" t="s">
        <v>422</v>
      </c>
      <c r="E96" s="34">
        <v>2.0200129917472301E+17</v>
      </c>
      <c r="F96" s="34" t="s">
        <v>182</v>
      </c>
      <c r="G96" s="34" t="s">
        <v>1121</v>
      </c>
      <c r="H96" s="34">
        <v>1378435</v>
      </c>
      <c r="I96" s="34"/>
      <c r="J96" s="34" t="s">
        <v>180</v>
      </c>
      <c r="K96" s="34" t="s">
        <v>179</v>
      </c>
      <c r="L96" s="34"/>
      <c r="M96" s="34"/>
      <c r="N96" s="34" t="s">
        <v>905</v>
      </c>
      <c r="O96" s="34" t="s">
        <v>297</v>
      </c>
      <c r="P96" s="34"/>
      <c r="Q96" s="34" t="s">
        <v>296</v>
      </c>
      <c r="R96" s="34" t="s">
        <v>906</v>
      </c>
      <c r="S96" s="34"/>
      <c r="T96" s="34" t="s">
        <v>907</v>
      </c>
      <c r="U96" s="34"/>
      <c r="V96" s="34" t="s">
        <v>949</v>
      </c>
      <c r="W96" s="34"/>
      <c r="X96" s="34" t="s">
        <v>909</v>
      </c>
      <c r="Y96" s="34" t="s">
        <v>47</v>
      </c>
      <c r="Z96" s="34">
        <v>2142</v>
      </c>
      <c r="AA96" s="34" t="s">
        <v>393</v>
      </c>
      <c r="AB96" s="34" t="s">
        <v>393</v>
      </c>
      <c r="AC96" s="34"/>
      <c r="AD96" s="34">
        <v>15</v>
      </c>
      <c r="AE96" s="34" t="s">
        <v>169</v>
      </c>
      <c r="AF96" s="34" t="s">
        <v>364</v>
      </c>
      <c r="AG96" s="34"/>
      <c r="AH96" s="34"/>
      <c r="AI96" s="34">
        <v>43695</v>
      </c>
      <c r="AJ96" s="34">
        <v>5</v>
      </c>
      <c r="AK96" s="34">
        <v>367.62</v>
      </c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 t="s">
        <v>363</v>
      </c>
      <c r="BG96" s="34"/>
      <c r="BH96" s="34"/>
      <c r="BI96" s="34"/>
      <c r="BJ96" s="34"/>
      <c r="BK96" s="34" t="s">
        <v>50</v>
      </c>
      <c r="BL96" s="34" t="s">
        <v>167</v>
      </c>
      <c r="BM96" s="34" t="s">
        <v>166</v>
      </c>
      <c r="BN96" s="34">
        <v>43894.308819513892</v>
      </c>
      <c r="BO96" s="34"/>
      <c r="BP96" s="34"/>
      <c r="BQ96" s="34"/>
      <c r="BR96" s="34" t="s">
        <v>165</v>
      </c>
      <c r="BS96" s="34">
        <v>4.02012020168638E+18</v>
      </c>
      <c r="BT96" s="34" t="s">
        <v>164</v>
      </c>
      <c r="BU96" s="34" t="s">
        <v>362</v>
      </c>
      <c r="BV96" s="34">
        <v>2020</v>
      </c>
      <c r="BW96" s="34" t="s">
        <v>163</v>
      </c>
      <c r="BX96" s="34"/>
      <c r="BY96" s="34">
        <v>4.0302202012215199E+18</v>
      </c>
      <c r="BZ96" s="34" t="s">
        <v>1122</v>
      </c>
      <c r="CA96" s="34" t="s">
        <v>161</v>
      </c>
    </row>
    <row r="97" spans="1:79" x14ac:dyDescent="0.25">
      <c r="A97" s="34" t="s">
        <v>374</v>
      </c>
      <c r="B97" s="34" t="s">
        <v>287</v>
      </c>
      <c r="C97" s="34">
        <v>2019</v>
      </c>
      <c r="D97" s="34" t="s">
        <v>422</v>
      </c>
      <c r="E97" s="34">
        <v>2.0200129917472301E+17</v>
      </c>
      <c r="F97" s="34" t="s">
        <v>182</v>
      </c>
      <c r="G97" s="34" t="s">
        <v>1123</v>
      </c>
      <c r="H97" s="34">
        <v>1378435</v>
      </c>
      <c r="I97" s="34"/>
      <c r="J97" s="34" t="s">
        <v>180</v>
      </c>
      <c r="K97" s="34" t="s">
        <v>179</v>
      </c>
      <c r="L97" s="34"/>
      <c r="M97" s="34"/>
      <c r="N97" s="34" t="s">
        <v>905</v>
      </c>
      <c r="O97" s="34" t="s">
        <v>297</v>
      </c>
      <c r="P97" s="34"/>
      <c r="Q97" s="34" t="s">
        <v>296</v>
      </c>
      <c r="R97" s="34" t="s">
        <v>906</v>
      </c>
      <c r="S97" s="34"/>
      <c r="T97" s="34" t="s">
        <v>907</v>
      </c>
      <c r="U97" s="34"/>
      <c r="V97" s="34" t="s">
        <v>949</v>
      </c>
      <c r="W97" s="34"/>
      <c r="X97" s="34" t="s">
        <v>909</v>
      </c>
      <c r="Y97" s="34" t="s">
        <v>47</v>
      </c>
      <c r="Z97" s="34">
        <v>2142</v>
      </c>
      <c r="AA97" s="34" t="s">
        <v>393</v>
      </c>
      <c r="AB97" s="34" t="s">
        <v>393</v>
      </c>
      <c r="AC97" s="34"/>
      <c r="AD97" s="34">
        <v>15</v>
      </c>
      <c r="AE97" s="34" t="s">
        <v>169</v>
      </c>
      <c r="AF97" s="34" t="s">
        <v>364</v>
      </c>
      <c r="AG97" s="34"/>
      <c r="AH97" s="34"/>
      <c r="AI97" s="34">
        <v>43737</v>
      </c>
      <c r="AJ97" s="34">
        <v>2</v>
      </c>
      <c r="AK97" s="34">
        <v>367.62</v>
      </c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 t="s">
        <v>363</v>
      </c>
      <c r="BG97" s="34"/>
      <c r="BH97" s="34"/>
      <c r="BI97" s="34"/>
      <c r="BJ97" s="34"/>
      <c r="BK97" s="34" t="s">
        <v>50</v>
      </c>
      <c r="BL97" s="34" t="s">
        <v>167</v>
      </c>
      <c r="BM97" s="34" t="s">
        <v>166</v>
      </c>
      <c r="BN97" s="34">
        <v>43894.310217488426</v>
      </c>
      <c r="BO97" s="34"/>
      <c r="BP97" s="34"/>
      <c r="BQ97" s="34"/>
      <c r="BR97" s="34" t="s">
        <v>165</v>
      </c>
      <c r="BS97" s="34">
        <v>4.02012020168638E+18</v>
      </c>
      <c r="BT97" s="34" t="s">
        <v>164</v>
      </c>
      <c r="BU97" s="34" t="s">
        <v>362</v>
      </c>
      <c r="BV97" s="34">
        <v>2020</v>
      </c>
      <c r="BW97" s="34" t="s">
        <v>163</v>
      </c>
      <c r="BX97" s="34"/>
      <c r="BY97" s="34">
        <v>4.03022020122528E+18</v>
      </c>
      <c r="BZ97" s="34" t="s">
        <v>1124</v>
      </c>
      <c r="CA97" s="34" t="s">
        <v>161</v>
      </c>
    </row>
    <row r="98" spans="1:79" x14ac:dyDescent="0.25">
      <c r="A98" s="34" t="s">
        <v>374</v>
      </c>
      <c r="B98" s="34" t="s">
        <v>287</v>
      </c>
      <c r="C98" s="34">
        <v>2019</v>
      </c>
      <c r="D98" s="34" t="s">
        <v>422</v>
      </c>
      <c r="E98" s="34">
        <v>2.0200129917472301E+17</v>
      </c>
      <c r="F98" s="34" t="s">
        <v>182</v>
      </c>
      <c r="G98" s="34" t="s">
        <v>1125</v>
      </c>
      <c r="H98" s="34">
        <v>1378435</v>
      </c>
      <c r="I98" s="34"/>
      <c r="J98" s="34" t="s">
        <v>180</v>
      </c>
      <c r="K98" s="34" t="s">
        <v>179</v>
      </c>
      <c r="L98" s="34" t="s">
        <v>1061</v>
      </c>
      <c r="M98" s="34"/>
      <c r="N98" s="34" t="s">
        <v>905</v>
      </c>
      <c r="O98" s="34" t="s">
        <v>297</v>
      </c>
      <c r="P98" s="34"/>
      <c r="Q98" s="34" t="s">
        <v>296</v>
      </c>
      <c r="R98" s="34" t="s">
        <v>906</v>
      </c>
      <c r="S98" s="34"/>
      <c r="T98" s="34" t="s">
        <v>907</v>
      </c>
      <c r="U98" s="34"/>
      <c r="V98" s="34" t="s">
        <v>949</v>
      </c>
      <c r="W98" s="34"/>
      <c r="X98" s="34" t="s">
        <v>909</v>
      </c>
      <c r="Y98" s="34" t="s">
        <v>47</v>
      </c>
      <c r="Z98" s="34">
        <v>2142</v>
      </c>
      <c r="AA98" s="34" t="s">
        <v>393</v>
      </c>
      <c r="AB98" s="34" t="s">
        <v>393</v>
      </c>
      <c r="AC98" s="34" t="s">
        <v>1061</v>
      </c>
      <c r="AD98" s="34" t="s">
        <v>383</v>
      </c>
      <c r="AE98" s="34" t="s">
        <v>382</v>
      </c>
      <c r="AF98" s="34" t="s">
        <v>377</v>
      </c>
      <c r="AG98" s="34"/>
      <c r="AH98" s="34"/>
      <c r="AI98" s="34">
        <v>43662</v>
      </c>
      <c r="AJ98" s="34">
        <v>25</v>
      </c>
      <c r="AK98" s="34">
        <v>489</v>
      </c>
      <c r="AL98" s="34" t="s">
        <v>1095</v>
      </c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 t="s">
        <v>363</v>
      </c>
      <c r="BG98" s="34"/>
      <c r="BH98" s="34"/>
      <c r="BI98" s="34"/>
      <c r="BJ98" s="34"/>
      <c r="BK98" s="34" t="s">
        <v>50</v>
      </c>
      <c r="BL98" s="34" t="s">
        <v>167</v>
      </c>
      <c r="BM98" s="34" t="s">
        <v>166</v>
      </c>
      <c r="BN98" s="34">
        <v>43894.314189722223</v>
      </c>
      <c r="BO98" s="34"/>
      <c r="BP98" s="34"/>
      <c r="BQ98" s="34"/>
      <c r="BR98" s="34" t="s">
        <v>165</v>
      </c>
      <c r="BS98" s="34">
        <v>4.02012020168638E+18</v>
      </c>
      <c r="BT98" s="34" t="s">
        <v>164</v>
      </c>
      <c r="BU98" s="34" t="s">
        <v>957</v>
      </c>
      <c r="BV98" s="34">
        <v>2020</v>
      </c>
      <c r="BW98" s="34" t="s">
        <v>163</v>
      </c>
      <c r="BX98" s="34"/>
      <c r="BY98" s="34">
        <v>4.0302202012333302E+18</v>
      </c>
      <c r="BZ98" s="34" t="s">
        <v>1126</v>
      </c>
      <c r="CA98" s="34" t="s">
        <v>161</v>
      </c>
    </row>
    <row r="99" spans="1:79" x14ac:dyDescent="0.25">
      <c r="A99" s="34" t="s">
        <v>374</v>
      </c>
      <c r="B99" s="34" t="s">
        <v>287</v>
      </c>
      <c r="C99" s="34">
        <v>2019</v>
      </c>
      <c r="D99" s="34" t="s">
        <v>422</v>
      </c>
      <c r="E99" s="34">
        <v>2.0200129917472301E+17</v>
      </c>
      <c r="F99" s="34" t="s">
        <v>182</v>
      </c>
      <c r="G99" s="34" t="s">
        <v>1127</v>
      </c>
      <c r="H99" s="34">
        <v>1378435</v>
      </c>
      <c r="I99" s="34"/>
      <c r="J99" s="34" t="s">
        <v>180</v>
      </c>
      <c r="K99" s="34" t="s">
        <v>179</v>
      </c>
      <c r="L99" s="34"/>
      <c r="M99" s="34"/>
      <c r="N99" s="34" t="s">
        <v>905</v>
      </c>
      <c r="O99" s="34" t="s">
        <v>297</v>
      </c>
      <c r="P99" s="34"/>
      <c r="Q99" s="34" t="s">
        <v>296</v>
      </c>
      <c r="R99" s="34" t="s">
        <v>906</v>
      </c>
      <c r="S99" s="34"/>
      <c r="T99" s="34" t="s">
        <v>907</v>
      </c>
      <c r="U99" s="34"/>
      <c r="V99" s="34" t="s">
        <v>949</v>
      </c>
      <c r="W99" s="34"/>
      <c r="X99" s="34" t="s">
        <v>909</v>
      </c>
      <c r="Y99" s="34" t="s">
        <v>47</v>
      </c>
      <c r="Z99" s="34">
        <v>2142</v>
      </c>
      <c r="AA99" s="34" t="s">
        <v>393</v>
      </c>
      <c r="AB99" s="34" t="s">
        <v>393</v>
      </c>
      <c r="AC99" s="34"/>
      <c r="AD99" s="34">
        <v>15</v>
      </c>
      <c r="AE99" s="34" t="s">
        <v>169</v>
      </c>
      <c r="AF99" s="34" t="s">
        <v>364</v>
      </c>
      <c r="AG99" s="34"/>
      <c r="AH99" s="34"/>
      <c r="AI99" s="34">
        <v>43707</v>
      </c>
      <c r="AJ99" s="34">
        <v>1</v>
      </c>
      <c r="AK99" s="34">
        <v>367.62</v>
      </c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 t="s">
        <v>363</v>
      </c>
      <c r="BG99" s="34"/>
      <c r="BH99" s="34"/>
      <c r="BI99" s="34"/>
      <c r="BJ99" s="34"/>
      <c r="BK99" s="34" t="s">
        <v>50</v>
      </c>
      <c r="BL99" s="34" t="s">
        <v>167</v>
      </c>
      <c r="BM99" s="34" t="s">
        <v>166</v>
      </c>
      <c r="BN99" s="34">
        <v>43894.313336388892</v>
      </c>
      <c r="BO99" s="34"/>
      <c r="BP99" s="34"/>
      <c r="BQ99" s="34"/>
      <c r="BR99" s="34" t="s">
        <v>165</v>
      </c>
      <c r="BS99" s="34">
        <v>4.02012020168638E+18</v>
      </c>
      <c r="BT99" s="34" t="s">
        <v>164</v>
      </c>
      <c r="BU99" s="34" t="s">
        <v>362</v>
      </c>
      <c r="BV99" s="34">
        <v>2020</v>
      </c>
      <c r="BW99" s="34" t="s">
        <v>163</v>
      </c>
      <c r="BX99" s="34"/>
      <c r="BY99" s="34">
        <v>4.0302202012278799E+18</v>
      </c>
      <c r="BZ99" s="34" t="s">
        <v>1128</v>
      </c>
      <c r="CA99" s="34" t="s">
        <v>161</v>
      </c>
    </row>
    <row r="100" spans="1:79" x14ac:dyDescent="0.25">
      <c r="A100" s="34" t="s">
        <v>374</v>
      </c>
      <c r="B100" s="34" t="s">
        <v>287</v>
      </c>
      <c r="C100" s="34">
        <v>2019</v>
      </c>
      <c r="D100" s="34" t="s">
        <v>422</v>
      </c>
      <c r="E100" s="34">
        <v>2.0200129917472301E+17</v>
      </c>
      <c r="F100" s="34" t="s">
        <v>182</v>
      </c>
      <c r="G100" s="34" t="s">
        <v>1129</v>
      </c>
      <c r="H100" s="34">
        <v>1378435</v>
      </c>
      <c r="I100" s="34"/>
      <c r="J100" s="34" t="s">
        <v>180</v>
      </c>
      <c r="K100" s="34" t="s">
        <v>179</v>
      </c>
      <c r="L100" s="34"/>
      <c r="M100" s="34"/>
      <c r="N100" s="34" t="s">
        <v>905</v>
      </c>
      <c r="O100" s="34" t="s">
        <v>297</v>
      </c>
      <c r="P100" s="34"/>
      <c r="Q100" s="34" t="s">
        <v>296</v>
      </c>
      <c r="R100" s="34" t="s">
        <v>906</v>
      </c>
      <c r="S100" s="34"/>
      <c r="T100" s="34" t="s">
        <v>907</v>
      </c>
      <c r="U100" s="34"/>
      <c r="V100" s="34" t="s">
        <v>949</v>
      </c>
      <c r="W100" s="34"/>
      <c r="X100" s="34" t="s">
        <v>909</v>
      </c>
      <c r="Y100" s="34" t="s">
        <v>47</v>
      </c>
      <c r="Z100" s="34">
        <v>2142</v>
      </c>
      <c r="AA100" s="34" t="s">
        <v>393</v>
      </c>
      <c r="AB100" s="34" t="s">
        <v>393</v>
      </c>
      <c r="AC100" s="34"/>
      <c r="AD100" s="34">
        <v>15</v>
      </c>
      <c r="AE100" s="34" t="s">
        <v>169</v>
      </c>
      <c r="AF100" s="34" t="s">
        <v>364</v>
      </c>
      <c r="AG100" s="34"/>
      <c r="AH100" s="34"/>
      <c r="AI100" s="34">
        <v>43753</v>
      </c>
      <c r="AJ100" s="34">
        <v>1</v>
      </c>
      <c r="AK100" s="34">
        <v>367.62</v>
      </c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 t="s">
        <v>363</v>
      </c>
      <c r="BG100" s="34"/>
      <c r="BH100" s="34"/>
      <c r="BI100" s="34"/>
      <c r="BJ100" s="34"/>
      <c r="BK100" s="34" t="s">
        <v>50</v>
      </c>
      <c r="BL100" s="34" t="s">
        <v>167</v>
      </c>
      <c r="BM100" s="34" t="s">
        <v>166</v>
      </c>
      <c r="BN100" s="34">
        <v>43894.316814583333</v>
      </c>
      <c r="BO100" s="34"/>
      <c r="BP100" s="34"/>
      <c r="BQ100" s="34"/>
      <c r="BR100" s="34" t="s">
        <v>165</v>
      </c>
      <c r="BS100" s="34">
        <v>4.02012020168638E+18</v>
      </c>
      <c r="BT100" s="34" t="s">
        <v>164</v>
      </c>
      <c r="BU100" s="34" t="s">
        <v>362</v>
      </c>
      <c r="BV100" s="34">
        <v>2020</v>
      </c>
      <c r="BW100" s="34" t="s">
        <v>163</v>
      </c>
      <c r="BX100" s="34"/>
      <c r="BY100" s="34">
        <v>4.0302202012378998E+18</v>
      </c>
      <c r="BZ100" s="34" t="s">
        <v>1130</v>
      </c>
      <c r="CA100" s="34" t="s">
        <v>161</v>
      </c>
    </row>
    <row r="101" spans="1:79" x14ac:dyDescent="0.25">
      <c r="A101" s="34" t="s">
        <v>374</v>
      </c>
      <c r="B101" s="34" t="s">
        <v>287</v>
      </c>
      <c r="C101" s="34">
        <v>2019</v>
      </c>
      <c r="D101" s="34" t="s">
        <v>422</v>
      </c>
      <c r="E101" s="34">
        <v>2.0200129917472301E+17</v>
      </c>
      <c r="F101" s="34" t="s">
        <v>182</v>
      </c>
      <c r="G101" s="34" t="s">
        <v>1131</v>
      </c>
      <c r="H101" s="34">
        <v>1378435</v>
      </c>
      <c r="I101" s="34"/>
      <c r="J101" s="34" t="s">
        <v>180</v>
      </c>
      <c r="K101" s="34" t="s">
        <v>179</v>
      </c>
      <c r="L101" s="34" t="s">
        <v>1061</v>
      </c>
      <c r="M101" s="34"/>
      <c r="N101" s="34" t="s">
        <v>905</v>
      </c>
      <c r="O101" s="34" t="s">
        <v>297</v>
      </c>
      <c r="P101" s="34"/>
      <c r="Q101" s="34" t="s">
        <v>296</v>
      </c>
      <c r="R101" s="34" t="s">
        <v>906</v>
      </c>
      <c r="S101" s="34"/>
      <c r="T101" s="34" t="s">
        <v>907</v>
      </c>
      <c r="U101" s="34"/>
      <c r="V101" s="34" t="s">
        <v>949</v>
      </c>
      <c r="W101" s="34"/>
      <c r="X101" s="34" t="s">
        <v>909</v>
      </c>
      <c r="Y101" s="34" t="s">
        <v>47</v>
      </c>
      <c r="Z101" s="34">
        <v>2142</v>
      </c>
      <c r="AA101" s="34" t="s">
        <v>393</v>
      </c>
      <c r="AB101" s="34" t="s">
        <v>393</v>
      </c>
      <c r="AC101" s="34" t="s">
        <v>1061</v>
      </c>
      <c r="AD101" s="34" t="s">
        <v>383</v>
      </c>
      <c r="AE101" s="34" t="s">
        <v>382</v>
      </c>
      <c r="AF101" s="34" t="s">
        <v>377</v>
      </c>
      <c r="AG101" s="34"/>
      <c r="AH101" s="34"/>
      <c r="AI101" s="34">
        <v>43667</v>
      </c>
      <c r="AJ101" s="34">
        <v>100</v>
      </c>
      <c r="AK101" s="34">
        <v>489</v>
      </c>
      <c r="AL101" s="34" t="s">
        <v>1095</v>
      </c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 t="s">
        <v>363</v>
      </c>
      <c r="BG101" s="34"/>
      <c r="BH101" s="34"/>
      <c r="BI101" s="34"/>
      <c r="BJ101" s="34"/>
      <c r="BK101" s="34" t="s">
        <v>50</v>
      </c>
      <c r="BL101" s="34" t="s">
        <v>167</v>
      </c>
      <c r="BM101" s="34" t="s">
        <v>166</v>
      </c>
      <c r="BN101" s="34">
        <v>43894.336503877312</v>
      </c>
      <c r="BO101" s="34"/>
      <c r="BP101" s="34"/>
      <c r="BQ101" s="34"/>
      <c r="BR101" s="34" t="s">
        <v>165</v>
      </c>
      <c r="BS101" s="34">
        <v>4.02012020168638E+18</v>
      </c>
      <c r="BT101" s="34" t="s">
        <v>164</v>
      </c>
      <c r="BU101" s="34" t="s">
        <v>957</v>
      </c>
      <c r="BV101" s="34">
        <v>2020</v>
      </c>
      <c r="BW101" s="34" t="s">
        <v>163</v>
      </c>
      <c r="BX101" s="34"/>
      <c r="BY101" s="34">
        <v>4.0302202012151199E+18</v>
      </c>
      <c r="BZ101" s="34" t="s">
        <v>1132</v>
      </c>
      <c r="CA101" s="34" t="s">
        <v>161</v>
      </c>
    </row>
    <row r="102" spans="1:79" x14ac:dyDescent="0.25">
      <c r="A102" s="34" t="s">
        <v>374</v>
      </c>
      <c r="B102" s="34" t="s">
        <v>287</v>
      </c>
      <c r="C102" s="34">
        <v>2019</v>
      </c>
      <c r="D102" s="34" t="s">
        <v>422</v>
      </c>
      <c r="E102" s="34">
        <v>2.0200129917472301E+17</v>
      </c>
      <c r="F102" s="34" t="s">
        <v>182</v>
      </c>
      <c r="G102" s="34" t="s">
        <v>1133</v>
      </c>
      <c r="H102" s="34">
        <v>1378435</v>
      </c>
      <c r="I102" s="34"/>
      <c r="J102" s="34" t="s">
        <v>180</v>
      </c>
      <c r="K102" s="34" t="s">
        <v>179</v>
      </c>
      <c r="L102" s="34" t="s">
        <v>1025</v>
      </c>
      <c r="M102" s="34"/>
      <c r="N102" s="34" t="s">
        <v>905</v>
      </c>
      <c r="O102" s="34" t="s">
        <v>297</v>
      </c>
      <c r="P102" s="34"/>
      <c r="Q102" s="34" t="s">
        <v>296</v>
      </c>
      <c r="R102" s="34" t="s">
        <v>906</v>
      </c>
      <c r="S102" s="34"/>
      <c r="T102" s="34" t="s">
        <v>907</v>
      </c>
      <c r="U102" s="34"/>
      <c r="V102" s="34" t="s">
        <v>949</v>
      </c>
      <c r="W102" s="34"/>
      <c r="X102" s="34" t="s">
        <v>909</v>
      </c>
      <c r="Y102" s="34" t="s">
        <v>47</v>
      </c>
      <c r="Z102" s="34">
        <v>2142</v>
      </c>
      <c r="AA102" s="34" t="s">
        <v>393</v>
      </c>
      <c r="AB102" s="34" t="s">
        <v>393</v>
      </c>
      <c r="AC102" s="34" t="s">
        <v>1025</v>
      </c>
      <c r="AD102" s="34" t="s">
        <v>383</v>
      </c>
      <c r="AE102" s="34" t="s">
        <v>382</v>
      </c>
      <c r="AF102" s="34" t="s">
        <v>377</v>
      </c>
      <c r="AG102" s="34"/>
      <c r="AH102" s="34"/>
      <c r="AI102" s="34">
        <v>43770</v>
      </c>
      <c r="AJ102" s="34">
        <v>50</v>
      </c>
      <c r="AK102" s="34">
        <v>600</v>
      </c>
      <c r="AL102" s="34" t="s">
        <v>1098</v>
      </c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 t="s">
        <v>363</v>
      </c>
      <c r="BG102" s="34"/>
      <c r="BH102" s="34"/>
      <c r="BI102" s="34"/>
      <c r="BJ102" s="34"/>
      <c r="BK102" s="34" t="s">
        <v>50</v>
      </c>
      <c r="BL102" s="34" t="s">
        <v>167</v>
      </c>
      <c r="BM102" s="34" t="s">
        <v>166</v>
      </c>
      <c r="BN102" s="34">
        <v>43894.337872627315</v>
      </c>
      <c r="BO102" s="34"/>
      <c r="BP102" s="34"/>
      <c r="BQ102" s="34"/>
      <c r="BR102" s="34" t="s">
        <v>165</v>
      </c>
      <c r="BS102" s="34">
        <v>4.02012020168638E+18</v>
      </c>
      <c r="BT102" s="34" t="s">
        <v>164</v>
      </c>
      <c r="BU102" s="34" t="s">
        <v>1099</v>
      </c>
      <c r="BV102" s="34">
        <v>2020</v>
      </c>
      <c r="BW102" s="34" t="s">
        <v>163</v>
      </c>
      <c r="BX102" s="34"/>
      <c r="BY102" s="34">
        <v>4.03022020121967E+18</v>
      </c>
      <c r="BZ102" s="34" t="s">
        <v>1134</v>
      </c>
      <c r="CA102" s="34" t="s">
        <v>161</v>
      </c>
    </row>
    <row r="103" spans="1:79" x14ac:dyDescent="0.25">
      <c r="A103" s="34" t="s">
        <v>374</v>
      </c>
      <c r="B103" s="34" t="s">
        <v>287</v>
      </c>
      <c r="C103" s="34">
        <v>2019</v>
      </c>
      <c r="D103" s="34" t="s">
        <v>422</v>
      </c>
      <c r="E103" s="34">
        <v>2.0200129917472301E+17</v>
      </c>
      <c r="F103" s="34" t="s">
        <v>182</v>
      </c>
      <c r="G103" s="34" t="s">
        <v>1135</v>
      </c>
      <c r="H103" s="34">
        <v>1378435</v>
      </c>
      <c r="I103" s="34"/>
      <c r="J103" s="34" t="s">
        <v>180</v>
      </c>
      <c r="K103" s="34" t="s">
        <v>179</v>
      </c>
      <c r="L103" s="34"/>
      <c r="M103" s="34"/>
      <c r="N103" s="34" t="s">
        <v>905</v>
      </c>
      <c r="O103" s="34" t="s">
        <v>297</v>
      </c>
      <c r="P103" s="34"/>
      <c r="Q103" s="34" t="s">
        <v>296</v>
      </c>
      <c r="R103" s="34" t="s">
        <v>906</v>
      </c>
      <c r="S103" s="34"/>
      <c r="T103" s="34" t="s">
        <v>907</v>
      </c>
      <c r="U103" s="34"/>
      <c r="V103" s="34" t="s">
        <v>949</v>
      </c>
      <c r="W103" s="34"/>
      <c r="X103" s="34" t="s">
        <v>909</v>
      </c>
      <c r="Y103" s="34" t="s">
        <v>47</v>
      </c>
      <c r="Z103" s="34">
        <v>2142</v>
      </c>
      <c r="AA103" s="34" t="s">
        <v>393</v>
      </c>
      <c r="AB103" s="34" t="s">
        <v>393</v>
      </c>
      <c r="AC103" s="34"/>
      <c r="AD103" s="34"/>
      <c r="AE103" s="34"/>
      <c r="AF103" s="34" t="s">
        <v>377</v>
      </c>
      <c r="AG103" s="34"/>
      <c r="AH103" s="34"/>
      <c r="AI103" s="34">
        <v>43674</v>
      </c>
      <c r="AJ103" s="34">
        <v>25</v>
      </c>
      <c r="AK103" s="34">
        <v>125</v>
      </c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 t="s">
        <v>363</v>
      </c>
      <c r="BG103" s="34"/>
      <c r="BH103" s="34"/>
      <c r="BI103" s="34"/>
      <c r="BJ103" s="34"/>
      <c r="BK103" s="34" t="s">
        <v>50</v>
      </c>
      <c r="BL103" s="34" t="s">
        <v>167</v>
      </c>
      <c r="BM103" s="34" t="s">
        <v>166</v>
      </c>
      <c r="BN103" s="34">
        <v>43894.338213194445</v>
      </c>
      <c r="BO103" s="34"/>
      <c r="BP103" s="34"/>
      <c r="BQ103" s="34"/>
      <c r="BR103" s="34" t="s">
        <v>165</v>
      </c>
      <c r="BS103" s="34">
        <v>4.02012020168638E+18</v>
      </c>
      <c r="BT103" s="34" t="s">
        <v>164</v>
      </c>
      <c r="BU103" s="34" t="s">
        <v>952</v>
      </c>
      <c r="BV103" s="34">
        <v>2020</v>
      </c>
      <c r="BW103" s="34" t="s">
        <v>163</v>
      </c>
      <c r="BX103" s="34"/>
      <c r="BY103" s="34">
        <v>4.0302202012180398E+18</v>
      </c>
      <c r="BZ103" s="34" t="s">
        <v>1136</v>
      </c>
      <c r="CA103" s="34" t="s">
        <v>161</v>
      </c>
    </row>
    <row r="104" spans="1:79" x14ac:dyDescent="0.25">
      <c r="A104" s="34" t="s">
        <v>374</v>
      </c>
      <c r="B104" s="34" t="s">
        <v>287</v>
      </c>
      <c r="C104" s="34">
        <v>2019</v>
      </c>
      <c r="D104" s="34" t="s">
        <v>422</v>
      </c>
      <c r="E104" s="34">
        <v>2.0200129917472301E+17</v>
      </c>
      <c r="F104" s="34" t="s">
        <v>182</v>
      </c>
      <c r="G104" s="34" t="s">
        <v>1137</v>
      </c>
      <c r="H104" s="34">
        <v>1378435</v>
      </c>
      <c r="I104" s="34"/>
      <c r="J104" s="34" t="s">
        <v>180</v>
      </c>
      <c r="K104" s="34" t="s">
        <v>179</v>
      </c>
      <c r="L104" s="34"/>
      <c r="M104" s="34"/>
      <c r="N104" s="34" t="s">
        <v>905</v>
      </c>
      <c r="O104" s="34" t="s">
        <v>297</v>
      </c>
      <c r="P104" s="34"/>
      <c r="Q104" s="34" t="s">
        <v>296</v>
      </c>
      <c r="R104" s="34" t="s">
        <v>906</v>
      </c>
      <c r="S104" s="34"/>
      <c r="T104" s="34" t="s">
        <v>907</v>
      </c>
      <c r="U104" s="34"/>
      <c r="V104" s="34" t="s">
        <v>949</v>
      </c>
      <c r="W104" s="34"/>
      <c r="X104" s="34" t="s">
        <v>909</v>
      </c>
      <c r="Y104" s="34" t="s">
        <v>47</v>
      </c>
      <c r="Z104" s="34">
        <v>2142</v>
      </c>
      <c r="AA104" s="34" t="s">
        <v>393</v>
      </c>
      <c r="AB104" s="34" t="s">
        <v>393</v>
      </c>
      <c r="AC104" s="34"/>
      <c r="AD104" s="34">
        <v>15</v>
      </c>
      <c r="AE104" s="34" t="s">
        <v>169</v>
      </c>
      <c r="AF104" s="34" t="s">
        <v>364</v>
      </c>
      <c r="AG104" s="34"/>
      <c r="AH104" s="34"/>
      <c r="AI104" s="34">
        <v>43703</v>
      </c>
      <c r="AJ104" s="34">
        <v>5</v>
      </c>
      <c r="AK104" s="34">
        <v>367.62</v>
      </c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 t="s">
        <v>363</v>
      </c>
      <c r="BG104" s="34"/>
      <c r="BH104" s="34"/>
      <c r="BI104" s="34"/>
      <c r="BJ104" s="34"/>
      <c r="BK104" s="34" t="s">
        <v>50</v>
      </c>
      <c r="BL104" s="34" t="s">
        <v>167</v>
      </c>
      <c r="BM104" s="34" t="s">
        <v>166</v>
      </c>
      <c r="BN104" s="34">
        <v>43894.338711377313</v>
      </c>
      <c r="BO104" s="34"/>
      <c r="BP104" s="34"/>
      <c r="BQ104" s="34"/>
      <c r="BR104" s="34" t="s">
        <v>165</v>
      </c>
      <c r="BS104" s="34">
        <v>4.02012020168638E+18</v>
      </c>
      <c r="BT104" s="34" t="s">
        <v>164</v>
      </c>
      <c r="BU104" s="34" t="s">
        <v>362</v>
      </c>
      <c r="BV104" s="34">
        <v>2020</v>
      </c>
      <c r="BW104" s="34" t="s">
        <v>163</v>
      </c>
      <c r="BX104" s="34"/>
      <c r="BY104" s="34">
        <v>4.03022020121854E+18</v>
      </c>
      <c r="BZ104" s="34" t="s">
        <v>1138</v>
      </c>
      <c r="CA104" s="34" t="s">
        <v>161</v>
      </c>
    </row>
    <row r="105" spans="1:79" x14ac:dyDescent="0.25">
      <c r="A105" s="34" t="s">
        <v>374</v>
      </c>
      <c r="B105" s="34" t="s">
        <v>287</v>
      </c>
      <c r="C105" s="34">
        <v>2019</v>
      </c>
      <c r="D105" s="34" t="s">
        <v>422</v>
      </c>
      <c r="E105" s="34">
        <v>2.0200129917472301E+17</v>
      </c>
      <c r="F105" s="34" t="s">
        <v>182</v>
      </c>
      <c r="G105" s="34" t="s">
        <v>1139</v>
      </c>
      <c r="H105" s="34">
        <v>1378435</v>
      </c>
      <c r="I105" s="34"/>
      <c r="J105" s="34" t="s">
        <v>180</v>
      </c>
      <c r="K105" s="34" t="s">
        <v>179</v>
      </c>
      <c r="L105" s="34" t="s">
        <v>1118</v>
      </c>
      <c r="M105" s="34"/>
      <c r="N105" s="34" t="s">
        <v>905</v>
      </c>
      <c r="O105" s="34" t="s">
        <v>297</v>
      </c>
      <c r="P105" s="34"/>
      <c r="Q105" s="34" t="s">
        <v>296</v>
      </c>
      <c r="R105" s="34" t="s">
        <v>906</v>
      </c>
      <c r="S105" s="34"/>
      <c r="T105" s="34" t="s">
        <v>907</v>
      </c>
      <c r="U105" s="34"/>
      <c r="V105" s="34" t="s">
        <v>949</v>
      </c>
      <c r="W105" s="34"/>
      <c r="X105" s="34" t="s">
        <v>909</v>
      </c>
      <c r="Y105" s="34" t="s">
        <v>47</v>
      </c>
      <c r="Z105" s="34">
        <v>2142</v>
      </c>
      <c r="AA105" s="34" t="s">
        <v>393</v>
      </c>
      <c r="AB105" s="34" t="s">
        <v>393</v>
      </c>
      <c r="AC105" s="34" t="s">
        <v>1118</v>
      </c>
      <c r="AD105" s="34" t="s">
        <v>383</v>
      </c>
      <c r="AE105" s="34" t="s">
        <v>382</v>
      </c>
      <c r="AF105" s="34" t="s">
        <v>377</v>
      </c>
      <c r="AG105" s="34"/>
      <c r="AH105" s="34"/>
      <c r="AI105" s="34">
        <v>43818</v>
      </c>
      <c r="AJ105" s="34">
        <v>100</v>
      </c>
      <c r="AK105" s="34">
        <v>350</v>
      </c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 t="s">
        <v>363</v>
      </c>
      <c r="BG105" s="34"/>
      <c r="BH105" s="34"/>
      <c r="BI105" s="34"/>
      <c r="BJ105" s="34"/>
      <c r="BK105" s="34" t="s">
        <v>50</v>
      </c>
      <c r="BL105" s="34" t="s">
        <v>167</v>
      </c>
      <c r="BM105" s="34" t="s">
        <v>166</v>
      </c>
      <c r="BN105" s="34">
        <v>43894.347598159722</v>
      </c>
      <c r="BO105" s="34"/>
      <c r="BP105" s="34"/>
      <c r="BQ105" s="34"/>
      <c r="BR105" s="34" t="s">
        <v>165</v>
      </c>
      <c r="BS105" s="34">
        <v>4.02012020168638E+18</v>
      </c>
      <c r="BT105" s="34" t="s">
        <v>164</v>
      </c>
      <c r="BU105" s="34" t="s">
        <v>1119</v>
      </c>
      <c r="BV105" s="34">
        <v>2020</v>
      </c>
      <c r="BW105" s="34" t="s">
        <v>163</v>
      </c>
      <c r="BX105" s="34"/>
      <c r="BY105" s="34">
        <v>4.0302202012297298E+18</v>
      </c>
      <c r="BZ105" s="34" t="s">
        <v>1140</v>
      </c>
      <c r="CA105" s="34" t="s">
        <v>161</v>
      </c>
    </row>
    <row r="106" spans="1:79" x14ac:dyDescent="0.25">
      <c r="A106" s="34" t="s">
        <v>374</v>
      </c>
      <c r="B106" s="34" t="s">
        <v>287</v>
      </c>
      <c r="C106" s="34">
        <v>2019</v>
      </c>
      <c r="D106" s="34" t="s">
        <v>422</v>
      </c>
      <c r="E106" s="34">
        <v>2.0200129917472301E+17</v>
      </c>
      <c r="F106" s="34" t="s">
        <v>182</v>
      </c>
      <c r="G106" s="34" t="s">
        <v>1141</v>
      </c>
      <c r="H106" s="34">
        <v>1378435</v>
      </c>
      <c r="I106" s="34"/>
      <c r="J106" s="34" t="s">
        <v>180</v>
      </c>
      <c r="K106" s="34" t="s">
        <v>179</v>
      </c>
      <c r="L106" s="34"/>
      <c r="M106" s="34"/>
      <c r="N106" s="34" t="s">
        <v>905</v>
      </c>
      <c r="O106" s="34" t="s">
        <v>297</v>
      </c>
      <c r="P106" s="34"/>
      <c r="Q106" s="34" t="s">
        <v>296</v>
      </c>
      <c r="R106" s="34" t="s">
        <v>906</v>
      </c>
      <c r="S106" s="34"/>
      <c r="T106" s="34" t="s">
        <v>907</v>
      </c>
      <c r="U106" s="34"/>
      <c r="V106" s="34" t="s">
        <v>949</v>
      </c>
      <c r="W106" s="34"/>
      <c r="X106" s="34" t="s">
        <v>909</v>
      </c>
      <c r="Y106" s="34" t="s">
        <v>47</v>
      </c>
      <c r="Z106" s="34">
        <v>2142</v>
      </c>
      <c r="AA106" s="34" t="s">
        <v>393</v>
      </c>
      <c r="AB106" s="34" t="s">
        <v>393</v>
      </c>
      <c r="AC106" s="34"/>
      <c r="AD106" s="34">
        <v>15</v>
      </c>
      <c r="AE106" s="34" t="s">
        <v>169</v>
      </c>
      <c r="AF106" s="34" t="s">
        <v>364</v>
      </c>
      <c r="AG106" s="34"/>
      <c r="AH106" s="34"/>
      <c r="AI106" s="34">
        <v>43673</v>
      </c>
      <c r="AJ106" s="34">
        <v>2.7</v>
      </c>
      <c r="AK106" s="34">
        <v>367.62</v>
      </c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 t="s">
        <v>363</v>
      </c>
      <c r="BG106" s="34"/>
      <c r="BH106" s="34"/>
      <c r="BI106" s="34"/>
      <c r="BJ106" s="34"/>
      <c r="BK106" s="34" t="s">
        <v>50</v>
      </c>
      <c r="BL106" s="34" t="s">
        <v>167</v>
      </c>
      <c r="BM106" s="34" t="s">
        <v>166</v>
      </c>
      <c r="BN106" s="34">
        <v>43894.348421249997</v>
      </c>
      <c r="BO106" s="34"/>
      <c r="BP106" s="34"/>
      <c r="BQ106" s="34"/>
      <c r="BR106" s="34" t="s">
        <v>165</v>
      </c>
      <c r="BS106" s="34">
        <v>4.02012020168638E+18</v>
      </c>
      <c r="BT106" s="34" t="s">
        <v>164</v>
      </c>
      <c r="BU106" s="34" t="s">
        <v>362</v>
      </c>
      <c r="BV106" s="34">
        <v>2020</v>
      </c>
      <c r="BW106" s="34" t="s">
        <v>163</v>
      </c>
      <c r="BX106" s="34"/>
      <c r="BY106" s="34">
        <v>4.0302202012272901E+18</v>
      </c>
      <c r="BZ106" s="34" t="s">
        <v>1136</v>
      </c>
      <c r="CA106" s="34" t="s">
        <v>161</v>
      </c>
    </row>
    <row r="107" spans="1:79" x14ac:dyDescent="0.25">
      <c r="A107" s="34" t="s">
        <v>374</v>
      </c>
      <c r="B107" s="34" t="s">
        <v>287</v>
      </c>
      <c r="C107" s="34">
        <v>2019</v>
      </c>
      <c r="D107" s="34" t="s">
        <v>422</v>
      </c>
      <c r="E107" s="34">
        <v>2.0200129917472301E+17</v>
      </c>
      <c r="F107" s="34" t="s">
        <v>182</v>
      </c>
      <c r="G107" s="34" t="s">
        <v>1142</v>
      </c>
      <c r="H107" s="34">
        <v>1378435</v>
      </c>
      <c r="I107" s="34"/>
      <c r="J107" s="34" t="s">
        <v>180</v>
      </c>
      <c r="K107" s="34" t="s">
        <v>179</v>
      </c>
      <c r="L107" s="34" t="s">
        <v>1025</v>
      </c>
      <c r="M107" s="34"/>
      <c r="N107" s="34" t="s">
        <v>905</v>
      </c>
      <c r="O107" s="34" t="s">
        <v>297</v>
      </c>
      <c r="P107" s="34"/>
      <c r="Q107" s="34" t="s">
        <v>296</v>
      </c>
      <c r="R107" s="34" t="s">
        <v>906</v>
      </c>
      <c r="S107" s="34"/>
      <c r="T107" s="34" t="s">
        <v>907</v>
      </c>
      <c r="U107" s="34"/>
      <c r="V107" s="34" t="s">
        <v>949</v>
      </c>
      <c r="W107" s="34"/>
      <c r="X107" s="34" t="s">
        <v>909</v>
      </c>
      <c r="Y107" s="34" t="s">
        <v>47</v>
      </c>
      <c r="Z107" s="34">
        <v>2142</v>
      </c>
      <c r="AA107" s="34" t="s">
        <v>393</v>
      </c>
      <c r="AB107" s="34" t="s">
        <v>393</v>
      </c>
      <c r="AC107" s="34" t="s">
        <v>1025</v>
      </c>
      <c r="AD107" s="34" t="s">
        <v>383</v>
      </c>
      <c r="AE107" s="34" t="s">
        <v>382</v>
      </c>
      <c r="AF107" s="34" t="s">
        <v>377</v>
      </c>
      <c r="AG107" s="34"/>
      <c r="AH107" s="34"/>
      <c r="AI107" s="34">
        <v>43767</v>
      </c>
      <c r="AJ107" s="34">
        <v>100</v>
      </c>
      <c r="AK107" s="34">
        <v>600</v>
      </c>
      <c r="AL107" s="34" t="s">
        <v>1098</v>
      </c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 t="s">
        <v>363</v>
      </c>
      <c r="BG107" s="34"/>
      <c r="BH107" s="34"/>
      <c r="BI107" s="34"/>
      <c r="BJ107" s="34"/>
      <c r="BK107" s="34" t="s">
        <v>50</v>
      </c>
      <c r="BL107" s="34" t="s">
        <v>167</v>
      </c>
      <c r="BM107" s="34" t="s">
        <v>166</v>
      </c>
      <c r="BN107" s="34">
        <v>43894.349626296294</v>
      </c>
      <c r="BO107" s="34"/>
      <c r="BP107" s="34"/>
      <c r="BQ107" s="34"/>
      <c r="BR107" s="34" t="s">
        <v>165</v>
      </c>
      <c r="BS107" s="34">
        <v>4.02012020168638E+18</v>
      </c>
      <c r="BT107" s="34" t="s">
        <v>164</v>
      </c>
      <c r="BU107" s="34" t="s">
        <v>1099</v>
      </c>
      <c r="BV107" s="34">
        <v>2020</v>
      </c>
      <c r="BW107" s="34" t="s">
        <v>163</v>
      </c>
      <c r="BX107" s="34"/>
      <c r="BY107" s="34">
        <v>4.03022020123505E+18</v>
      </c>
      <c r="BZ107" s="34" t="s">
        <v>1143</v>
      </c>
      <c r="CA107" s="34" t="s">
        <v>161</v>
      </c>
    </row>
    <row r="108" spans="1:79" x14ac:dyDescent="0.25">
      <c r="A108" s="34" t="s">
        <v>374</v>
      </c>
      <c r="B108" s="34" t="s">
        <v>287</v>
      </c>
      <c r="C108" s="34">
        <v>2019</v>
      </c>
      <c r="D108" s="34" t="s">
        <v>422</v>
      </c>
      <c r="E108" s="34">
        <v>2.0200129917472301E+17</v>
      </c>
      <c r="F108" s="34" t="s">
        <v>182</v>
      </c>
      <c r="G108" s="34" t="s">
        <v>1144</v>
      </c>
      <c r="H108" s="34">
        <v>1378435</v>
      </c>
      <c r="I108" s="34"/>
      <c r="J108" s="34" t="s">
        <v>180</v>
      </c>
      <c r="K108" s="34" t="s">
        <v>179</v>
      </c>
      <c r="L108" s="34"/>
      <c r="M108" s="34"/>
      <c r="N108" s="34" t="s">
        <v>905</v>
      </c>
      <c r="O108" s="34" t="s">
        <v>297</v>
      </c>
      <c r="P108" s="34"/>
      <c r="Q108" s="34" t="s">
        <v>296</v>
      </c>
      <c r="R108" s="34" t="s">
        <v>906</v>
      </c>
      <c r="S108" s="34"/>
      <c r="T108" s="34" t="s">
        <v>907</v>
      </c>
      <c r="U108" s="34"/>
      <c r="V108" s="34" t="s">
        <v>949</v>
      </c>
      <c r="W108" s="34"/>
      <c r="X108" s="34" t="s">
        <v>909</v>
      </c>
      <c r="Y108" s="34" t="s">
        <v>47</v>
      </c>
      <c r="Z108" s="34">
        <v>2142</v>
      </c>
      <c r="AA108" s="34" t="s">
        <v>393</v>
      </c>
      <c r="AB108" s="34" t="s">
        <v>393</v>
      </c>
      <c r="AC108" s="34"/>
      <c r="AD108" s="34">
        <v>15</v>
      </c>
      <c r="AE108" s="34" t="s">
        <v>169</v>
      </c>
      <c r="AF108" s="34" t="s">
        <v>364</v>
      </c>
      <c r="AG108" s="34"/>
      <c r="AH108" s="34"/>
      <c r="AI108" s="34">
        <v>43804</v>
      </c>
      <c r="AJ108" s="34">
        <v>10</v>
      </c>
      <c r="AK108" s="34">
        <v>367.62</v>
      </c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 t="s">
        <v>363</v>
      </c>
      <c r="BG108" s="34"/>
      <c r="BH108" s="34"/>
      <c r="BI108" s="34"/>
      <c r="BJ108" s="34"/>
      <c r="BK108" s="34" t="s">
        <v>50</v>
      </c>
      <c r="BL108" s="34" t="s">
        <v>167</v>
      </c>
      <c r="BM108" s="34" t="s">
        <v>166</v>
      </c>
      <c r="BN108" s="34">
        <v>43894.350507395837</v>
      </c>
      <c r="BO108" s="34"/>
      <c r="BP108" s="34"/>
      <c r="BQ108" s="34"/>
      <c r="BR108" s="34" t="s">
        <v>165</v>
      </c>
      <c r="BS108" s="34">
        <v>4.02012020168638E+18</v>
      </c>
      <c r="BT108" s="34" t="s">
        <v>164</v>
      </c>
      <c r="BU108" s="34" t="s">
        <v>362</v>
      </c>
      <c r="BV108" s="34">
        <v>2020</v>
      </c>
      <c r="BW108" s="34" t="s">
        <v>163</v>
      </c>
      <c r="BX108" s="34"/>
      <c r="BY108" s="34">
        <v>4.0302202012356598E+18</v>
      </c>
      <c r="BZ108" s="34" t="s">
        <v>1145</v>
      </c>
      <c r="CA108" s="34" t="s">
        <v>161</v>
      </c>
    </row>
    <row r="109" spans="1:79" x14ac:dyDescent="0.25">
      <c r="A109" s="34" t="s">
        <v>374</v>
      </c>
      <c r="B109" s="34" t="s">
        <v>287</v>
      </c>
      <c r="C109" s="34">
        <v>2019</v>
      </c>
      <c r="D109" s="34" t="s">
        <v>422</v>
      </c>
      <c r="E109" s="34">
        <v>2.0200129917472301E+17</v>
      </c>
      <c r="F109" s="34" t="s">
        <v>182</v>
      </c>
      <c r="G109" s="34" t="s">
        <v>1146</v>
      </c>
      <c r="H109" s="34">
        <v>1378435</v>
      </c>
      <c r="I109" s="34"/>
      <c r="J109" s="34" t="s">
        <v>180</v>
      </c>
      <c r="K109" s="34" t="s">
        <v>179</v>
      </c>
      <c r="L109" s="34" t="s">
        <v>1061</v>
      </c>
      <c r="M109" s="34"/>
      <c r="N109" s="34" t="s">
        <v>905</v>
      </c>
      <c r="O109" s="34" t="s">
        <v>297</v>
      </c>
      <c r="P109" s="34"/>
      <c r="Q109" s="34" t="s">
        <v>296</v>
      </c>
      <c r="R109" s="34" t="s">
        <v>906</v>
      </c>
      <c r="S109" s="34"/>
      <c r="T109" s="34" t="s">
        <v>907</v>
      </c>
      <c r="U109" s="34"/>
      <c r="V109" s="34" t="s">
        <v>949</v>
      </c>
      <c r="W109" s="34"/>
      <c r="X109" s="34" t="s">
        <v>909</v>
      </c>
      <c r="Y109" s="34" t="s">
        <v>47</v>
      </c>
      <c r="Z109" s="34">
        <v>2142</v>
      </c>
      <c r="AA109" s="34" t="s">
        <v>393</v>
      </c>
      <c r="AB109" s="34" t="s">
        <v>393</v>
      </c>
      <c r="AC109" s="34" t="s">
        <v>1061</v>
      </c>
      <c r="AD109" s="34" t="s">
        <v>383</v>
      </c>
      <c r="AE109" s="34" t="s">
        <v>382</v>
      </c>
      <c r="AF109" s="34" t="s">
        <v>377</v>
      </c>
      <c r="AG109" s="34"/>
      <c r="AH109" s="34"/>
      <c r="AI109" s="34">
        <v>43661</v>
      </c>
      <c r="AJ109" s="34">
        <v>50</v>
      </c>
      <c r="AK109" s="34">
        <v>489</v>
      </c>
      <c r="AL109" s="34" t="s">
        <v>1095</v>
      </c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 t="s">
        <v>363</v>
      </c>
      <c r="BG109" s="34"/>
      <c r="BH109" s="34"/>
      <c r="BI109" s="34"/>
      <c r="BJ109" s="34"/>
      <c r="BK109" s="34" t="s">
        <v>50</v>
      </c>
      <c r="BL109" s="34" t="s">
        <v>167</v>
      </c>
      <c r="BM109" s="34" t="s">
        <v>166</v>
      </c>
      <c r="BN109" s="34">
        <v>43894.350515682869</v>
      </c>
      <c r="BO109" s="34"/>
      <c r="BP109" s="34"/>
      <c r="BQ109" s="34"/>
      <c r="BR109" s="34" t="s">
        <v>165</v>
      </c>
      <c r="BS109" s="34">
        <v>4.02012020168638E+18</v>
      </c>
      <c r="BT109" s="34" t="s">
        <v>164</v>
      </c>
      <c r="BU109" s="34" t="s">
        <v>957</v>
      </c>
      <c r="BV109" s="34">
        <v>2020</v>
      </c>
      <c r="BW109" s="34" t="s">
        <v>163</v>
      </c>
      <c r="BX109" s="34"/>
      <c r="BY109" s="34">
        <v>4.0302202012151301E+18</v>
      </c>
      <c r="BZ109" s="34" t="s">
        <v>1147</v>
      </c>
      <c r="CA109" s="34" t="s">
        <v>161</v>
      </c>
    </row>
    <row r="110" spans="1:79" x14ac:dyDescent="0.25">
      <c r="A110" s="34" t="s">
        <v>374</v>
      </c>
      <c r="B110" s="34" t="s">
        <v>287</v>
      </c>
      <c r="C110" s="34">
        <v>2019</v>
      </c>
      <c r="D110" s="34" t="s">
        <v>422</v>
      </c>
      <c r="E110" s="34">
        <v>2.0200129917472301E+17</v>
      </c>
      <c r="F110" s="34" t="s">
        <v>182</v>
      </c>
      <c r="G110" s="34" t="s">
        <v>1148</v>
      </c>
      <c r="H110" s="34">
        <v>1378435</v>
      </c>
      <c r="I110" s="34"/>
      <c r="J110" s="34" t="s">
        <v>180</v>
      </c>
      <c r="K110" s="34" t="s">
        <v>179</v>
      </c>
      <c r="L110" s="34"/>
      <c r="M110" s="34"/>
      <c r="N110" s="34" t="s">
        <v>905</v>
      </c>
      <c r="O110" s="34" t="s">
        <v>297</v>
      </c>
      <c r="P110" s="34"/>
      <c r="Q110" s="34" t="s">
        <v>296</v>
      </c>
      <c r="R110" s="34" t="s">
        <v>906</v>
      </c>
      <c r="S110" s="34"/>
      <c r="T110" s="34" t="s">
        <v>907</v>
      </c>
      <c r="U110" s="34"/>
      <c r="V110" s="34" t="s">
        <v>949</v>
      </c>
      <c r="W110" s="34"/>
      <c r="X110" s="34" t="s">
        <v>909</v>
      </c>
      <c r="Y110" s="34" t="s">
        <v>47</v>
      </c>
      <c r="Z110" s="34">
        <v>2142</v>
      </c>
      <c r="AA110" s="34" t="s">
        <v>393</v>
      </c>
      <c r="AB110" s="34" t="s">
        <v>393</v>
      </c>
      <c r="AC110" s="34"/>
      <c r="AD110" s="34"/>
      <c r="AE110" s="34"/>
      <c r="AF110" s="34" t="s">
        <v>377</v>
      </c>
      <c r="AG110" s="34"/>
      <c r="AH110" s="34"/>
      <c r="AI110" s="34">
        <v>43662</v>
      </c>
      <c r="AJ110" s="34">
        <v>25</v>
      </c>
      <c r="AK110" s="34">
        <v>25</v>
      </c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 t="s">
        <v>363</v>
      </c>
      <c r="BG110" s="34"/>
      <c r="BH110" s="34"/>
      <c r="BI110" s="34"/>
      <c r="BJ110" s="34"/>
      <c r="BK110" s="34" t="s">
        <v>50</v>
      </c>
      <c r="BL110" s="34" t="s">
        <v>167</v>
      </c>
      <c r="BM110" s="34" t="s">
        <v>166</v>
      </c>
      <c r="BN110" s="34">
        <v>43894.352944375001</v>
      </c>
      <c r="BO110" s="34"/>
      <c r="BP110" s="34"/>
      <c r="BQ110" s="34"/>
      <c r="BR110" s="34" t="s">
        <v>165</v>
      </c>
      <c r="BS110" s="34">
        <v>4.02012020168638E+18</v>
      </c>
      <c r="BT110" s="34" t="s">
        <v>164</v>
      </c>
      <c r="BU110" s="34" t="s">
        <v>1149</v>
      </c>
      <c r="BV110" s="34">
        <v>2020</v>
      </c>
      <c r="BW110" s="34" t="s">
        <v>163</v>
      </c>
      <c r="BX110" s="34"/>
      <c r="BY110" s="34">
        <v>4.0302202012178801E+18</v>
      </c>
      <c r="BZ110" s="34" t="s">
        <v>1150</v>
      </c>
      <c r="CA110" s="34" t="s">
        <v>161</v>
      </c>
    </row>
    <row r="111" spans="1:79" x14ac:dyDescent="0.25">
      <c r="A111" s="34" t="s">
        <v>374</v>
      </c>
      <c r="B111" s="34" t="s">
        <v>287</v>
      </c>
      <c r="C111" s="34">
        <v>2019</v>
      </c>
      <c r="D111" s="34" t="s">
        <v>422</v>
      </c>
      <c r="E111" s="34">
        <v>2.0200129917472301E+17</v>
      </c>
      <c r="F111" s="34" t="s">
        <v>182</v>
      </c>
      <c r="G111" s="34" t="s">
        <v>1151</v>
      </c>
      <c r="H111" s="34">
        <v>1378435</v>
      </c>
      <c r="I111" s="34"/>
      <c r="J111" s="34" t="s">
        <v>180</v>
      </c>
      <c r="K111" s="34" t="s">
        <v>179</v>
      </c>
      <c r="L111" s="34"/>
      <c r="M111" s="34"/>
      <c r="N111" s="34" t="s">
        <v>905</v>
      </c>
      <c r="O111" s="34" t="s">
        <v>297</v>
      </c>
      <c r="P111" s="34"/>
      <c r="Q111" s="34" t="s">
        <v>296</v>
      </c>
      <c r="R111" s="34" t="s">
        <v>906</v>
      </c>
      <c r="S111" s="34"/>
      <c r="T111" s="34" t="s">
        <v>907</v>
      </c>
      <c r="U111" s="34"/>
      <c r="V111" s="34" t="s">
        <v>949</v>
      </c>
      <c r="W111" s="34"/>
      <c r="X111" s="34" t="s">
        <v>909</v>
      </c>
      <c r="Y111" s="34" t="s">
        <v>47</v>
      </c>
      <c r="Z111" s="34">
        <v>2142</v>
      </c>
      <c r="AA111" s="34" t="s">
        <v>393</v>
      </c>
      <c r="AB111" s="34" t="s">
        <v>393</v>
      </c>
      <c r="AC111" s="34"/>
      <c r="AD111" s="34">
        <v>15</v>
      </c>
      <c r="AE111" s="34" t="s">
        <v>169</v>
      </c>
      <c r="AF111" s="34" t="s">
        <v>364</v>
      </c>
      <c r="AG111" s="34"/>
      <c r="AH111" s="34"/>
      <c r="AI111" s="34">
        <v>43770</v>
      </c>
      <c r="AJ111" s="34">
        <v>5</v>
      </c>
      <c r="AK111" s="34">
        <v>367.62</v>
      </c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 t="s">
        <v>363</v>
      </c>
      <c r="BG111" s="34"/>
      <c r="BH111" s="34"/>
      <c r="BI111" s="34"/>
      <c r="BJ111" s="34"/>
      <c r="BK111" s="34" t="s">
        <v>50</v>
      </c>
      <c r="BL111" s="34" t="s">
        <v>167</v>
      </c>
      <c r="BM111" s="34" t="s">
        <v>166</v>
      </c>
      <c r="BN111" s="34">
        <v>43894.353111296296</v>
      </c>
      <c r="BO111" s="34"/>
      <c r="BP111" s="34"/>
      <c r="BQ111" s="34"/>
      <c r="BR111" s="34" t="s">
        <v>165</v>
      </c>
      <c r="BS111" s="34">
        <v>4.02012020168638E+18</v>
      </c>
      <c r="BT111" s="34" t="s">
        <v>164</v>
      </c>
      <c r="BU111" s="34" t="s">
        <v>362</v>
      </c>
      <c r="BV111" s="34">
        <v>2020</v>
      </c>
      <c r="BW111" s="34" t="s">
        <v>163</v>
      </c>
      <c r="BX111" s="34"/>
      <c r="BY111" s="34">
        <v>4.0302202012351201E+18</v>
      </c>
      <c r="BZ111" s="34" t="s">
        <v>1134</v>
      </c>
      <c r="CA111" s="34" t="s">
        <v>161</v>
      </c>
    </row>
    <row r="112" spans="1:79" x14ac:dyDescent="0.25">
      <c r="A112" s="34" t="s">
        <v>374</v>
      </c>
      <c r="B112" s="34" t="s">
        <v>287</v>
      </c>
      <c r="C112" s="34">
        <v>2019</v>
      </c>
      <c r="D112" s="34" t="s">
        <v>422</v>
      </c>
      <c r="E112" s="34">
        <v>2.0200129917472301E+17</v>
      </c>
      <c r="F112" s="34" t="s">
        <v>182</v>
      </c>
      <c r="G112" s="34" t="s">
        <v>1152</v>
      </c>
      <c r="H112" s="34">
        <v>1378435</v>
      </c>
      <c r="I112" s="34"/>
      <c r="J112" s="34" t="s">
        <v>180</v>
      </c>
      <c r="K112" s="34" t="s">
        <v>179</v>
      </c>
      <c r="L112" s="34"/>
      <c r="M112" s="34"/>
      <c r="N112" s="34" t="s">
        <v>905</v>
      </c>
      <c r="O112" s="34" t="s">
        <v>297</v>
      </c>
      <c r="P112" s="34"/>
      <c r="Q112" s="34" t="s">
        <v>296</v>
      </c>
      <c r="R112" s="34" t="s">
        <v>906</v>
      </c>
      <c r="S112" s="34"/>
      <c r="T112" s="34" t="s">
        <v>907</v>
      </c>
      <c r="U112" s="34"/>
      <c r="V112" s="34" t="s">
        <v>949</v>
      </c>
      <c r="W112" s="34"/>
      <c r="X112" s="34" t="s">
        <v>909</v>
      </c>
      <c r="Y112" s="34" t="s">
        <v>47</v>
      </c>
      <c r="Z112" s="34">
        <v>2142</v>
      </c>
      <c r="AA112" s="34" t="s">
        <v>393</v>
      </c>
      <c r="AB112" s="34" t="s">
        <v>393</v>
      </c>
      <c r="AC112" s="34"/>
      <c r="AD112" s="34">
        <v>15</v>
      </c>
      <c r="AE112" s="34" t="s">
        <v>169</v>
      </c>
      <c r="AF112" s="34" t="s">
        <v>364</v>
      </c>
      <c r="AG112" s="34"/>
      <c r="AH112" s="34"/>
      <c r="AI112" s="34">
        <v>43667</v>
      </c>
      <c r="AJ112" s="34">
        <v>10</v>
      </c>
      <c r="AK112" s="34">
        <v>367.62</v>
      </c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 t="s">
        <v>363</v>
      </c>
      <c r="BG112" s="34"/>
      <c r="BH112" s="34"/>
      <c r="BI112" s="34"/>
      <c r="BJ112" s="34"/>
      <c r="BK112" s="34" t="s">
        <v>50</v>
      </c>
      <c r="BL112" s="34" t="s">
        <v>167</v>
      </c>
      <c r="BM112" s="34" t="s">
        <v>166</v>
      </c>
      <c r="BN112" s="34">
        <v>43894.353373090278</v>
      </c>
      <c r="BO112" s="34"/>
      <c r="BP112" s="34"/>
      <c r="BQ112" s="34"/>
      <c r="BR112" s="34" t="s">
        <v>165</v>
      </c>
      <c r="BS112" s="34">
        <v>4.02012020168638E+18</v>
      </c>
      <c r="BT112" s="34" t="s">
        <v>164</v>
      </c>
      <c r="BU112" s="34" t="s">
        <v>362</v>
      </c>
      <c r="BV112" s="34">
        <v>2020</v>
      </c>
      <c r="BW112" s="34" t="s">
        <v>163</v>
      </c>
      <c r="BX112" s="34"/>
      <c r="BY112" s="34">
        <v>4.0302202012365E+18</v>
      </c>
      <c r="BZ112" s="34" t="s">
        <v>1153</v>
      </c>
      <c r="CA112" s="34" t="s">
        <v>161</v>
      </c>
    </row>
    <row r="113" spans="1:79" x14ac:dyDescent="0.25">
      <c r="A113" s="34" t="s">
        <v>374</v>
      </c>
      <c r="B113" s="34" t="s">
        <v>287</v>
      </c>
      <c r="C113" s="34">
        <v>2019</v>
      </c>
      <c r="D113" s="34" t="s">
        <v>422</v>
      </c>
      <c r="E113" s="34">
        <v>2.0200129917472301E+17</v>
      </c>
      <c r="F113" s="34" t="s">
        <v>182</v>
      </c>
      <c r="G113" s="34" t="s">
        <v>1154</v>
      </c>
      <c r="H113" s="34">
        <v>1378435</v>
      </c>
      <c r="I113" s="34"/>
      <c r="J113" s="34" t="s">
        <v>180</v>
      </c>
      <c r="K113" s="34" t="s">
        <v>179</v>
      </c>
      <c r="L113" s="34"/>
      <c r="M113" s="34"/>
      <c r="N113" s="34" t="s">
        <v>905</v>
      </c>
      <c r="O113" s="34" t="s">
        <v>297</v>
      </c>
      <c r="P113" s="34"/>
      <c r="Q113" s="34" t="s">
        <v>296</v>
      </c>
      <c r="R113" s="34" t="s">
        <v>906</v>
      </c>
      <c r="S113" s="34"/>
      <c r="T113" s="34" t="s">
        <v>907</v>
      </c>
      <c r="U113" s="34"/>
      <c r="V113" s="34" t="s">
        <v>949</v>
      </c>
      <c r="W113" s="34"/>
      <c r="X113" s="34" t="s">
        <v>909</v>
      </c>
      <c r="Y113" s="34" t="s">
        <v>47</v>
      </c>
      <c r="Z113" s="34">
        <v>2142</v>
      </c>
      <c r="AA113" s="34" t="s">
        <v>393</v>
      </c>
      <c r="AB113" s="34" t="s">
        <v>393</v>
      </c>
      <c r="AC113" s="34"/>
      <c r="AD113" s="34"/>
      <c r="AE113" s="34"/>
      <c r="AF113" s="34" t="s">
        <v>377</v>
      </c>
      <c r="AG113" s="34"/>
      <c r="AH113" s="34"/>
      <c r="AI113" s="34">
        <v>43693</v>
      </c>
      <c r="AJ113" s="34">
        <v>12.5</v>
      </c>
      <c r="AK113" s="34">
        <v>62.5</v>
      </c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 t="s">
        <v>363</v>
      </c>
      <c r="BG113" s="34"/>
      <c r="BH113" s="34"/>
      <c r="BI113" s="34"/>
      <c r="BJ113" s="34"/>
      <c r="BK113" s="34" t="s">
        <v>50</v>
      </c>
      <c r="BL113" s="34" t="s">
        <v>167</v>
      </c>
      <c r="BM113" s="34" t="s">
        <v>166</v>
      </c>
      <c r="BN113" s="34">
        <v>43894.353804814818</v>
      </c>
      <c r="BO113" s="34"/>
      <c r="BP113" s="34"/>
      <c r="BQ113" s="34"/>
      <c r="BR113" s="34" t="s">
        <v>165</v>
      </c>
      <c r="BS113" s="34">
        <v>4.02012020168638E+18</v>
      </c>
      <c r="BT113" s="34" t="s">
        <v>164</v>
      </c>
      <c r="BU113" s="34" t="s">
        <v>1155</v>
      </c>
      <c r="BV113" s="34">
        <v>2020</v>
      </c>
      <c r="BW113" s="34" t="s">
        <v>163</v>
      </c>
      <c r="BX113" s="34"/>
      <c r="BY113" s="34">
        <v>4.03022020123695E+18</v>
      </c>
      <c r="BZ113" s="34" t="s">
        <v>1156</v>
      </c>
      <c r="CA113" s="34" t="s">
        <v>161</v>
      </c>
    </row>
    <row r="114" spans="1:79" x14ac:dyDescent="0.25">
      <c r="A114" s="34" t="s">
        <v>374</v>
      </c>
      <c r="B114" s="34" t="s">
        <v>287</v>
      </c>
      <c r="C114" s="34">
        <v>2019</v>
      </c>
      <c r="D114" s="34" t="s">
        <v>422</v>
      </c>
      <c r="E114" s="34">
        <v>2.0200129917472301E+17</v>
      </c>
      <c r="F114" s="34" t="s">
        <v>182</v>
      </c>
      <c r="G114" s="34" t="s">
        <v>1157</v>
      </c>
      <c r="H114" s="34">
        <v>1378435</v>
      </c>
      <c r="I114" s="34"/>
      <c r="J114" s="34" t="s">
        <v>180</v>
      </c>
      <c r="K114" s="34" t="s">
        <v>179</v>
      </c>
      <c r="L114" s="34"/>
      <c r="M114" s="34"/>
      <c r="N114" s="34" t="s">
        <v>905</v>
      </c>
      <c r="O114" s="34" t="s">
        <v>297</v>
      </c>
      <c r="P114" s="34"/>
      <c r="Q114" s="34" t="s">
        <v>296</v>
      </c>
      <c r="R114" s="34" t="s">
        <v>906</v>
      </c>
      <c r="S114" s="34"/>
      <c r="T114" s="34" t="s">
        <v>907</v>
      </c>
      <c r="U114" s="34"/>
      <c r="V114" s="34" t="s">
        <v>949</v>
      </c>
      <c r="W114" s="34"/>
      <c r="X114" s="34" t="s">
        <v>909</v>
      </c>
      <c r="Y114" s="34" t="s">
        <v>47</v>
      </c>
      <c r="Z114" s="34">
        <v>2142</v>
      </c>
      <c r="AA114" s="34" t="s">
        <v>393</v>
      </c>
      <c r="AB114" s="34" t="s">
        <v>393</v>
      </c>
      <c r="AC114" s="34"/>
      <c r="AD114" s="34">
        <v>15</v>
      </c>
      <c r="AE114" s="34" t="s">
        <v>169</v>
      </c>
      <c r="AF114" s="34" t="s">
        <v>364</v>
      </c>
      <c r="AG114" s="34"/>
      <c r="AH114" s="34"/>
      <c r="AI114" s="34">
        <v>43694</v>
      </c>
      <c r="AJ114" s="34">
        <v>1</v>
      </c>
      <c r="AK114" s="34">
        <v>367.62</v>
      </c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 t="s">
        <v>363</v>
      </c>
      <c r="BG114" s="34"/>
      <c r="BH114" s="34"/>
      <c r="BI114" s="34"/>
      <c r="BJ114" s="34"/>
      <c r="BK114" s="34" t="s">
        <v>50</v>
      </c>
      <c r="BL114" s="34" t="s">
        <v>167</v>
      </c>
      <c r="BM114" s="34" t="s">
        <v>166</v>
      </c>
      <c r="BN114" s="34">
        <v>43894.353868645834</v>
      </c>
      <c r="BO114" s="34"/>
      <c r="BP114" s="34"/>
      <c r="BQ114" s="34"/>
      <c r="BR114" s="34" t="s">
        <v>165</v>
      </c>
      <c r="BS114" s="34">
        <v>4.02012020168638E+18</v>
      </c>
      <c r="BT114" s="34" t="s">
        <v>164</v>
      </c>
      <c r="BU114" s="34" t="s">
        <v>362</v>
      </c>
      <c r="BV114" s="34">
        <v>2020</v>
      </c>
      <c r="BW114" s="34" t="s">
        <v>163</v>
      </c>
      <c r="BX114" s="34"/>
      <c r="BY114" s="34">
        <v>4.0302202012369603E+18</v>
      </c>
      <c r="BZ114" s="34" t="s">
        <v>1158</v>
      </c>
      <c r="CA114" s="34" t="s">
        <v>161</v>
      </c>
    </row>
    <row r="115" spans="1:79" x14ac:dyDescent="0.25">
      <c r="A115" s="34" t="s">
        <v>374</v>
      </c>
      <c r="B115" s="34" t="s">
        <v>287</v>
      </c>
      <c r="C115" s="34">
        <v>2019</v>
      </c>
      <c r="D115" s="34" t="s">
        <v>422</v>
      </c>
      <c r="E115" s="34">
        <v>2.0200129917472301E+17</v>
      </c>
      <c r="F115" s="34" t="s">
        <v>182</v>
      </c>
      <c r="G115" s="34" t="s">
        <v>1159</v>
      </c>
      <c r="H115" s="34">
        <v>1378435</v>
      </c>
      <c r="I115" s="34"/>
      <c r="J115" s="34" t="s">
        <v>180</v>
      </c>
      <c r="K115" s="34" t="s">
        <v>179</v>
      </c>
      <c r="L115" s="34"/>
      <c r="M115" s="34"/>
      <c r="N115" s="34" t="s">
        <v>905</v>
      </c>
      <c r="O115" s="34" t="s">
        <v>297</v>
      </c>
      <c r="P115" s="34"/>
      <c r="Q115" s="34" t="s">
        <v>296</v>
      </c>
      <c r="R115" s="34" t="s">
        <v>906</v>
      </c>
      <c r="S115" s="34"/>
      <c r="T115" s="34" t="s">
        <v>907</v>
      </c>
      <c r="U115" s="34"/>
      <c r="V115" s="34" t="s">
        <v>949</v>
      </c>
      <c r="W115" s="34"/>
      <c r="X115" s="34" t="s">
        <v>909</v>
      </c>
      <c r="Y115" s="34" t="s">
        <v>47</v>
      </c>
      <c r="Z115" s="34">
        <v>2142</v>
      </c>
      <c r="AA115" s="34" t="s">
        <v>393</v>
      </c>
      <c r="AB115" s="34" t="s">
        <v>393</v>
      </c>
      <c r="AC115" s="34"/>
      <c r="AD115" s="34">
        <v>15</v>
      </c>
      <c r="AE115" s="34" t="s">
        <v>169</v>
      </c>
      <c r="AF115" s="34" t="s">
        <v>364</v>
      </c>
      <c r="AG115" s="34"/>
      <c r="AH115" s="34"/>
      <c r="AI115" s="34">
        <v>43784</v>
      </c>
      <c r="AJ115" s="34">
        <v>1</v>
      </c>
      <c r="AK115" s="34">
        <v>367.62</v>
      </c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 t="s">
        <v>363</v>
      </c>
      <c r="BG115" s="34"/>
      <c r="BH115" s="34"/>
      <c r="BI115" s="34"/>
      <c r="BJ115" s="34"/>
      <c r="BK115" s="34" t="s">
        <v>50</v>
      </c>
      <c r="BL115" s="34" t="s">
        <v>167</v>
      </c>
      <c r="BM115" s="34" t="s">
        <v>166</v>
      </c>
      <c r="BN115" s="34">
        <v>43894.356625729168</v>
      </c>
      <c r="BO115" s="34"/>
      <c r="BP115" s="34"/>
      <c r="BQ115" s="34"/>
      <c r="BR115" s="34" t="s">
        <v>165</v>
      </c>
      <c r="BS115" s="34">
        <v>4.02012020168638E+18</v>
      </c>
      <c r="BT115" s="34" t="s">
        <v>164</v>
      </c>
      <c r="BU115" s="34" t="s">
        <v>362</v>
      </c>
      <c r="BV115" s="34">
        <v>2020</v>
      </c>
      <c r="BW115" s="34" t="s">
        <v>163</v>
      </c>
      <c r="BX115" s="34"/>
      <c r="BY115" s="34">
        <v>4.0302202012260301E+18</v>
      </c>
      <c r="BZ115" s="34" t="s">
        <v>1160</v>
      </c>
      <c r="CA115" s="34" t="s">
        <v>161</v>
      </c>
    </row>
    <row r="116" spans="1:79" x14ac:dyDescent="0.25">
      <c r="A116" s="34" t="s">
        <v>374</v>
      </c>
      <c r="B116" s="34" t="s">
        <v>287</v>
      </c>
      <c r="C116" s="34">
        <v>2019</v>
      </c>
      <c r="D116" s="34" t="s">
        <v>422</v>
      </c>
      <c r="E116" s="34">
        <v>2.0200129917472301E+17</v>
      </c>
      <c r="F116" s="34" t="s">
        <v>182</v>
      </c>
      <c r="G116" s="34" t="s">
        <v>1161</v>
      </c>
      <c r="H116" s="34">
        <v>1378435</v>
      </c>
      <c r="I116" s="34"/>
      <c r="J116" s="34" t="s">
        <v>180</v>
      </c>
      <c r="K116" s="34" t="s">
        <v>179</v>
      </c>
      <c r="L116" s="34"/>
      <c r="M116" s="34"/>
      <c r="N116" s="34" t="s">
        <v>905</v>
      </c>
      <c r="O116" s="34" t="s">
        <v>297</v>
      </c>
      <c r="P116" s="34"/>
      <c r="Q116" s="34" t="s">
        <v>296</v>
      </c>
      <c r="R116" s="34" t="s">
        <v>906</v>
      </c>
      <c r="S116" s="34"/>
      <c r="T116" s="34" t="s">
        <v>907</v>
      </c>
      <c r="U116" s="34"/>
      <c r="V116" s="34" t="s">
        <v>949</v>
      </c>
      <c r="W116" s="34"/>
      <c r="X116" s="34" t="s">
        <v>909</v>
      </c>
      <c r="Y116" s="34" t="s">
        <v>47</v>
      </c>
      <c r="Z116" s="34">
        <v>2142</v>
      </c>
      <c r="AA116" s="34" t="s">
        <v>393</v>
      </c>
      <c r="AB116" s="34" t="s">
        <v>393</v>
      </c>
      <c r="AC116" s="34"/>
      <c r="AD116" s="34"/>
      <c r="AE116" s="34"/>
      <c r="AF116" s="34" t="s">
        <v>377</v>
      </c>
      <c r="AG116" s="34"/>
      <c r="AH116" s="34"/>
      <c r="AI116" s="34">
        <v>43814</v>
      </c>
      <c r="AJ116" s="34">
        <v>10</v>
      </c>
      <c r="AK116" s="34">
        <v>142</v>
      </c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 t="s">
        <v>363</v>
      </c>
      <c r="BG116" s="34"/>
      <c r="BH116" s="34"/>
      <c r="BI116" s="34"/>
      <c r="BJ116" s="34"/>
      <c r="BK116" s="34" t="s">
        <v>50</v>
      </c>
      <c r="BL116" s="34" t="s">
        <v>167</v>
      </c>
      <c r="BM116" s="34" t="s">
        <v>166</v>
      </c>
      <c r="BN116" s="34">
        <v>43894.357025694444</v>
      </c>
      <c r="BO116" s="34"/>
      <c r="BP116" s="34"/>
      <c r="BQ116" s="34"/>
      <c r="BR116" s="34" t="s">
        <v>165</v>
      </c>
      <c r="BS116" s="34">
        <v>4.02012020168638E+18</v>
      </c>
      <c r="BT116" s="34" t="s">
        <v>164</v>
      </c>
      <c r="BU116" s="34" t="s">
        <v>1115</v>
      </c>
      <c r="BV116" s="34">
        <v>2020</v>
      </c>
      <c r="BW116" s="34" t="s">
        <v>163</v>
      </c>
      <c r="BX116" s="34"/>
      <c r="BY116" s="34">
        <v>4.0302202012234501E+18</v>
      </c>
      <c r="BZ116" s="34" t="s">
        <v>1111</v>
      </c>
      <c r="CA116" s="34" t="s">
        <v>161</v>
      </c>
    </row>
    <row r="117" spans="1:79" x14ac:dyDescent="0.25">
      <c r="A117" s="34" t="s">
        <v>374</v>
      </c>
      <c r="B117" s="34" t="s">
        <v>287</v>
      </c>
      <c r="C117" s="34">
        <v>2019</v>
      </c>
      <c r="D117" s="34" t="s">
        <v>422</v>
      </c>
      <c r="E117" s="34">
        <v>2.0200129917472301E+17</v>
      </c>
      <c r="F117" s="34" t="s">
        <v>182</v>
      </c>
      <c r="G117" s="34" t="s">
        <v>1162</v>
      </c>
      <c r="H117" s="34">
        <v>1378435</v>
      </c>
      <c r="I117" s="34"/>
      <c r="J117" s="34" t="s">
        <v>180</v>
      </c>
      <c r="K117" s="34" t="s">
        <v>179</v>
      </c>
      <c r="L117" s="34"/>
      <c r="M117" s="34"/>
      <c r="N117" s="34" t="s">
        <v>905</v>
      </c>
      <c r="O117" s="34" t="s">
        <v>297</v>
      </c>
      <c r="P117" s="34"/>
      <c r="Q117" s="34" t="s">
        <v>296</v>
      </c>
      <c r="R117" s="34" t="s">
        <v>906</v>
      </c>
      <c r="S117" s="34"/>
      <c r="T117" s="34" t="s">
        <v>907</v>
      </c>
      <c r="U117" s="34"/>
      <c r="V117" s="34" t="s">
        <v>949</v>
      </c>
      <c r="W117" s="34"/>
      <c r="X117" s="34" t="s">
        <v>909</v>
      </c>
      <c r="Y117" s="34" t="s">
        <v>47</v>
      </c>
      <c r="Z117" s="34">
        <v>2142</v>
      </c>
      <c r="AA117" s="34" t="s">
        <v>393</v>
      </c>
      <c r="AB117" s="34" t="s">
        <v>393</v>
      </c>
      <c r="AC117" s="34"/>
      <c r="AD117" s="34">
        <v>15</v>
      </c>
      <c r="AE117" s="34" t="s">
        <v>169</v>
      </c>
      <c r="AF117" s="34" t="s">
        <v>364</v>
      </c>
      <c r="AG117" s="34"/>
      <c r="AH117" s="34"/>
      <c r="AI117" s="34">
        <v>43661</v>
      </c>
      <c r="AJ117" s="34">
        <v>5</v>
      </c>
      <c r="AK117" s="34">
        <v>367.62</v>
      </c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 t="s">
        <v>363</v>
      </c>
      <c r="BG117" s="34"/>
      <c r="BH117" s="34"/>
      <c r="BI117" s="34"/>
      <c r="BJ117" s="34"/>
      <c r="BK117" s="34" t="s">
        <v>50</v>
      </c>
      <c r="BL117" s="34" t="s">
        <v>167</v>
      </c>
      <c r="BM117" s="34" t="s">
        <v>166</v>
      </c>
      <c r="BN117" s="34">
        <v>43894.358650069444</v>
      </c>
      <c r="BO117" s="34"/>
      <c r="BP117" s="34"/>
      <c r="BQ117" s="34"/>
      <c r="BR117" s="34" t="s">
        <v>165</v>
      </c>
      <c r="BS117" s="34">
        <v>4.02012020168638E+18</v>
      </c>
      <c r="BT117" s="34" t="s">
        <v>164</v>
      </c>
      <c r="BU117" s="34" t="s">
        <v>362</v>
      </c>
      <c r="BV117" s="34">
        <v>2020</v>
      </c>
      <c r="BW117" s="34" t="s">
        <v>163</v>
      </c>
      <c r="BX117" s="34"/>
      <c r="BY117" s="34">
        <v>4.0302202012271299E+18</v>
      </c>
      <c r="BZ117" s="34" t="s">
        <v>1147</v>
      </c>
      <c r="CA117" s="34" t="s">
        <v>161</v>
      </c>
    </row>
    <row r="118" spans="1:79" x14ac:dyDescent="0.25">
      <c r="A118" s="34" t="s">
        <v>374</v>
      </c>
      <c r="B118" s="34" t="s">
        <v>287</v>
      </c>
      <c r="C118" s="34">
        <v>2019</v>
      </c>
      <c r="D118" s="34" t="s">
        <v>422</v>
      </c>
      <c r="E118" s="34">
        <v>2.0200129917472301E+17</v>
      </c>
      <c r="F118" s="34" t="s">
        <v>182</v>
      </c>
      <c r="G118" s="34" t="s">
        <v>1163</v>
      </c>
      <c r="H118" s="34">
        <v>1378435</v>
      </c>
      <c r="I118" s="34"/>
      <c r="J118" s="34" t="s">
        <v>180</v>
      </c>
      <c r="K118" s="34" t="s">
        <v>179</v>
      </c>
      <c r="L118" s="34" t="s">
        <v>903</v>
      </c>
      <c r="M118" s="34"/>
      <c r="N118" s="34" t="s">
        <v>905</v>
      </c>
      <c r="O118" s="34" t="s">
        <v>297</v>
      </c>
      <c r="P118" s="34"/>
      <c r="Q118" s="34" t="s">
        <v>296</v>
      </c>
      <c r="R118" s="34" t="s">
        <v>906</v>
      </c>
      <c r="S118" s="34"/>
      <c r="T118" s="34" t="s">
        <v>907</v>
      </c>
      <c r="U118" s="34"/>
      <c r="V118" s="34" t="s">
        <v>949</v>
      </c>
      <c r="W118" s="34"/>
      <c r="X118" s="34" t="s">
        <v>909</v>
      </c>
      <c r="Y118" s="34" t="s">
        <v>47</v>
      </c>
      <c r="Z118" s="34">
        <v>2142</v>
      </c>
      <c r="AA118" s="34" t="s">
        <v>393</v>
      </c>
      <c r="AB118" s="34" t="s">
        <v>393</v>
      </c>
      <c r="AC118" s="34" t="s">
        <v>903</v>
      </c>
      <c r="AD118" s="34" t="s">
        <v>383</v>
      </c>
      <c r="AE118" s="34" t="s">
        <v>382</v>
      </c>
      <c r="AF118" s="34" t="s">
        <v>377</v>
      </c>
      <c r="AG118" s="34"/>
      <c r="AH118" s="34"/>
      <c r="AI118" s="34">
        <v>43725</v>
      </c>
      <c r="AJ118" s="34">
        <v>10</v>
      </c>
      <c r="AK118" s="34">
        <v>710</v>
      </c>
      <c r="AL118" s="34" t="s">
        <v>973</v>
      </c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 t="s">
        <v>363</v>
      </c>
      <c r="BG118" s="34"/>
      <c r="BH118" s="34"/>
      <c r="BI118" s="34"/>
      <c r="BJ118" s="34"/>
      <c r="BK118" s="34" t="s">
        <v>50</v>
      </c>
      <c r="BL118" s="34" t="s">
        <v>167</v>
      </c>
      <c r="BM118" s="34" t="s">
        <v>166</v>
      </c>
      <c r="BN118" s="34">
        <v>43894.359154907404</v>
      </c>
      <c r="BO118" s="34"/>
      <c r="BP118" s="34"/>
      <c r="BQ118" s="34"/>
      <c r="BR118" s="34" t="s">
        <v>165</v>
      </c>
      <c r="BS118" s="34">
        <v>4.02012020168638E+18</v>
      </c>
      <c r="BT118" s="34" t="s">
        <v>164</v>
      </c>
      <c r="BU118" s="34" t="s">
        <v>974</v>
      </c>
      <c r="BV118" s="34">
        <v>2020</v>
      </c>
      <c r="BW118" s="34" t="s">
        <v>163</v>
      </c>
      <c r="BX118" s="34"/>
      <c r="BY118" s="34">
        <v>4.0302202012343199E+18</v>
      </c>
      <c r="BZ118" s="34" t="s">
        <v>1164</v>
      </c>
      <c r="CA118" s="34" t="s">
        <v>161</v>
      </c>
    </row>
    <row r="119" spans="1:79" x14ac:dyDescent="0.25">
      <c r="A119" s="34" t="s">
        <v>374</v>
      </c>
      <c r="B119" s="34" t="s">
        <v>287</v>
      </c>
      <c r="C119" s="34">
        <v>2019</v>
      </c>
      <c r="D119" s="34" t="s">
        <v>422</v>
      </c>
      <c r="E119" s="34">
        <v>2.0200129917472301E+17</v>
      </c>
      <c r="F119" s="34" t="s">
        <v>182</v>
      </c>
      <c r="G119" s="34" t="s">
        <v>1165</v>
      </c>
      <c r="H119" s="34">
        <v>1378435</v>
      </c>
      <c r="I119" s="34"/>
      <c r="J119" s="34" t="s">
        <v>180</v>
      </c>
      <c r="K119" s="34" t="s">
        <v>179</v>
      </c>
      <c r="L119" s="34"/>
      <c r="M119" s="34"/>
      <c r="N119" s="34" t="s">
        <v>905</v>
      </c>
      <c r="O119" s="34" t="s">
        <v>297</v>
      </c>
      <c r="P119" s="34"/>
      <c r="Q119" s="34" t="s">
        <v>296</v>
      </c>
      <c r="R119" s="34" t="s">
        <v>906</v>
      </c>
      <c r="S119" s="34"/>
      <c r="T119" s="34" t="s">
        <v>907</v>
      </c>
      <c r="U119" s="34"/>
      <c r="V119" s="34" t="s">
        <v>949</v>
      </c>
      <c r="W119" s="34"/>
      <c r="X119" s="34" t="s">
        <v>909</v>
      </c>
      <c r="Y119" s="34" t="s">
        <v>47</v>
      </c>
      <c r="Z119" s="34">
        <v>2142</v>
      </c>
      <c r="AA119" s="34" t="s">
        <v>393</v>
      </c>
      <c r="AB119" s="34" t="s">
        <v>393</v>
      </c>
      <c r="AC119" s="34"/>
      <c r="AD119" s="34"/>
      <c r="AE119" s="34"/>
      <c r="AF119" s="34" t="s">
        <v>377</v>
      </c>
      <c r="AG119" s="34"/>
      <c r="AH119" s="34"/>
      <c r="AI119" s="34">
        <v>43672</v>
      </c>
      <c r="AJ119" s="34">
        <v>50</v>
      </c>
      <c r="AK119" s="34">
        <v>170.2</v>
      </c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 t="s">
        <v>363</v>
      </c>
      <c r="BG119" s="34"/>
      <c r="BH119" s="34"/>
      <c r="BI119" s="34"/>
      <c r="BJ119" s="34"/>
      <c r="BK119" s="34" t="s">
        <v>50</v>
      </c>
      <c r="BL119" s="34" t="s">
        <v>167</v>
      </c>
      <c r="BM119" s="34" t="s">
        <v>166</v>
      </c>
      <c r="BN119" s="34">
        <v>43894.368336435182</v>
      </c>
      <c r="BO119" s="34"/>
      <c r="BP119" s="34"/>
      <c r="BQ119" s="34"/>
      <c r="BR119" s="34" t="s">
        <v>165</v>
      </c>
      <c r="BS119" s="34">
        <v>4.02012020168638E+18</v>
      </c>
      <c r="BT119" s="34" t="s">
        <v>164</v>
      </c>
      <c r="BU119" s="34" t="s">
        <v>1166</v>
      </c>
      <c r="BV119" s="34">
        <v>2020</v>
      </c>
      <c r="BW119" s="34" t="s">
        <v>163</v>
      </c>
      <c r="BX119" s="34"/>
      <c r="BY119" s="34">
        <v>4.03022020121585E+18</v>
      </c>
      <c r="BZ119" s="34" t="s">
        <v>1167</v>
      </c>
      <c r="CA119" s="34" t="s">
        <v>161</v>
      </c>
    </row>
    <row r="120" spans="1:79" x14ac:dyDescent="0.25">
      <c r="A120" s="34" t="s">
        <v>374</v>
      </c>
      <c r="B120" s="34" t="s">
        <v>287</v>
      </c>
      <c r="C120" s="34">
        <v>2019</v>
      </c>
      <c r="D120" s="34" t="s">
        <v>422</v>
      </c>
      <c r="E120" s="34">
        <v>2.0200129917472301E+17</v>
      </c>
      <c r="F120" s="34" t="s">
        <v>182</v>
      </c>
      <c r="G120" s="34" t="s">
        <v>1168</v>
      </c>
      <c r="H120" s="34">
        <v>1378435</v>
      </c>
      <c r="I120" s="34"/>
      <c r="J120" s="34" t="s">
        <v>180</v>
      </c>
      <c r="K120" s="34" t="s">
        <v>179</v>
      </c>
      <c r="L120" s="34"/>
      <c r="M120" s="34"/>
      <c r="N120" s="34" t="s">
        <v>905</v>
      </c>
      <c r="O120" s="34" t="s">
        <v>297</v>
      </c>
      <c r="P120" s="34"/>
      <c r="Q120" s="34" t="s">
        <v>296</v>
      </c>
      <c r="R120" s="34" t="s">
        <v>906</v>
      </c>
      <c r="S120" s="34"/>
      <c r="T120" s="34" t="s">
        <v>907</v>
      </c>
      <c r="U120" s="34"/>
      <c r="V120" s="34" t="s">
        <v>949</v>
      </c>
      <c r="W120" s="34"/>
      <c r="X120" s="34" t="s">
        <v>909</v>
      </c>
      <c r="Y120" s="34" t="s">
        <v>47</v>
      </c>
      <c r="Z120" s="34">
        <v>2142</v>
      </c>
      <c r="AA120" s="34" t="s">
        <v>393</v>
      </c>
      <c r="AB120" s="34" t="s">
        <v>393</v>
      </c>
      <c r="AC120" s="34"/>
      <c r="AD120" s="34">
        <v>15</v>
      </c>
      <c r="AE120" s="34" t="s">
        <v>169</v>
      </c>
      <c r="AF120" s="34" t="s">
        <v>364</v>
      </c>
      <c r="AG120" s="34"/>
      <c r="AH120" s="34"/>
      <c r="AI120" s="34">
        <v>43782</v>
      </c>
      <c r="AJ120" s="34">
        <v>2.5</v>
      </c>
      <c r="AK120" s="34">
        <v>367.62</v>
      </c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 t="s">
        <v>363</v>
      </c>
      <c r="BG120" s="34"/>
      <c r="BH120" s="34"/>
      <c r="BI120" s="34"/>
      <c r="BJ120" s="34"/>
      <c r="BK120" s="34" t="s">
        <v>50</v>
      </c>
      <c r="BL120" s="34" t="s">
        <v>167</v>
      </c>
      <c r="BM120" s="34" t="s">
        <v>166</v>
      </c>
      <c r="BN120" s="34">
        <v>43894.372009965278</v>
      </c>
      <c r="BO120" s="34"/>
      <c r="BP120" s="34"/>
      <c r="BQ120" s="34"/>
      <c r="BR120" s="34" t="s">
        <v>165</v>
      </c>
      <c r="BS120" s="34">
        <v>4.02012020168638E+18</v>
      </c>
      <c r="BT120" s="34" t="s">
        <v>164</v>
      </c>
      <c r="BU120" s="34" t="s">
        <v>362</v>
      </c>
      <c r="BV120" s="34">
        <v>2020</v>
      </c>
      <c r="BW120" s="34" t="s">
        <v>163</v>
      </c>
      <c r="BX120" s="34"/>
      <c r="BY120" s="34">
        <v>4.0302202012229202E+18</v>
      </c>
      <c r="BZ120" s="34" t="s">
        <v>1169</v>
      </c>
      <c r="CA120" s="34" t="s">
        <v>161</v>
      </c>
    </row>
    <row r="121" spans="1:79" x14ac:dyDescent="0.25">
      <c r="A121" s="34" t="s">
        <v>374</v>
      </c>
      <c r="B121" s="34" t="s">
        <v>287</v>
      </c>
      <c r="C121" s="34">
        <v>2019</v>
      </c>
      <c r="D121" s="34" t="s">
        <v>422</v>
      </c>
      <c r="E121" s="34">
        <v>2.0200129917472301E+17</v>
      </c>
      <c r="F121" s="34" t="s">
        <v>182</v>
      </c>
      <c r="G121" s="34" t="s">
        <v>1170</v>
      </c>
      <c r="H121" s="34">
        <v>1378435</v>
      </c>
      <c r="I121" s="34"/>
      <c r="J121" s="34" t="s">
        <v>180</v>
      </c>
      <c r="K121" s="34" t="s">
        <v>179</v>
      </c>
      <c r="L121" s="34" t="s">
        <v>1025</v>
      </c>
      <c r="M121" s="34"/>
      <c r="N121" s="34" t="s">
        <v>905</v>
      </c>
      <c r="O121" s="34" t="s">
        <v>297</v>
      </c>
      <c r="P121" s="34"/>
      <c r="Q121" s="34" t="s">
        <v>296</v>
      </c>
      <c r="R121" s="34" t="s">
        <v>906</v>
      </c>
      <c r="S121" s="34"/>
      <c r="T121" s="34" t="s">
        <v>907</v>
      </c>
      <c r="U121" s="34"/>
      <c r="V121" s="34" t="s">
        <v>949</v>
      </c>
      <c r="W121" s="34"/>
      <c r="X121" s="34" t="s">
        <v>909</v>
      </c>
      <c r="Y121" s="34" t="s">
        <v>47</v>
      </c>
      <c r="Z121" s="34">
        <v>2142</v>
      </c>
      <c r="AA121" s="34" t="s">
        <v>393</v>
      </c>
      <c r="AB121" s="34" t="s">
        <v>393</v>
      </c>
      <c r="AC121" s="34" t="s">
        <v>1025</v>
      </c>
      <c r="AD121" s="34" t="s">
        <v>383</v>
      </c>
      <c r="AE121" s="34" t="s">
        <v>382</v>
      </c>
      <c r="AF121" s="34" t="s">
        <v>377</v>
      </c>
      <c r="AG121" s="34"/>
      <c r="AH121" s="34"/>
      <c r="AI121" s="34">
        <v>43788</v>
      </c>
      <c r="AJ121" s="34">
        <v>50</v>
      </c>
      <c r="AK121" s="34">
        <v>600</v>
      </c>
      <c r="AL121" s="34" t="s">
        <v>1098</v>
      </c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 t="s">
        <v>363</v>
      </c>
      <c r="BG121" s="34"/>
      <c r="BH121" s="34"/>
      <c r="BI121" s="34"/>
      <c r="BJ121" s="34"/>
      <c r="BK121" s="34" t="s">
        <v>50</v>
      </c>
      <c r="BL121" s="34" t="s">
        <v>167</v>
      </c>
      <c r="BM121" s="34" t="s">
        <v>166</v>
      </c>
      <c r="BN121" s="34">
        <v>43894.371915254633</v>
      </c>
      <c r="BO121" s="34"/>
      <c r="BP121" s="34"/>
      <c r="BQ121" s="34"/>
      <c r="BR121" s="34" t="s">
        <v>165</v>
      </c>
      <c r="BS121" s="34">
        <v>4.02012020168638E+18</v>
      </c>
      <c r="BT121" s="34" t="s">
        <v>164</v>
      </c>
      <c r="BU121" s="34" t="s">
        <v>1099</v>
      </c>
      <c r="BV121" s="34">
        <v>2020</v>
      </c>
      <c r="BW121" s="34" t="s">
        <v>163</v>
      </c>
      <c r="BX121" s="34"/>
      <c r="BY121" s="34">
        <v>4.0302202012230298E+18</v>
      </c>
      <c r="BZ121" s="34" t="s">
        <v>1171</v>
      </c>
      <c r="CA121" s="34" t="s">
        <v>161</v>
      </c>
    </row>
    <row r="122" spans="1:79" x14ac:dyDescent="0.25">
      <c r="A122" s="34" t="s">
        <v>374</v>
      </c>
      <c r="B122" s="34" t="s">
        <v>287</v>
      </c>
      <c r="C122" s="34">
        <v>2019</v>
      </c>
      <c r="D122" s="34" t="s">
        <v>422</v>
      </c>
      <c r="E122" s="34">
        <v>2.0200129917472301E+17</v>
      </c>
      <c r="F122" s="34" t="s">
        <v>182</v>
      </c>
      <c r="G122" s="34" t="s">
        <v>1172</v>
      </c>
      <c r="H122" s="34">
        <v>1378435</v>
      </c>
      <c r="I122" s="34"/>
      <c r="J122" s="34" t="s">
        <v>180</v>
      </c>
      <c r="K122" s="34" t="s">
        <v>179</v>
      </c>
      <c r="L122" s="34" t="s">
        <v>903</v>
      </c>
      <c r="M122" s="34"/>
      <c r="N122" s="34" t="s">
        <v>905</v>
      </c>
      <c r="O122" s="34" t="s">
        <v>297</v>
      </c>
      <c r="P122" s="34"/>
      <c r="Q122" s="34" t="s">
        <v>296</v>
      </c>
      <c r="R122" s="34" t="s">
        <v>906</v>
      </c>
      <c r="S122" s="34"/>
      <c r="T122" s="34" t="s">
        <v>907</v>
      </c>
      <c r="U122" s="34"/>
      <c r="V122" s="34" t="s">
        <v>949</v>
      </c>
      <c r="W122" s="34"/>
      <c r="X122" s="34" t="s">
        <v>909</v>
      </c>
      <c r="Y122" s="34" t="s">
        <v>47</v>
      </c>
      <c r="Z122" s="34">
        <v>2142</v>
      </c>
      <c r="AA122" s="34" t="s">
        <v>393</v>
      </c>
      <c r="AB122" s="34" t="s">
        <v>393</v>
      </c>
      <c r="AC122" s="34" t="s">
        <v>903</v>
      </c>
      <c r="AD122" s="34" t="s">
        <v>383</v>
      </c>
      <c r="AE122" s="34" t="s">
        <v>382</v>
      </c>
      <c r="AF122" s="34" t="s">
        <v>377</v>
      </c>
      <c r="AG122" s="34"/>
      <c r="AH122" s="34"/>
      <c r="AI122" s="34">
        <v>43735</v>
      </c>
      <c r="AJ122" s="34">
        <v>50</v>
      </c>
      <c r="AK122" s="34">
        <v>710</v>
      </c>
      <c r="AL122" s="34" t="s">
        <v>973</v>
      </c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 t="s">
        <v>363</v>
      </c>
      <c r="BG122" s="34"/>
      <c r="BH122" s="34"/>
      <c r="BI122" s="34"/>
      <c r="BJ122" s="34"/>
      <c r="BK122" s="34" t="s">
        <v>50</v>
      </c>
      <c r="BL122" s="34" t="s">
        <v>167</v>
      </c>
      <c r="BM122" s="34" t="s">
        <v>166</v>
      </c>
      <c r="BN122" s="34">
        <v>43894.381875370367</v>
      </c>
      <c r="BO122" s="34"/>
      <c r="BP122" s="34"/>
      <c r="BQ122" s="34"/>
      <c r="BR122" s="34" t="s">
        <v>165</v>
      </c>
      <c r="BS122" s="34">
        <v>4.02012020168638E+18</v>
      </c>
      <c r="BT122" s="34" t="s">
        <v>164</v>
      </c>
      <c r="BU122" s="34" t="s">
        <v>974</v>
      </c>
      <c r="BV122" s="34">
        <v>2020</v>
      </c>
      <c r="BW122" s="34" t="s">
        <v>163</v>
      </c>
      <c r="BX122" s="34"/>
      <c r="BY122" s="34">
        <v>4.0302202012151301E+18</v>
      </c>
      <c r="BZ122" s="34" t="s">
        <v>1096</v>
      </c>
      <c r="CA122" s="34" t="s">
        <v>161</v>
      </c>
    </row>
    <row r="123" spans="1:79" x14ac:dyDescent="0.25">
      <c r="A123" s="34" t="s">
        <v>374</v>
      </c>
      <c r="B123" s="34" t="s">
        <v>287</v>
      </c>
      <c r="C123" s="34">
        <v>2019</v>
      </c>
      <c r="D123" s="34" t="s">
        <v>422</v>
      </c>
      <c r="E123" s="34">
        <v>2.0200129917472301E+17</v>
      </c>
      <c r="F123" s="34" t="s">
        <v>182</v>
      </c>
      <c r="G123" s="34" t="s">
        <v>1173</v>
      </c>
      <c r="H123" s="34">
        <v>1378435</v>
      </c>
      <c r="I123" s="34"/>
      <c r="J123" s="34" t="s">
        <v>180</v>
      </c>
      <c r="K123" s="34" t="s">
        <v>179</v>
      </c>
      <c r="L123" s="34"/>
      <c r="M123" s="34"/>
      <c r="N123" s="34" t="s">
        <v>905</v>
      </c>
      <c r="O123" s="34" t="s">
        <v>297</v>
      </c>
      <c r="P123" s="34"/>
      <c r="Q123" s="34" t="s">
        <v>296</v>
      </c>
      <c r="R123" s="34" t="s">
        <v>906</v>
      </c>
      <c r="S123" s="34"/>
      <c r="T123" s="34" t="s">
        <v>907</v>
      </c>
      <c r="U123" s="34"/>
      <c r="V123" s="34" t="s">
        <v>949</v>
      </c>
      <c r="W123" s="34"/>
      <c r="X123" s="34" t="s">
        <v>909</v>
      </c>
      <c r="Y123" s="34" t="s">
        <v>47</v>
      </c>
      <c r="Z123" s="34">
        <v>2142</v>
      </c>
      <c r="AA123" s="34" t="s">
        <v>393</v>
      </c>
      <c r="AB123" s="34" t="s">
        <v>393</v>
      </c>
      <c r="AC123" s="34"/>
      <c r="AD123" s="34"/>
      <c r="AE123" s="34"/>
      <c r="AF123" s="34" t="s">
        <v>377</v>
      </c>
      <c r="AG123" s="34"/>
      <c r="AH123" s="34"/>
      <c r="AI123" s="34">
        <v>43677</v>
      </c>
      <c r="AJ123" s="34">
        <v>12.5</v>
      </c>
      <c r="AK123" s="34">
        <v>12.5</v>
      </c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 t="s">
        <v>363</v>
      </c>
      <c r="BG123" s="34"/>
      <c r="BH123" s="34"/>
      <c r="BI123" s="34"/>
      <c r="BJ123" s="34"/>
      <c r="BK123" s="34" t="s">
        <v>50</v>
      </c>
      <c r="BL123" s="34" t="s">
        <v>167</v>
      </c>
      <c r="BM123" s="34" t="s">
        <v>166</v>
      </c>
      <c r="BN123" s="34">
        <v>43894.382321157405</v>
      </c>
      <c r="BO123" s="34"/>
      <c r="BP123" s="34"/>
      <c r="BQ123" s="34"/>
      <c r="BR123" s="34" t="s">
        <v>165</v>
      </c>
      <c r="BS123" s="34">
        <v>4.02012020168638E+18</v>
      </c>
      <c r="BT123" s="34" t="s">
        <v>164</v>
      </c>
      <c r="BU123" s="34" t="s">
        <v>1174</v>
      </c>
      <c r="BV123" s="34">
        <v>2020</v>
      </c>
      <c r="BW123" s="34" t="s">
        <v>163</v>
      </c>
      <c r="BX123" s="34"/>
      <c r="BY123" s="34">
        <v>4.0302202012162202E+18</v>
      </c>
      <c r="BZ123" s="34" t="s">
        <v>1175</v>
      </c>
      <c r="CA123" s="34" t="s">
        <v>161</v>
      </c>
    </row>
    <row r="124" spans="1:79" x14ac:dyDescent="0.25">
      <c r="A124" s="34" t="s">
        <v>374</v>
      </c>
      <c r="B124" s="34" t="s">
        <v>287</v>
      </c>
      <c r="C124" s="34">
        <v>2019</v>
      </c>
      <c r="D124" s="34" t="s">
        <v>422</v>
      </c>
      <c r="E124" s="34">
        <v>2.0200129917472301E+17</v>
      </c>
      <c r="F124" s="34" t="s">
        <v>182</v>
      </c>
      <c r="G124" s="34" t="s">
        <v>1176</v>
      </c>
      <c r="H124" s="34">
        <v>1378435</v>
      </c>
      <c r="I124" s="34"/>
      <c r="J124" s="34" t="s">
        <v>180</v>
      </c>
      <c r="K124" s="34" t="s">
        <v>179</v>
      </c>
      <c r="L124" s="34"/>
      <c r="M124" s="34"/>
      <c r="N124" s="34" t="s">
        <v>905</v>
      </c>
      <c r="O124" s="34" t="s">
        <v>297</v>
      </c>
      <c r="P124" s="34"/>
      <c r="Q124" s="34" t="s">
        <v>296</v>
      </c>
      <c r="R124" s="34" t="s">
        <v>906</v>
      </c>
      <c r="S124" s="34"/>
      <c r="T124" s="34" t="s">
        <v>907</v>
      </c>
      <c r="U124" s="34"/>
      <c r="V124" s="34" t="s">
        <v>949</v>
      </c>
      <c r="W124" s="34"/>
      <c r="X124" s="34" t="s">
        <v>909</v>
      </c>
      <c r="Y124" s="34" t="s">
        <v>47</v>
      </c>
      <c r="Z124" s="34">
        <v>2142</v>
      </c>
      <c r="AA124" s="34" t="s">
        <v>393</v>
      </c>
      <c r="AB124" s="34" t="s">
        <v>393</v>
      </c>
      <c r="AC124" s="34"/>
      <c r="AD124" s="34"/>
      <c r="AE124" s="34"/>
      <c r="AF124" s="34" t="s">
        <v>377</v>
      </c>
      <c r="AG124" s="34"/>
      <c r="AH124" s="34"/>
      <c r="AI124" s="34">
        <v>43723</v>
      </c>
      <c r="AJ124" s="34">
        <v>10</v>
      </c>
      <c r="AK124" s="34">
        <v>142</v>
      </c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 t="s">
        <v>363</v>
      </c>
      <c r="BG124" s="34"/>
      <c r="BH124" s="34"/>
      <c r="BI124" s="34"/>
      <c r="BJ124" s="34"/>
      <c r="BK124" s="34" t="s">
        <v>50</v>
      </c>
      <c r="BL124" s="34" t="s">
        <v>167</v>
      </c>
      <c r="BM124" s="34" t="s">
        <v>166</v>
      </c>
      <c r="BN124" s="34">
        <v>43894.382907268518</v>
      </c>
      <c r="BO124" s="34"/>
      <c r="BP124" s="34"/>
      <c r="BQ124" s="34"/>
      <c r="BR124" s="34" t="s">
        <v>165</v>
      </c>
      <c r="BS124" s="34">
        <v>4.02012020168638E+18</v>
      </c>
      <c r="BT124" s="34" t="s">
        <v>164</v>
      </c>
      <c r="BU124" s="34" t="s">
        <v>1115</v>
      </c>
      <c r="BV124" s="34">
        <v>2020</v>
      </c>
      <c r="BW124" s="34" t="s">
        <v>163</v>
      </c>
      <c r="BX124" s="34"/>
      <c r="BY124" s="34">
        <v>4.0302202012166098E+18</v>
      </c>
      <c r="BZ124" s="34" t="s">
        <v>1177</v>
      </c>
      <c r="CA124" s="34" t="s">
        <v>161</v>
      </c>
    </row>
    <row r="125" spans="1:79" x14ac:dyDescent="0.25">
      <c r="A125" s="34" t="s">
        <v>374</v>
      </c>
      <c r="B125" s="34" t="s">
        <v>287</v>
      </c>
      <c r="C125" s="34">
        <v>2019</v>
      </c>
      <c r="D125" s="34" t="s">
        <v>422</v>
      </c>
      <c r="E125" s="34">
        <v>2.0200129917472301E+17</v>
      </c>
      <c r="F125" s="34" t="s">
        <v>182</v>
      </c>
      <c r="G125" s="34" t="s">
        <v>1178</v>
      </c>
      <c r="H125" s="34">
        <v>1378435</v>
      </c>
      <c r="I125" s="34"/>
      <c r="J125" s="34" t="s">
        <v>180</v>
      </c>
      <c r="K125" s="34" t="s">
        <v>179</v>
      </c>
      <c r="L125" s="34"/>
      <c r="M125" s="34"/>
      <c r="N125" s="34" t="s">
        <v>905</v>
      </c>
      <c r="O125" s="34" t="s">
        <v>297</v>
      </c>
      <c r="P125" s="34"/>
      <c r="Q125" s="34" t="s">
        <v>296</v>
      </c>
      <c r="R125" s="34" t="s">
        <v>906</v>
      </c>
      <c r="S125" s="34"/>
      <c r="T125" s="34" t="s">
        <v>907</v>
      </c>
      <c r="U125" s="34"/>
      <c r="V125" s="34" t="s">
        <v>949</v>
      </c>
      <c r="W125" s="34"/>
      <c r="X125" s="34" t="s">
        <v>909</v>
      </c>
      <c r="Y125" s="34" t="s">
        <v>47</v>
      </c>
      <c r="Z125" s="34">
        <v>2142</v>
      </c>
      <c r="AA125" s="34" t="s">
        <v>393</v>
      </c>
      <c r="AB125" s="34" t="s">
        <v>393</v>
      </c>
      <c r="AC125" s="34"/>
      <c r="AD125" s="34"/>
      <c r="AE125" s="34"/>
      <c r="AF125" s="34" t="s">
        <v>377</v>
      </c>
      <c r="AG125" s="34"/>
      <c r="AH125" s="34"/>
      <c r="AI125" s="34">
        <v>43737</v>
      </c>
      <c r="AJ125" s="34">
        <v>20</v>
      </c>
      <c r="AK125" s="34">
        <v>52.5</v>
      </c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 t="s">
        <v>363</v>
      </c>
      <c r="BG125" s="34"/>
      <c r="BH125" s="34"/>
      <c r="BI125" s="34"/>
      <c r="BJ125" s="34"/>
      <c r="BK125" s="34" t="s">
        <v>50</v>
      </c>
      <c r="BL125" s="34" t="s">
        <v>167</v>
      </c>
      <c r="BM125" s="34" t="s">
        <v>166</v>
      </c>
      <c r="BN125" s="34">
        <v>43894.386989965278</v>
      </c>
      <c r="BO125" s="34"/>
      <c r="BP125" s="34"/>
      <c r="BQ125" s="34"/>
      <c r="BR125" s="34" t="s">
        <v>165</v>
      </c>
      <c r="BS125" s="34">
        <v>4.02012020168638E+18</v>
      </c>
      <c r="BT125" s="34" t="s">
        <v>164</v>
      </c>
      <c r="BU125" s="34" t="s">
        <v>650</v>
      </c>
      <c r="BV125" s="34">
        <v>2020</v>
      </c>
      <c r="BW125" s="34" t="s">
        <v>163</v>
      </c>
      <c r="BX125" s="34"/>
      <c r="BY125" s="34">
        <v>4.0302202012190899E+18</v>
      </c>
      <c r="BZ125" s="34" t="s">
        <v>1179</v>
      </c>
      <c r="CA125" s="34" t="s">
        <v>161</v>
      </c>
    </row>
    <row r="126" spans="1:79" x14ac:dyDescent="0.25">
      <c r="A126" s="34" t="s">
        <v>374</v>
      </c>
      <c r="B126" s="34" t="s">
        <v>287</v>
      </c>
      <c r="C126" s="34">
        <v>2019</v>
      </c>
      <c r="D126" s="34" t="s">
        <v>422</v>
      </c>
      <c r="E126" s="34">
        <v>2.0200129917472301E+17</v>
      </c>
      <c r="F126" s="34" t="s">
        <v>182</v>
      </c>
      <c r="G126" s="34" t="s">
        <v>1180</v>
      </c>
      <c r="H126" s="34">
        <v>1378435</v>
      </c>
      <c r="I126" s="34"/>
      <c r="J126" s="34" t="s">
        <v>180</v>
      </c>
      <c r="K126" s="34" t="s">
        <v>179</v>
      </c>
      <c r="L126" s="34"/>
      <c r="M126" s="34"/>
      <c r="N126" s="34" t="s">
        <v>905</v>
      </c>
      <c r="O126" s="34" t="s">
        <v>297</v>
      </c>
      <c r="P126" s="34"/>
      <c r="Q126" s="34" t="s">
        <v>296</v>
      </c>
      <c r="R126" s="34" t="s">
        <v>906</v>
      </c>
      <c r="S126" s="34"/>
      <c r="T126" s="34" t="s">
        <v>907</v>
      </c>
      <c r="U126" s="34"/>
      <c r="V126" s="34" t="s">
        <v>949</v>
      </c>
      <c r="W126" s="34"/>
      <c r="X126" s="34" t="s">
        <v>909</v>
      </c>
      <c r="Y126" s="34" t="s">
        <v>47</v>
      </c>
      <c r="Z126" s="34">
        <v>2142</v>
      </c>
      <c r="AA126" s="34" t="s">
        <v>393</v>
      </c>
      <c r="AB126" s="34" t="s">
        <v>393</v>
      </c>
      <c r="AC126" s="34"/>
      <c r="AD126" s="34">
        <v>15</v>
      </c>
      <c r="AE126" s="34" t="s">
        <v>169</v>
      </c>
      <c r="AF126" s="34" t="s">
        <v>364</v>
      </c>
      <c r="AG126" s="34"/>
      <c r="AH126" s="34"/>
      <c r="AI126" s="34">
        <v>43672</v>
      </c>
      <c r="AJ126" s="34">
        <v>5</v>
      </c>
      <c r="AK126" s="34">
        <v>367.62</v>
      </c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 t="s">
        <v>363</v>
      </c>
      <c r="BG126" s="34"/>
      <c r="BH126" s="34"/>
      <c r="BI126" s="34"/>
      <c r="BJ126" s="34"/>
      <c r="BK126" s="34" t="s">
        <v>50</v>
      </c>
      <c r="BL126" s="34" t="s">
        <v>167</v>
      </c>
      <c r="BM126" s="34" t="s">
        <v>166</v>
      </c>
      <c r="BN126" s="34">
        <v>43894.38844116898</v>
      </c>
      <c r="BO126" s="34"/>
      <c r="BP126" s="34"/>
      <c r="BQ126" s="34"/>
      <c r="BR126" s="34" t="s">
        <v>165</v>
      </c>
      <c r="BS126" s="34">
        <v>4.02012020168638E+18</v>
      </c>
      <c r="BT126" s="34" t="s">
        <v>164</v>
      </c>
      <c r="BU126" s="34" t="s">
        <v>362</v>
      </c>
      <c r="BV126" s="34">
        <v>2020</v>
      </c>
      <c r="BW126" s="34" t="s">
        <v>163</v>
      </c>
      <c r="BX126" s="34"/>
      <c r="BY126" s="34">
        <v>4.0302202012211098E+18</v>
      </c>
      <c r="BZ126" s="34" t="s">
        <v>1167</v>
      </c>
      <c r="CA126" s="34" t="s">
        <v>161</v>
      </c>
    </row>
    <row r="127" spans="1:79" x14ac:dyDescent="0.25">
      <c r="A127" s="34" t="s">
        <v>374</v>
      </c>
      <c r="B127" s="34" t="s">
        <v>287</v>
      </c>
      <c r="C127" s="34">
        <v>2019</v>
      </c>
      <c r="D127" s="34" t="s">
        <v>422</v>
      </c>
      <c r="E127" s="34">
        <v>2.0200129917472301E+17</v>
      </c>
      <c r="F127" s="34" t="s">
        <v>182</v>
      </c>
      <c r="G127" s="34" t="s">
        <v>1181</v>
      </c>
      <c r="H127" s="34">
        <v>1378435</v>
      </c>
      <c r="I127" s="34"/>
      <c r="J127" s="34" t="s">
        <v>180</v>
      </c>
      <c r="K127" s="34" t="s">
        <v>179</v>
      </c>
      <c r="L127" s="34"/>
      <c r="M127" s="34"/>
      <c r="N127" s="34" t="s">
        <v>905</v>
      </c>
      <c r="O127" s="34" t="s">
        <v>297</v>
      </c>
      <c r="P127" s="34"/>
      <c r="Q127" s="34" t="s">
        <v>296</v>
      </c>
      <c r="R127" s="34" t="s">
        <v>906</v>
      </c>
      <c r="S127" s="34"/>
      <c r="T127" s="34" t="s">
        <v>907</v>
      </c>
      <c r="U127" s="34"/>
      <c r="V127" s="34" t="s">
        <v>949</v>
      </c>
      <c r="W127" s="34"/>
      <c r="X127" s="34" t="s">
        <v>909</v>
      </c>
      <c r="Y127" s="34" t="s">
        <v>47</v>
      </c>
      <c r="Z127" s="34">
        <v>2142</v>
      </c>
      <c r="AA127" s="34" t="s">
        <v>393</v>
      </c>
      <c r="AB127" s="34" t="s">
        <v>393</v>
      </c>
      <c r="AC127" s="34"/>
      <c r="AD127" s="34"/>
      <c r="AE127" s="34"/>
      <c r="AF127" s="34" t="s">
        <v>377</v>
      </c>
      <c r="AG127" s="34"/>
      <c r="AH127" s="34"/>
      <c r="AI127" s="34">
        <v>43672</v>
      </c>
      <c r="AJ127" s="34">
        <v>25</v>
      </c>
      <c r="AK127" s="34">
        <v>125</v>
      </c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 t="s">
        <v>363</v>
      </c>
      <c r="BG127" s="34"/>
      <c r="BH127" s="34"/>
      <c r="BI127" s="34"/>
      <c r="BJ127" s="34"/>
      <c r="BK127" s="34" t="s">
        <v>50</v>
      </c>
      <c r="BL127" s="34" t="s">
        <v>167</v>
      </c>
      <c r="BM127" s="34" t="s">
        <v>166</v>
      </c>
      <c r="BN127" s="34">
        <v>43894.388441180556</v>
      </c>
      <c r="BO127" s="34"/>
      <c r="BP127" s="34"/>
      <c r="BQ127" s="34"/>
      <c r="BR127" s="34" t="s">
        <v>165</v>
      </c>
      <c r="BS127" s="34">
        <v>4.02012020168638E+18</v>
      </c>
      <c r="BT127" s="34" t="s">
        <v>164</v>
      </c>
      <c r="BU127" s="34" t="s">
        <v>952</v>
      </c>
      <c r="BV127" s="34">
        <v>2020</v>
      </c>
      <c r="BW127" s="34" t="s">
        <v>163</v>
      </c>
      <c r="BX127" s="34"/>
      <c r="BY127" s="34">
        <v>4.0302202012211098E+18</v>
      </c>
      <c r="BZ127" s="34" t="s">
        <v>1182</v>
      </c>
      <c r="CA127" s="34" t="s">
        <v>161</v>
      </c>
    </row>
    <row r="128" spans="1:79" x14ac:dyDescent="0.25">
      <c r="A128" s="34" t="s">
        <v>374</v>
      </c>
      <c r="B128" s="34" t="s">
        <v>287</v>
      </c>
      <c r="C128" s="34">
        <v>2019</v>
      </c>
      <c r="D128" s="34" t="s">
        <v>422</v>
      </c>
      <c r="E128" s="34">
        <v>2.0200129917472301E+17</v>
      </c>
      <c r="F128" s="34" t="s">
        <v>182</v>
      </c>
      <c r="G128" s="34" t="s">
        <v>1183</v>
      </c>
      <c r="H128" s="34">
        <v>1378435</v>
      </c>
      <c r="I128" s="34"/>
      <c r="J128" s="34" t="s">
        <v>180</v>
      </c>
      <c r="K128" s="34" t="s">
        <v>179</v>
      </c>
      <c r="L128" s="34"/>
      <c r="M128" s="34"/>
      <c r="N128" s="34" t="s">
        <v>905</v>
      </c>
      <c r="O128" s="34" t="s">
        <v>297</v>
      </c>
      <c r="P128" s="34"/>
      <c r="Q128" s="34" t="s">
        <v>296</v>
      </c>
      <c r="R128" s="34" t="s">
        <v>906</v>
      </c>
      <c r="S128" s="34"/>
      <c r="T128" s="34" t="s">
        <v>907</v>
      </c>
      <c r="U128" s="34"/>
      <c r="V128" s="34" t="s">
        <v>949</v>
      </c>
      <c r="W128" s="34"/>
      <c r="X128" s="34" t="s">
        <v>909</v>
      </c>
      <c r="Y128" s="34" t="s">
        <v>47</v>
      </c>
      <c r="Z128" s="34">
        <v>2142</v>
      </c>
      <c r="AA128" s="34" t="s">
        <v>393</v>
      </c>
      <c r="AB128" s="34" t="s">
        <v>393</v>
      </c>
      <c r="AC128" s="34"/>
      <c r="AD128" s="34"/>
      <c r="AE128" s="34"/>
      <c r="AF128" s="34" t="s">
        <v>377</v>
      </c>
      <c r="AG128" s="34"/>
      <c r="AH128" s="34"/>
      <c r="AI128" s="34">
        <v>43662</v>
      </c>
      <c r="AJ128" s="34">
        <v>25</v>
      </c>
      <c r="AK128" s="34">
        <v>130</v>
      </c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 t="s">
        <v>363</v>
      </c>
      <c r="BG128" s="34"/>
      <c r="BH128" s="34"/>
      <c r="BI128" s="34"/>
      <c r="BJ128" s="34"/>
      <c r="BK128" s="34" t="s">
        <v>50</v>
      </c>
      <c r="BL128" s="34" t="s">
        <v>167</v>
      </c>
      <c r="BM128" s="34" t="s">
        <v>166</v>
      </c>
      <c r="BN128" s="34">
        <v>43894.389288020837</v>
      </c>
      <c r="BO128" s="34"/>
      <c r="BP128" s="34"/>
      <c r="BQ128" s="34"/>
      <c r="BR128" s="34" t="s">
        <v>165</v>
      </c>
      <c r="BS128" s="34">
        <v>4.02012020168638E+18</v>
      </c>
      <c r="BT128" s="34" t="s">
        <v>164</v>
      </c>
      <c r="BU128" s="34" t="s">
        <v>1184</v>
      </c>
      <c r="BV128" s="34">
        <v>2020</v>
      </c>
      <c r="BW128" s="34" t="s">
        <v>163</v>
      </c>
      <c r="BX128" s="34"/>
      <c r="BY128" s="34">
        <v>4.03022020122097E+18</v>
      </c>
      <c r="BZ128" s="34" t="s">
        <v>1126</v>
      </c>
      <c r="CA128" s="34" t="s">
        <v>161</v>
      </c>
    </row>
    <row r="129" spans="1:79" x14ac:dyDescent="0.25">
      <c r="A129" s="34" t="s">
        <v>374</v>
      </c>
      <c r="B129" s="34" t="s">
        <v>287</v>
      </c>
      <c r="C129" s="34">
        <v>2019</v>
      </c>
      <c r="D129" s="34" t="s">
        <v>422</v>
      </c>
      <c r="E129" s="34">
        <v>2.0200129917472301E+17</v>
      </c>
      <c r="F129" s="34" t="s">
        <v>182</v>
      </c>
      <c r="G129" s="34" t="s">
        <v>1185</v>
      </c>
      <c r="H129" s="34">
        <v>1378435</v>
      </c>
      <c r="I129" s="34"/>
      <c r="J129" s="34" t="s">
        <v>180</v>
      </c>
      <c r="K129" s="34" t="s">
        <v>179</v>
      </c>
      <c r="L129" s="34"/>
      <c r="M129" s="34"/>
      <c r="N129" s="34" t="s">
        <v>905</v>
      </c>
      <c r="O129" s="34" t="s">
        <v>297</v>
      </c>
      <c r="P129" s="34"/>
      <c r="Q129" s="34" t="s">
        <v>296</v>
      </c>
      <c r="R129" s="34" t="s">
        <v>906</v>
      </c>
      <c r="S129" s="34"/>
      <c r="T129" s="34" t="s">
        <v>907</v>
      </c>
      <c r="U129" s="34"/>
      <c r="V129" s="34" t="s">
        <v>949</v>
      </c>
      <c r="W129" s="34"/>
      <c r="X129" s="34" t="s">
        <v>909</v>
      </c>
      <c r="Y129" s="34" t="s">
        <v>47</v>
      </c>
      <c r="Z129" s="34">
        <v>2142</v>
      </c>
      <c r="AA129" s="34" t="s">
        <v>393</v>
      </c>
      <c r="AB129" s="34" t="s">
        <v>393</v>
      </c>
      <c r="AC129" s="34"/>
      <c r="AD129" s="34"/>
      <c r="AE129" s="34"/>
      <c r="AF129" s="34" t="s">
        <v>377</v>
      </c>
      <c r="AG129" s="34"/>
      <c r="AH129" s="34"/>
      <c r="AI129" s="34">
        <v>43697</v>
      </c>
      <c r="AJ129" s="34">
        <v>25</v>
      </c>
      <c r="AK129" s="34">
        <v>37.5</v>
      </c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 t="s">
        <v>363</v>
      </c>
      <c r="BG129" s="34"/>
      <c r="BH129" s="34"/>
      <c r="BI129" s="34"/>
      <c r="BJ129" s="34"/>
      <c r="BK129" s="34" t="s">
        <v>50</v>
      </c>
      <c r="BL129" s="34" t="s">
        <v>167</v>
      </c>
      <c r="BM129" s="34" t="s">
        <v>166</v>
      </c>
      <c r="BN129" s="34">
        <v>43894.389319456015</v>
      </c>
      <c r="BO129" s="34"/>
      <c r="BP129" s="34"/>
      <c r="BQ129" s="34"/>
      <c r="BR129" s="34" t="s">
        <v>165</v>
      </c>
      <c r="BS129" s="34">
        <v>4.02012020168638E+18</v>
      </c>
      <c r="BT129" s="34" t="s">
        <v>164</v>
      </c>
      <c r="BU129" s="34" t="s">
        <v>684</v>
      </c>
      <c r="BV129" s="34">
        <v>2020</v>
      </c>
      <c r="BW129" s="34" t="s">
        <v>163</v>
      </c>
      <c r="BX129" s="34"/>
      <c r="BY129" s="34">
        <v>4.0302202012215501E+18</v>
      </c>
      <c r="BZ129" s="34" t="s">
        <v>1138</v>
      </c>
      <c r="CA129" s="34" t="s">
        <v>161</v>
      </c>
    </row>
    <row r="130" spans="1:79" x14ac:dyDescent="0.25">
      <c r="A130" s="34" t="s">
        <v>374</v>
      </c>
      <c r="B130" s="34" t="s">
        <v>287</v>
      </c>
      <c r="C130" s="34">
        <v>2019</v>
      </c>
      <c r="D130" s="34" t="s">
        <v>422</v>
      </c>
      <c r="E130" s="34">
        <v>2.0200129917472301E+17</v>
      </c>
      <c r="F130" s="34" t="s">
        <v>182</v>
      </c>
      <c r="G130" s="34" t="s">
        <v>1186</v>
      </c>
      <c r="H130" s="34">
        <v>1378435</v>
      </c>
      <c r="I130" s="34"/>
      <c r="J130" s="34" t="s">
        <v>180</v>
      </c>
      <c r="K130" s="34" t="s">
        <v>179</v>
      </c>
      <c r="L130" s="34"/>
      <c r="M130" s="34"/>
      <c r="N130" s="34" t="s">
        <v>905</v>
      </c>
      <c r="O130" s="34" t="s">
        <v>297</v>
      </c>
      <c r="P130" s="34"/>
      <c r="Q130" s="34" t="s">
        <v>296</v>
      </c>
      <c r="R130" s="34" t="s">
        <v>906</v>
      </c>
      <c r="S130" s="34"/>
      <c r="T130" s="34" t="s">
        <v>907</v>
      </c>
      <c r="U130" s="34"/>
      <c r="V130" s="34" t="s">
        <v>949</v>
      </c>
      <c r="W130" s="34"/>
      <c r="X130" s="34" t="s">
        <v>909</v>
      </c>
      <c r="Y130" s="34" t="s">
        <v>47</v>
      </c>
      <c r="Z130" s="34">
        <v>2142</v>
      </c>
      <c r="AA130" s="34" t="s">
        <v>393</v>
      </c>
      <c r="AB130" s="34" t="s">
        <v>393</v>
      </c>
      <c r="AC130" s="34"/>
      <c r="AD130" s="34">
        <v>15</v>
      </c>
      <c r="AE130" s="34" t="s">
        <v>169</v>
      </c>
      <c r="AF130" s="34" t="s">
        <v>364</v>
      </c>
      <c r="AG130" s="34"/>
      <c r="AH130" s="34"/>
      <c r="AI130" s="34">
        <v>43704</v>
      </c>
      <c r="AJ130" s="34">
        <v>2</v>
      </c>
      <c r="AK130" s="34">
        <v>367.62</v>
      </c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 t="s">
        <v>363</v>
      </c>
      <c r="BG130" s="34"/>
      <c r="BH130" s="34"/>
      <c r="BI130" s="34"/>
      <c r="BJ130" s="34"/>
      <c r="BK130" s="34" t="s">
        <v>50</v>
      </c>
      <c r="BL130" s="34" t="s">
        <v>167</v>
      </c>
      <c r="BM130" s="34" t="s">
        <v>166</v>
      </c>
      <c r="BN130" s="34">
        <v>43894.389715590281</v>
      </c>
      <c r="BO130" s="34"/>
      <c r="BP130" s="34"/>
      <c r="BQ130" s="34"/>
      <c r="BR130" s="34" t="s">
        <v>165</v>
      </c>
      <c r="BS130" s="34">
        <v>4.02012020168638E+18</v>
      </c>
      <c r="BT130" s="34" t="s">
        <v>164</v>
      </c>
      <c r="BU130" s="34" t="s">
        <v>362</v>
      </c>
      <c r="BV130" s="34">
        <v>2020</v>
      </c>
      <c r="BW130" s="34" t="s">
        <v>163</v>
      </c>
      <c r="BX130" s="34"/>
      <c r="BY130" s="34">
        <v>4.0302202012216499E+18</v>
      </c>
      <c r="BZ130" s="34" t="s">
        <v>1187</v>
      </c>
      <c r="CA130" s="34" t="s">
        <v>161</v>
      </c>
    </row>
    <row r="131" spans="1:79" x14ac:dyDescent="0.25">
      <c r="A131" s="34" t="s">
        <v>374</v>
      </c>
      <c r="B131" s="34" t="s">
        <v>287</v>
      </c>
      <c r="C131" s="34">
        <v>2019</v>
      </c>
      <c r="D131" s="34" t="s">
        <v>422</v>
      </c>
      <c r="E131" s="34">
        <v>2.0200129917472301E+17</v>
      </c>
      <c r="F131" s="34" t="s">
        <v>182</v>
      </c>
      <c r="G131" s="34" t="s">
        <v>1188</v>
      </c>
      <c r="H131" s="34">
        <v>1378435</v>
      </c>
      <c r="I131" s="34"/>
      <c r="J131" s="34" t="s">
        <v>180</v>
      </c>
      <c r="K131" s="34" t="s">
        <v>179</v>
      </c>
      <c r="L131" s="34"/>
      <c r="M131" s="34"/>
      <c r="N131" s="34" t="s">
        <v>905</v>
      </c>
      <c r="O131" s="34" t="s">
        <v>297</v>
      </c>
      <c r="P131" s="34"/>
      <c r="Q131" s="34" t="s">
        <v>296</v>
      </c>
      <c r="R131" s="34" t="s">
        <v>906</v>
      </c>
      <c r="S131" s="34"/>
      <c r="T131" s="34" t="s">
        <v>907</v>
      </c>
      <c r="U131" s="34"/>
      <c r="V131" s="34" t="s">
        <v>949</v>
      </c>
      <c r="W131" s="34"/>
      <c r="X131" s="34" t="s">
        <v>909</v>
      </c>
      <c r="Y131" s="34" t="s">
        <v>47</v>
      </c>
      <c r="Z131" s="34">
        <v>2142</v>
      </c>
      <c r="AA131" s="34" t="s">
        <v>393</v>
      </c>
      <c r="AB131" s="34" t="s">
        <v>393</v>
      </c>
      <c r="AC131" s="34"/>
      <c r="AD131" s="34">
        <v>15</v>
      </c>
      <c r="AE131" s="34" t="s">
        <v>169</v>
      </c>
      <c r="AF131" s="34" t="s">
        <v>364</v>
      </c>
      <c r="AG131" s="34"/>
      <c r="AH131" s="34"/>
      <c r="AI131" s="34">
        <v>43812</v>
      </c>
      <c r="AJ131" s="34">
        <v>5</v>
      </c>
      <c r="AK131" s="34">
        <v>367.62</v>
      </c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 t="s">
        <v>363</v>
      </c>
      <c r="BG131" s="34"/>
      <c r="BH131" s="34"/>
      <c r="BI131" s="34"/>
      <c r="BJ131" s="34"/>
      <c r="BK131" s="34" t="s">
        <v>50</v>
      </c>
      <c r="BL131" s="34" t="s">
        <v>167</v>
      </c>
      <c r="BM131" s="34" t="s">
        <v>166</v>
      </c>
      <c r="BN131" s="34">
        <v>43894.392122511577</v>
      </c>
      <c r="BO131" s="34"/>
      <c r="BP131" s="34"/>
      <c r="BQ131" s="34"/>
      <c r="BR131" s="34" t="s">
        <v>165</v>
      </c>
      <c r="BS131" s="34">
        <v>4.02012020168638E+18</v>
      </c>
      <c r="BT131" s="34" t="s">
        <v>164</v>
      </c>
      <c r="BU131" s="34" t="s">
        <v>362</v>
      </c>
      <c r="BV131" s="34">
        <v>2020</v>
      </c>
      <c r="BW131" s="34" t="s">
        <v>163</v>
      </c>
      <c r="BX131" s="34"/>
      <c r="BY131" s="34">
        <v>4.0302202012234199E+18</v>
      </c>
      <c r="BZ131" s="34" t="s">
        <v>1111</v>
      </c>
      <c r="CA131" s="34" t="s">
        <v>161</v>
      </c>
    </row>
    <row r="132" spans="1:79" x14ac:dyDescent="0.25">
      <c r="A132" s="34" t="s">
        <v>374</v>
      </c>
      <c r="B132" s="34" t="s">
        <v>287</v>
      </c>
      <c r="C132" s="34">
        <v>2019</v>
      </c>
      <c r="D132" s="34" t="s">
        <v>422</v>
      </c>
      <c r="E132" s="34">
        <v>2.0200129917472301E+17</v>
      </c>
      <c r="F132" s="34" t="s">
        <v>182</v>
      </c>
      <c r="G132" s="34" t="s">
        <v>1189</v>
      </c>
      <c r="H132" s="34">
        <v>1378435</v>
      </c>
      <c r="I132" s="34"/>
      <c r="J132" s="34" t="s">
        <v>180</v>
      </c>
      <c r="K132" s="34" t="s">
        <v>179</v>
      </c>
      <c r="L132" s="34"/>
      <c r="M132" s="34"/>
      <c r="N132" s="34" t="s">
        <v>905</v>
      </c>
      <c r="O132" s="34" t="s">
        <v>297</v>
      </c>
      <c r="P132" s="34"/>
      <c r="Q132" s="34" t="s">
        <v>296</v>
      </c>
      <c r="R132" s="34" t="s">
        <v>906</v>
      </c>
      <c r="S132" s="34"/>
      <c r="T132" s="34" t="s">
        <v>907</v>
      </c>
      <c r="U132" s="34"/>
      <c r="V132" s="34" t="s">
        <v>949</v>
      </c>
      <c r="W132" s="34"/>
      <c r="X132" s="34" t="s">
        <v>909</v>
      </c>
      <c r="Y132" s="34" t="s">
        <v>47</v>
      </c>
      <c r="Z132" s="34">
        <v>2142</v>
      </c>
      <c r="AA132" s="34" t="s">
        <v>393</v>
      </c>
      <c r="AB132" s="34" t="s">
        <v>393</v>
      </c>
      <c r="AC132" s="34"/>
      <c r="AD132" s="34">
        <v>15</v>
      </c>
      <c r="AE132" s="34" t="s">
        <v>169</v>
      </c>
      <c r="AF132" s="34" t="s">
        <v>364</v>
      </c>
      <c r="AG132" s="34"/>
      <c r="AH132" s="34"/>
      <c r="AI132" s="34">
        <v>43765</v>
      </c>
      <c r="AJ132" s="34">
        <v>5</v>
      </c>
      <c r="AK132" s="34">
        <v>367.62</v>
      </c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 t="s">
        <v>363</v>
      </c>
      <c r="BG132" s="34"/>
      <c r="BH132" s="34"/>
      <c r="BI132" s="34"/>
      <c r="BJ132" s="34"/>
      <c r="BK132" s="34" t="s">
        <v>50</v>
      </c>
      <c r="BL132" s="34" t="s">
        <v>167</v>
      </c>
      <c r="BM132" s="34" t="s">
        <v>166</v>
      </c>
      <c r="BN132" s="34">
        <v>43894.392938518518</v>
      </c>
      <c r="BO132" s="34"/>
      <c r="BP132" s="34"/>
      <c r="BQ132" s="34"/>
      <c r="BR132" s="34" t="s">
        <v>165</v>
      </c>
      <c r="BS132" s="34">
        <v>4.02012020168638E+18</v>
      </c>
      <c r="BT132" s="34" t="s">
        <v>164</v>
      </c>
      <c r="BU132" s="34" t="s">
        <v>362</v>
      </c>
      <c r="BV132" s="34">
        <v>2020</v>
      </c>
      <c r="BW132" s="34" t="s">
        <v>163</v>
      </c>
      <c r="BX132" s="34"/>
      <c r="BY132" s="34">
        <v>4.0302202012288302E+18</v>
      </c>
      <c r="BZ132" s="34" t="s">
        <v>1190</v>
      </c>
      <c r="CA132" s="34" t="s">
        <v>161</v>
      </c>
    </row>
    <row r="133" spans="1:79" x14ac:dyDescent="0.25">
      <c r="A133" s="34" t="s">
        <v>374</v>
      </c>
      <c r="B133" s="34" t="s">
        <v>287</v>
      </c>
      <c r="C133" s="34">
        <v>2019</v>
      </c>
      <c r="D133" s="34" t="s">
        <v>422</v>
      </c>
      <c r="E133" s="34">
        <v>2.0200129917472301E+17</v>
      </c>
      <c r="F133" s="34" t="s">
        <v>182</v>
      </c>
      <c r="G133" s="34" t="s">
        <v>1191</v>
      </c>
      <c r="H133" s="34">
        <v>1378435</v>
      </c>
      <c r="I133" s="34"/>
      <c r="J133" s="34" t="s">
        <v>180</v>
      </c>
      <c r="K133" s="34" t="s">
        <v>179</v>
      </c>
      <c r="L133" s="34"/>
      <c r="M133" s="34"/>
      <c r="N133" s="34" t="s">
        <v>905</v>
      </c>
      <c r="O133" s="34" t="s">
        <v>297</v>
      </c>
      <c r="P133" s="34"/>
      <c r="Q133" s="34" t="s">
        <v>296</v>
      </c>
      <c r="R133" s="34" t="s">
        <v>906</v>
      </c>
      <c r="S133" s="34"/>
      <c r="T133" s="34" t="s">
        <v>907</v>
      </c>
      <c r="U133" s="34"/>
      <c r="V133" s="34" t="s">
        <v>949</v>
      </c>
      <c r="W133" s="34"/>
      <c r="X133" s="34" t="s">
        <v>909</v>
      </c>
      <c r="Y133" s="34" t="s">
        <v>47</v>
      </c>
      <c r="Z133" s="34">
        <v>2142</v>
      </c>
      <c r="AA133" s="34" t="s">
        <v>393</v>
      </c>
      <c r="AB133" s="34" t="s">
        <v>393</v>
      </c>
      <c r="AC133" s="34"/>
      <c r="AD133" s="34"/>
      <c r="AE133" s="34"/>
      <c r="AF133" s="34" t="s">
        <v>377</v>
      </c>
      <c r="AG133" s="34"/>
      <c r="AH133" s="34"/>
      <c r="AI133" s="34">
        <v>43669</v>
      </c>
      <c r="AJ133" s="34">
        <v>25</v>
      </c>
      <c r="AK133" s="34">
        <v>25</v>
      </c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 t="s">
        <v>363</v>
      </c>
      <c r="BG133" s="34"/>
      <c r="BH133" s="34"/>
      <c r="BI133" s="34"/>
      <c r="BJ133" s="34"/>
      <c r="BK133" s="34" t="s">
        <v>50</v>
      </c>
      <c r="BL133" s="34" t="s">
        <v>167</v>
      </c>
      <c r="BM133" s="34" t="s">
        <v>166</v>
      </c>
      <c r="BN133" s="34">
        <v>43894.394823472219</v>
      </c>
      <c r="BO133" s="34"/>
      <c r="BP133" s="34"/>
      <c r="BQ133" s="34"/>
      <c r="BR133" s="34" t="s">
        <v>165</v>
      </c>
      <c r="BS133" s="34">
        <v>4.02012020168638E+18</v>
      </c>
      <c r="BT133" s="34" t="s">
        <v>164</v>
      </c>
      <c r="BU133" s="34" t="s">
        <v>1192</v>
      </c>
      <c r="BV133" s="34">
        <v>2020</v>
      </c>
      <c r="BW133" s="34" t="s">
        <v>163</v>
      </c>
      <c r="BX133" s="34"/>
      <c r="BY133" s="34">
        <v>4.0302202012272502E+18</v>
      </c>
      <c r="BZ133" s="34" t="s">
        <v>1193</v>
      </c>
      <c r="CA133" s="34" t="s">
        <v>161</v>
      </c>
    </row>
    <row r="134" spans="1:79" x14ac:dyDescent="0.25">
      <c r="A134" s="34" t="s">
        <v>374</v>
      </c>
      <c r="B134" s="34" t="s">
        <v>287</v>
      </c>
      <c r="C134" s="34">
        <v>2019</v>
      </c>
      <c r="D134" s="34" t="s">
        <v>422</v>
      </c>
      <c r="E134" s="34">
        <v>2.0200129917472301E+17</v>
      </c>
      <c r="F134" s="34" t="s">
        <v>182</v>
      </c>
      <c r="G134" s="34" t="s">
        <v>1194</v>
      </c>
      <c r="H134" s="34">
        <v>1378435</v>
      </c>
      <c r="I134" s="34"/>
      <c r="J134" s="34" t="s">
        <v>180</v>
      </c>
      <c r="K134" s="34" t="s">
        <v>179</v>
      </c>
      <c r="L134" s="34"/>
      <c r="M134" s="34"/>
      <c r="N134" s="34" t="s">
        <v>905</v>
      </c>
      <c r="O134" s="34" t="s">
        <v>297</v>
      </c>
      <c r="P134" s="34"/>
      <c r="Q134" s="34" t="s">
        <v>296</v>
      </c>
      <c r="R134" s="34" t="s">
        <v>906</v>
      </c>
      <c r="S134" s="34"/>
      <c r="T134" s="34" t="s">
        <v>907</v>
      </c>
      <c r="U134" s="34"/>
      <c r="V134" s="34" t="s">
        <v>949</v>
      </c>
      <c r="W134" s="34"/>
      <c r="X134" s="34" t="s">
        <v>909</v>
      </c>
      <c r="Y134" s="34" t="s">
        <v>47</v>
      </c>
      <c r="Z134" s="34">
        <v>2142</v>
      </c>
      <c r="AA134" s="34" t="s">
        <v>393</v>
      </c>
      <c r="AB134" s="34" t="s">
        <v>393</v>
      </c>
      <c r="AC134" s="34"/>
      <c r="AD134" s="34"/>
      <c r="AE134" s="34"/>
      <c r="AF134" s="34" t="s">
        <v>377</v>
      </c>
      <c r="AG134" s="34"/>
      <c r="AH134" s="34"/>
      <c r="AI134" s="34">
        <v>43693</v>
      </c>
      <c r="AJ134" s="34">
        <v>25</v>
      </c>
      <c r="AK134" s="34">
        <v>125</v>
      </c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 t="s">
        <v>363</v>
      </c>
      <c r="BG134" s="34"/>
      <c r="BH134" s="34"/>
      <c r="BI134" s="34"/>
      <c r="BJ134" s="34"/>
      <c r="BK134" s="34" t="s">
        <v>50</v>
      </c>
      <c r="BL134" s="34" t="s">
        <v>167</v>
      </c>
      <c r="BM134" s="34" t="s">
        <v>166</v>
      </c>
      <c r="BN134" s="34">
        <v>43894.396087731482</v>
      </c>
      <c r="BO134" s="34"/>
      <c r="BP134" s="34"/>
      <c r="BQ134" s="34"/>
      <c r="BR134" s="34" t="s">
        <v>165</v>
      </c>
      <c r="BS134" s="34">
        <v>4.02012020168638E+18</v>
      </c>
      <c r="BT134" s="34" t="s">
        <v>164</v>
      </c>
      <c r="BU134" s="34" t="s">
        <v>680</v>
      </c>
      <c r="BV134" s="34">
        <v>2020</v>
      </c>
      <c r="BW134" s="34" t="s">
        <v>163</v>
      </c>
      <c r="BX134" s="34"/>
      <c r="BY134" s="34">
        <v>4.0302202012307599E+18</v>
      </c>
      <c r="BZ134" s="34" t="s">
        <v>1195</v>
      </c>
      <c r="CA134" s="34" t="s">
        <v>161</v>
      </c>
    </row>
    <row r="135" spans="1:79" x14ac:dyDescent="0.25">
      <c r="A135" s="34" t="s">
        <v>374</v>
      </c>
      <c r="B135" s="34" t="s">
        <v>287</v>
      </c>
      <c r="C135" s="34">
        <v>2019</v>
      </c>
      <c r="D135" s="34" t="s">
        <v>422</v>
      </c>
      <c r="E135" s="34">
        <v>2.0200129917472301E+17</v>
      </c>
      <c r="F135" s="34" t="s">
        <v>182</v>
      </c>
      <c r="G135" s="34" t="s">
        <v>1196</v>
      </c>
      <c r="H135" s="34">
        <v>1378435</v>
      </c>
      <c r="I135" s="34"/>
      <c r="J135" s="34" t="s">
        <v>180</v>
      </c>
      <c r="K135" s="34" t="s">
        <v>179</v>
      </c>
      <c r="L135" s="34"/>
      <c r="M135" s="34"/>
      <c r="N135" s="34" t="s">
        <v>905</v>
      </c>
      <c r="O135" s="34" t="s">
        <v>297</v>
      </c>
      <c r="P135" s="34"/>
      <c r="Q135" s="34" t="s">
        <v>296</v>
      </c>
      <c r="R135" s="34" t="s">
        <v>906</v>
      </c>
      <c r="S135" s="34"/>
      <c r="T135" s="34" t="s">
        <v>907</v>
      </c>
      <c r="U135" s="34"/>
      <c r="V135" s="34" t="s">
        <v>949</v>
      </c>
      <c r="W135" s="34"/>
      <c r="X135" s="34" t="s">
        <v>909</v>
      </c>
      <c r="Y135" s="34" t="s">
        <v>47</v>
      </c>
      <c r="Z135" s="34">
        <v>2142</v>
      </c>
      <c r="AA135" s="34" t="s">
        <v>393</v>
      </c>
      <c r="AB135" s="34" t="s">
        <v>393</v>
      </c>
      <c r="AC135" s="34"/>
      <c r="AD135" s="34">
        <v>15</v>
      </c>
      <c r="AE135" s="34" t="s">
        <v>169</v>
      </c>
      <c r="AF135" s="34" t="s">
        <v>364</v>
      </c>
      <c r="AG135" s="34"/>
      <c r="AH135" s="34"/>
      <c r="AI135" s="34">
        <v>43693</v>
      </c>
      <c r="AJ135" s="34">
        <v>3.5</v>
      </c>
      <c r="AK135" s="34">
        <v>367.62</v>
      </c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 t="s">
        <v>363</v>
      </c>
      <c r="BG135" s="34"/>
      <c r="BH135" s="34"/>
      <c r="BI135" s="34"/>
      <c r="BJ135" s="34"/>
      <c r="BK135" s="34" t="s">
        <v>50</v>
      </c>
      <c r="BL135" s="34" t="s">
        <v>167</v>
      </c>
      <c r="BM135" s="34" t="s">
        <v>166</v>
      </c>
      <c r="BN135" s="34">
        <v>43894.397550613423</v>
      </c>
      <c r="BO135" s="34"/>
      <c r="BP135" s="34"/>
      <c r="BQ135" s="34"/>
      <c r="BR135" s="34" t="s">
        <v>165</v>
      </c>
      <c r="BS135" s="34">
        <v>4.02012020168638E+18</v>
      </c>
      <c r="BT135" s="34" t="s">
        <v>164</v>
      </c>
      <c r="BU135" s="34" t="s">
        <v>362</v>
      </c>
      <c r="BV135" s="34">
        <v>2020</v>
      </c>
      <c r="BW135" s="34" t="s">
        <v>163</v>
      </c>
      <c r="BX135" s="34"/>
      <c r="BY135" s="34">
        <v>4.0302202012338499E+18</v>
      </c>
      <c r="BZ135" s="34" t="s">
        <v>1156</v>
      </c>
      <c r="CA135" s="34" t="s">
        <v>161</v>
      </c>
    </row>
    <row r="136" spans="1:79" x14ac:dyDescent="0.25">
      <c r="A136" s="34" t="s">
        <v>374</v>
      </c>
      <c r="B136" s="34" t="s">
        <v>287</v>
      </c>
      <c r="C136" s="34">
        <v>2019</v>
      </c>
      <c r="D136" s="34" t="s">
        <v>422</v>
      </c>
      <c r="E136" s="34">
        <v>2.0200129917472301E+17</v>
      </c>
      <c r="F136" s="34" t="s">
        <v>182</v>
      </c>
      <c r="G136" s="34" t="s">
        <v>1197</v>
      </c>
      <c r="H136" s="34">
        <v>1378435</v>
      </c>
      <c r="I136" s="34"/>
      <c r="J136" s="34" t="s">
        <v>180</v>
      </c>
      <c r="K136" s="34" t="s">
        <v>179</v>
      </c>
      <c r="L136" s="34"/>
      <c r="M136" s="34"/>
      <c r="N136" s="34" t="s">
        <v>905</v>
      </c>
      <c r="O136" s="34" t="s">
        <v>297</v>
      </c>
      <c r="P136" s="34"/>
      <c r="Q136" s="34" t="s">
        <v>296</v>
      </c>
      <c r="R136" s="34" t="s">
        <v>906</v>
      </c>
      <c r="S136" s="34"/>
      <c r="T136" s="34" t="s">
        <v>907</v>
      </c>
      <c r="U136" s="34"/>
      <c r="V136" s="34" t="s">
        <v>949</v>
      </c>
      <c r="W136" s="34"/>
      <c r="X136" s="34" t="s">
        <v>909</v>
      </c>
      <c r="Y136" s="34" t="s">
        <v>47</v>
      </c>
      <c r="Z136" s="34">
        <v>2142</v>
      </c>
      <c r="AA136" s="34" t="s">
        <v>393</v>
      </c>
      <c r="AB136" s="34" t="s">
        <v>393</v>
      </c>
      <c r="AC136" s="34"/>
      <c r="AD136" s="34"/>
      <c r="AE136" s="34"/>
      <c r="AF136" s="34" t="s">
        <v>377</v>
      </c>
      <c r="AG136" s="34"/>
      <c r="AH136" s="34"/>
      <c r="AI136" s="34">
        <v>43664</v>
      </c>
      <c r="AJ136" s="34">
        <v>50</v>
      </c>
      <c r="AK136" s="34">
        <v>130</v>
      </c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 t="s">
        <v>363</v>
      </c>
      <c r="BG136" s="34"/>
      <c r="BH136" s="34"/>
      <c r="BI136" s="34"/>
      <c r="BJ136" s="34"/>
      <c r="BK136" s="34" t="s">
        <v>50</v>
      </c>
      <c r="BL136" s="34" t="s">
        <v>167</v>
      </c>
      <c r="BM136" s="34" t="s">
        <v>166</v>
      </c>
      <c r="BN136" s="34">
        <v>43894.397594571761</v>
      </c>
      <c r="BO136" s="34"/>
      <c r="BP136" s="34"/>
      <c r="BQ136" s="34"/>
      <c r="BR136" s="34" t="s">
        <v>165</v>
      </c>
      <c r="BS136" s="34">
        <v>4.02012020168638E+18</v>
      </c>
      <c r="BT136" s="34" t="s">
        <v>164</v>
      </c>
      <c r="BU136" s="34" t="s">
        <v>1184</v>
      </c>
      <c r="BV136" s="34">
        <v>2020</v>
      </c>
      <c r="BW136" s="34" t="s">
        <v>163</v>
      </c>
      <c r="BX136" s="34"/>
      <c r="BY136" s="34">
        <v>4.0302202012333599E+18</v>
      </c>
      <c r="BZ136" s="34" t="s">
        <v>1153</v>
      </c>
      <c r="CA136" s="34" t="s">
        <v>161</v>
      </c>
    </row>
    <row r="137" spans="1:79" x14ac:dyDescent="0.25">
      <c r="A137" s="34" t="s">
        <v>374</v>
      </c>
      <c r="B137" s="34" t="s">
        <v>287</v>
      </c>
      <c r="C137" s="34">
        <v>2019</v>
      </c>
      <c r="D137" s="34" t="s">
        <v>422</v>
      </c>
      <c r="E137" s="34">
        <v>2.0200129917472301E+17</v>
      </c>
      <c r="F137" s="34" t="s">
        <v>182</v>
      </c>
      <c r="G137" s="34" t="s">
        <v>1198</v>
      </c>
      <c r="H137" s="34">
        <v>1378435</v>
      </c>
      <c r="I137" s="34"/>
      <c r="J137" s="34" t="s">
        <v>180</v>
      </c>
      <c r="K137" s="34" t="s">
        <v>179</v>
      </c>
      <c r="L137" s="34"/>
      <c r="M137" s="34"/>
      <c r="N137" s="34" t="s">
        <v>905</v>
      </c>
      <c r="O137" s="34" t="s">
        <v>297</v>
      </c>
      <c r="P137" s="34"/>
      <c r="Q137" s="34" t="s">
        <v>296</v>
      </c>
      <c r="R137" s="34" t="s">
        <v>906</v>
      </c>
      <c r="S137" s="34"/>
      <c r="T137" s="34" t="s">
        <v>907</v>
      </c>
      <c r="U137" s="34"/>
      <c r="V137" s="34" t="s">
        <v>949</v>
      </c>
      <c r="W137" s="34"/>
      <c r="X137" s="34" t="s">
        <v>909</v>
      </c>
      <c r="Y137" s="34" t="s">
        <v>47</v>
      </c>
      <c r="Z137" s="34">
        <v>2142</v>
      </c>
      <c r="AA137" s="34" t="s">
        <v>393</v>
      </c>
      <c r="AB137" s="34" t="s">
        <v>393</v>
      </c>
      <c r="AC137" s="34"/>
      <c r="AD137" s="34">
        <v>15</v>
      </c>
      <c r="AE137" s="34" t="s">
        <v>169</v>
      </c>
      <c r="AF137" s="34" t="s">
        <v>364</v>
      </c>
      <c r="AG137" s="34"/>
      <c r="AH137" s="34"/>
      <c r="AI137" s="34">
        <v>43753</v>
      </c>
      <c r="AJ137" s="34">
        <v>5</v>
      </c>
      <c r="AK137" s="34">
        <v>367.62</v>
      </c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 t="s">
        <v>363</v>
      </c>
      <c r="BG137" s="34"/>
      <c r="BH137" s="34"/>
      <c r="BI137" s="34"/>
      <c r="BJ137" s="34"/>
      <c r="BK137" s="34" t="s">
        <v>50</v>
      </c>
      <c r="BL137" s="34" t="s">
        <v>167</v>
      </c>
      <c r="BM137" s="34" t="s">
        <v>166</v>
      </c>
      <c r="BN137" s="34">
        <v>43894.398398564816</v>
      </c>
      <c r="BO137" s="34"/>
      <c r="BP137" s="34"/>
      <c r="BQ137" s="34"/>
      <c r="BR137" s="34" t="s">
        <v>165</v>
      </c>
      <c r="BS137" s="34">
        <v>4.02012020168638E+18</v>
      </c>
      <c r="BT137" s="34" t="s">
        <v>164</v>
      </c>
      <c r="BU137" s="34" t="s">
        <v>362</v>
      </c>
      <c r="BV137" s="34">
        <v>2020</v>
      </c>
      <c r="BW137" s="34" t="s">
        <v>163</v>
      </c>
      <c r="BX137" s="34"/>
      <c r="BY137" s="34">
        <v>4.0302202012317102E+18</v>
      </c>
      <c r="BZ137" s="34" t="s">
        <v>1199</v>
      </c>
      <c r="CA137" s="34" t="s">
        <v>161</v>
      </c>
    </row>
    <row r="138" spans="1:79" x14ac:dyDescent="0.25">
      <c r="A138" s="34" t="s">
        <v>374</v>
      </c>
      <c r="B138" s="34" t="s">
        <v>287</v>
      </c>
      <c r="C138" s="34">
        <v>2019</v>
      </c>
      <c r="D138" s="34" t="s">
        <v>422</v>
      </c>
      <c r="E138" s="34">
        <v>2.0200129917472301E+17</v>
      </c>
      <c r="F138" s="34" t="s">
        <v>182</v>
      </c>
      <c r="G138" s="34" t="s">
        <v>1200</v>
      </c>
      <c r="H138" s="34">
        <v>1378435</v>
      </c>
      <c r="I138" s="34"/>
      <c r="J138" s="34" t="s">
        <v>180</v>
      </c>
      <c r="K138" s="34" t="s">
        <v>179</v>
      </c>
      <c r="L138" s="34" t="s">
        <v>903</v>
      </c>
      <c r="M138" s="34"/>
      <c r="N138" s="34" t="s">
        <v>905</v>
      </c>
      <c r="O138" s="34" t="s">
        <v>297</v>
      </c>
      <c r="P138" s="34"/>
      <c r="Q138" s="34" t="s">
        <v>296</v>
      </c>
      <c r="R138" s="34" t="s">
        <v>906</v>
      </c>
      <c r="S138" s="34"/>
      <c r="T138" s="34" t="s">
        <v>907</v>
      </c>
      <c r="U138" s="34"/>
      <c r="V138" s="34" t="s">
        <v>949</v>
      </c>
      <c r="W138" s="34"/>
      <c r="X138" s="34" t="s">
        <v>909</v>
      </c>
      <c r="Y138" s="34" t="s">
        <v>47</v>
      </c>
      <c r="Z138" s="34">
        <v>2142</v>
      </c>
      <c r="AA138" s="34" t="s">
        <v>393</v>
      </c>
      <c r="AB138" s="34" t="s">
        <v>393</v>
      </c>
      <c r="AC138" s="34" t="s">
        <v>903</v>
      </c>
      <c r="AD138" s="34" t="s">
        <v>383</v>
      </c>
      <c r="AE138" s="34" t="s">
        <v>382</v>
      </c>
      <c r="AF138" s="34" t="s">
        <v>377</v>
      </c>
      <c r="AG138" s="34"/>
      <c r="AH138" s="34"/>
      <c r="AI138" s="34">
        <v>43676</v>
      </c>
      <c r="AJ138" s="34">
        <v>10</v>
      </c>
      <c r="AK138" s="34">
        <v>710</v>
      </c>
      <c r="AL138" s="34" t="s">
        <v>973</v>
      </c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 t="s">
        <v>363</v>
      </c>
      <c r="BG138" s="34"/>
      <c r="BH138" s="34"/>
      <c r="BI138" s="34"/>
      <c r="BJ138" s="34"/>
      <c r="BK138" s="34" t="s">
        <v>50</v>
      </c>
      <c r="BL138" s="34" t="s">
        <v>167</v>
      </c>
      <c r="BM138" s="34" t="s">
        <v>166</v>
      </c>
      <c r="BN138" s="34">
        <v>43894.399852233793</v>
      </c>
      <c r="BO138" s="34"/>
      <c r="BP138" s="34"/>
      <c r="BQ138" s="34"/>
      <c r="BR138" s="34" t="s">
        <v>165</v>
      </c>
      <c r="BS138" s="34">
        <v>4.02012020168638E+18</v>
      </c>
      <c r="BT138" s="34" t="s">
        <v>164</v>
      </c>
      <c r="BU138" s="34" t="s">
        <v>974</v>
      </c>
      <c r="BV138" s="34">
        <v>2020</v>
      </c>
      <c r="BW138" s="34" t="s">
        <v>163</v>
      </c>
      <c r="BX138" s="34"/>
      <c r="BY138" s="34">
        <v>4.0302202012366198E+18</v>
      </c>
      <c r="BZ138" s="34" t="s">
        <v>1201</v>
      </c>
      <c r="CA138" s="34" t="s">
        <v>161</v>
      </c>
    </row>
    <row r="139" spans="1:79" x14ac:dyDescent="0.25">
      <c r="A139" s="34" t="s">
        <v>374</v>
      </c>
      <c r="B139" s="34" t="s">
        <v>287</v>
      </c>
      <c r="C139" s="34">
        <v>2019</v>
      </c>
      <c r="D139" s="34" t="s">
        <v>422</v>
      </c>
      <c r="E139" s="34">
        <v>2.0200129917472301E+17</v>
      </c>
      <c r="F139" s="34" t="s">
        <v>182</v>
      </c>
      <c r="G139" s="34" t="s">
        <v>1202</v>
      </c>
      <c r="H139" s="34">
        <v>1378435</v>
      </c>
      <c r="I139" s="34"/>
      <c r="J139" s="34" t="s">
        <v>180</v>
      </c>
      <c r="K139" s="34" t="s">
        <v>179</v>
      </c>
      <c r="L139" s="34" t="s">
        <v>1025</v>
      </c>
      <c r="M139" s="34"/>
      <c r="N139" s="34" t="s">
        <v>905</v>
      </c>
      <c r="O139" s="34" t="s">
        <v>297</v>
      </c>
      <c r="P139" s="34"/>
      <c r="Q139" s="34" t="s">
        <v>296</v>
      </c>
      <c r="R139" s="34" t="s">
        <v>906</v>
      </c>
      <c r="S139" s="34"/>
      <c r="T139" s="34" t="s">
        <v>907</v>
      </c>
      <c r="U139" s="34"/>
      <c r="V139" s="34" t="s">
        <v>949</v>
      </c>
      <c r="W139" s="34"/>
      <c r="X139" s="34" t="s">
        <v>909</v>
      </c>
      <c r="Y139" s="34" t="s">
        <v>47</v>
      </c>
      <c r="Z139" s="34">
        <v>2142</v>
      </c>
      <c r="AA139" s="34" t="s">
        <v>393</v>
      </c>
      <c r="AB139" s="34" t="s">
        <v>393</v>
      </c>
      <c r="AC139" s="34" t="s">
        <v>1025</v>
      </c>
      <c r="AD139" s="34" t="s">
        <v>383</v>
      </c>
      <c r="AE139" s="34" t="s">
        <v>382</v>
      </c>
      <c r="AF139" s="34" t="s">
        <v>377</v>
      </c>
      <c r="AG139" s="34"/>
      <c r="AH139" s="34"/>
      <c r="AI139" s="34">
        <v>43765</v>
      </c>
      <c r="AJ139" s="34">
        <v>100</v>
      </c>
      <c r="AK139" s="34">
        <v>600</v>
      </c>
      <c r="AL139" s="34" t="s">
        <v>1098</v>
      </c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 t="s">
        <v>363</v>
      </c>
      <c r="BG139" s="34"/>
      <c r="BH139" s="34"/>
      <c r="BI139" s="34"/>
      <c r="BJ139" s="34"/>
      <c r="BK139" s="34" t="s">
        <v>50</v>
      </c>
      <c r="BL139" s="34" t="s">
        <v>167</v>
      </c>
      <c r="BM139" s="34" t="s">
        <v>166</v>
      </c>
      <c r="BN139" s="34">
        <v>43894.413542766204</v>
      </c>
      <c r="BO139" s="34"/>
      <c r="BP139" s="34"/>
      <c r="BQ139" s="34"/>
      <c r="BR139" s="34" t="s">
        <v>165</v>
      </c>
      <c r="BS139" s="34">
        <v>4.02012020168638E+18</v>
      </c>
      <c r="BT139" s="34" t="s">
        <v>164</v>
      </c>
      <c r="BU139" s="34" t="s">
        <v>1099</v>
      </c>
      <c r="BV139" s="34">
        <v>2020</v>
      </c>
      <c r="BW139" s="34" t="s">
        <v>163</v>
      </c>
      <c r="BX139" s="34"/>
      <c r="BY139" s="34">
        <v>4.0302202012151101E+18</v>
      </c>
      <c r="BZ139" s="34" t="s">
        <v>1203</v>
      </c>
      <c r="CA139" s="34" t="s">
        <v>161</v>
      </c>
    </row>
    <row r="140" spans="1:79" x14ac:dyDescent="0.25">
      <c r="A140" s="34" t="s">
        <v>374</v>
      </c>
      <c r="B140" s="34" t="s">
        <v>287</v>
      </c>
      <c r="C140" s="34">
        <v>2019</v>
      </c>
      <c r="D140" s="34" t="s">
        <v>422</v>
      </c>
      <c r="E140" s="34">
        <v>2.0200129917472301E+17</v>
      </c>
      <c r="F140" s="34" t="s">
        <v>182</v>
      </c>
      <c r="G140" s="34" t="s">
        <v>1204</v>
      </c>
      <c r="H140" s="34">
        <v>1378435</v>
      </c>
      <c r="I140" s="34"/>
      <c r="J140" s="34" t="s">
        <v>180</v>
      </c>
      <c r="K140" s="34" t="s">
        <v>179</v>
      </c>
      <c r="L140" s="34"/>
      <c r="M140" s="34"/>
      <c r="N140" s="34" t="s">
        <v>905</v>
      </c>
      <c r="O140" s="34" t="s">
        <v>297</v>
      </c>
      <c r="P140" s="34"/>
      <c r="Q140" s="34" t="s">
        <v>296</v>
      </c>
      <c r="R140" s="34" t="s">
        <v>906</v>
      </c>
      <c r="S140" s="34"/>
      <c r="T140" s="34" t="s">
        <v>907</v>
      </c>
      <c r="U140" s="34"/>
      <c r="V140" s="34" t="s">
        <v>949</v>
      </c>
      <c r="W140" s="34"/>
      <c r="X140" s="34" t="s">
        <v>909</v>
      </c>
      <c r="Y140" s="34" t="s">
        <v>47</v>
      </c>
      <c r="Z140" s="34">
        <v>2142</v>
      </c>
      <c r="AA140" s="34" t="s">
        <v>393</v>
      </c>
      <c r="AB140" s="34" t="s">
        <v>393</v>
      </c>
      <c r="AC140" s="34"/>
      <c r="AD140" s="34"/>
      <c r="AE140" s="34"/>
      <c r="AF140" s="34" t="s">
        <v>377</v>
      </c>
      <c r="AG140" s="34"/>
      <c r="AH140" s="34"/>
      <c r="AI140" s="34">
        <v>43663</v>
      </c>
      <c r="AJ140" s="34">
        <v>20.2</v>
      </c>
      <c r="AK140" s="34">
        <v>170.2</v>
      </c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 t="s">
        <v>363</v>
      </c>
      <c r="BG140" s="34"/>
      <c r="BH140" s="34"/>
      <c r="BI140" s="34"/>
      <c r="BJ140" s="34"/>
      <c r="BK140" s="34" t="s">
        <v>50</v>
      </c>
      <c r="BL140" s="34" t="s">
        <v>167</v>
      </c>
      <c r="BM140" s="34" t="s">
        <v>166</v>
      </c>
      <c r="BN140" s="34">
        <v>43894.412784178239</v>
      </c>
      <c r="BO140" s="34"/>
      <c r="BP140" s="34"/>
      <c r="BQ140" s="34"/>
      <c r="BR140" s="34" t="s">
        <v>165</v>
      </c>
      <c r="BS140" s="34">
        <v>4.02012020168638E+18</v>
      </c>
      <c r="BT140" s="34" t="s">
        <v>164</v>
      </c>
      <c r="BU140" s="34" t="s">
        <v>1205</v>
      </c>
      <c r="BV140" s="34">
        <v>2020</v>
      </c>
      <c r="BW140" s="34" t="s">
        <v>163</v>
      </c>
      <c r="BX140" s="34"/>
      <c r="BY140" s="34">
        <v>4.03022020121551E+18</v>
      </c>
      <c r="BZ140" s="34" t="s">
        <v>1206</v>
      </c>
      <c r="CA140" s="34" t="s">
        <v>161</v>
      </c>
    </row>
    <row r="141" spans="1:79" x14ac:dyDescent="0.25">
      <c r="A141" s="34" t="s">
        <v>374</v>
      </c>
      <c r="B141" s="34" t="s">
        <v>287</v>
      </c>
      <c r="C141" s="34">
        <v>2019</v>
      </c>
      <c r="D141" s="34" t="s">
        <v>422</v>
      </c>
      <c r="E141" s="34">
        <v>2.0200129917472301E+17</v>
      </c>
      <c r="F141" s="34" t="s">
        <v>182</v>
      </c>
      <c r="G141" s="34" t="s">
        <v>1207</v>
      </c>
      <c r="H141" s="34">
        <v>1378435</v>
      </c>
      <c r="I141" s="34"/>
      <c r="J141" s="34" t="s">
        <v>180</v>
      </c>
      <c r="K141" s="34" t="s">
        <v>179</v>
      </c>
      <c r="L141" s="34" t="s">
        <v>1104</v>
      </c>
      <c r="M141" s="34"/>
      <c r="N141" s="34" t="s">
        <v>905</v>
      </c>
      <c r="O141" s="34" t="s">
        <v>297</v>
      </c>
      <c r="P141" s="34"/>
      <c r="Q141" s="34" t="s">
        <v>296</v>
      </c>
      <c r="R141" s="34" t="s">
        <v>906</v>
      </c>
      <c r="S141" s="34"/>
      <c r="T141" s="34" t="s">
        <v>907</v>
      </c>
      <c r="U141" s="34"/>
      <c r="V141" s="34" t="s">
        <v>949</v>
      </c>
      <c r="W141" s="34"/>
      <c r="X141" s="34" t="s">
        <v>909</v>
      </c>
      <c r="Y141" s="34" t="s">
        <v>47</v>
      </c>
      <c r="Z141" s="34">
        <v>2142</v>
      </c>
      <c r="AA141" s="34" t="s">
        <v>393</v>
      </c>
      <c r="AB141" s="34" t="s">
        <v>393</v>
      </c>
      <c r="AC141" s="34" t="s">
        <v>1104</v>
      </c>
      <c r="AD141" s="34" t="s">
        <v>383</v>
      </c>
      <c r="AE141" s="34" t="s">
        <v>382</v>
      </c>
      <c r="AF141" s="34" t="s">
        <v>377</v>
      </c>
      <c r="AG141" s="34"/>
      <c r="AH141" s="34"/>
      <c r="AI141" s="34">
        <v>43684</v>
      </c>
      <c r="AJ141" s="34">
        <v>100</v>
      </c>
      <c r="AK141" s="34">
        <v>400</v>
      </c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 t="s">
        <v>363</v>
      </c>
      <c r="BG141" s="34"/>
      <c r="BH141" s="34"/>
      <c r="BI141" s="34"/>
      <c r="BJ141" s="34"/>
      <c r="BK141" s="34" t="s">
        <v>50</v>
      </c>
      <c r="BL141" s="34" t="s">
        <v>167</v>
      </c>
      <c r="BM141" s="34" t="s">
        <v>166</v>
      </c>
      <c r="BN141" s="34">
        <v>43894.417989074071</v>
      </c>
      <c r="BO141" s="34"/>
      <c r="BP141" s="34"/>
      <c r="BQ141" s="34"/>
      <c r="BR141" s="34" t="s">
        <v>165</v>
      </c>
      <c r="BS141" s="34">
        <v>4.02012020168638E+18</v>
      </c>
      <c r="BT141" s="34" t="s">
        <v>164</v>
      </c>
      <c r="BU141" s="34" t="s">
        <v>1105</v>
      </c>
      <c r="BV141" s="34">
        <v>2020</v>
      </c>
      <c r="BW141" s="34" t="s">
        <v>163</v>
      </c>
      <c r="BX141" s="34"/>
      <c r="BY141" s="34">
        <v>4.0302202012182702E+18</v>
      </c>
      <c r="BZ141" s="34" t="s">
        <v>1208</v>
      </c>
      <c r="CA141" s="34" t="s">
        <v>161</v>
      </c>
    </row>
    <row r="142" spans="1:79" x14ac:dyDescent="0.25">
      <c r="A142" s="34" t="s">
        <v>374</v>
      </c>
      <c r="B142" s="34" t="s">
        <v>287</v>
      </c>
      <c r="C142" s="34">
        <v>2019</v>
      </c>
      <c r="D142" s="34" t="s">
        <v>422</v>
      </c>
      <c r="E142" s="34">
        <v>2.0200129917472301E+17</v>
      </c>
      <c r="F142" s="34" t="s">
        <v>182</v>
      </c>
      <c r="G142" s="34" t="s">
        <v>1209</v>
      </c>
      <c r="H142" s="34">
        <v>1378435</v>
      </c>
      <c r="I142" s="34"/>
      <c r="J142" s="34" t="s">
        <v>180</v>
      </c>
      <c r="K142" s="34" t="s">
        <v>179</v>
      </c>
      <c r="L142" s="34"/>
      <c r="M142" s="34"/>
      <c r="N142" s="34" t="s">
        <v>905</v>
      </c>
      <c r="O142" s="34" t="s">
        <v>297</v>
      </c>
      <c r="P142" s="34"/>
      <c r="Q142" s="34" t="s">
        <v>296</v>
      </c>
      <c r="R142" s="34" t="s">
        <v>906</v>
      </c>
      <c r="S142" s="34"/>
      <c r="T142" s="34" t="s">
        <v>907</v>
      </c>
      <c r="U142" s="34"/>
      <c r="V142" s="34" t="s">
        <v>949</v>
      </c>
      <c r="W142" s="34"/>
      <c r="X142" s="34" t="s">
        <v>909</v>
      </c>
      <c r="Y142" s="34" t="s">
        <v>47</v>
      </c>
      <c r="Z142" s="34">
        <v>2142</v>
      </c>
      <c r="AA142" s="34" t="s">
        <v>393</v>
      </c>
      <c r="AB142" s="34" t="s">
        <v>393</v>
      </c>
      <c r="AC142" s="34"/>
      <c r="AD142" s="34"/>
      <c r="AE142" s="34"/>
      <c r="AF142" s="34" t="s">
        <v>377</v>
      </c>
      <c r="AG142" s="34"/>
      <c r="AH142" s="34"/>
      <c r="AI142" s="34">
        <v>43692</v>
      </c>
      <c r="AJ142" s="34">
        <v>50</v>
      </c>
      <c r="AK142" s="34">
        <v>142</v>
      </c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 t="s">
        <v>363</v>
      </c>
      <c r="BG142" s="34"/>
      <c r="BH142" s="34"/>
      <c r="BI142" s="34"/>
      <c r="BJ142" s="34"/>
      <c r="BK142" s="34" t="s">
        <v>50</v>
      </c>
      <c r="BL142" s="34" t="s">
        <v>167</v>
      </c>
      <c r="BM142" s="34" t="s">
        <v>166</v>
      </c>
      <c r="BN142" s="34">
        <v>43894.419055775463</v>
      </c>
      <c r="BO142" s="34"/>
      <c r="BP142" s="34"/>
      <c r="BQ142" s="34"/>
      <c r="BR142" s="34" t="s">
        <v>165</v>
      </c>
      <c r="BS142" s="34">
        <v>4.02012020168638E+18</v>
      </c>
      <c r="BT142" s="34" t="s">
        <v>164</v>
      </c>
      <c r="BU142" s="34" t="s">
        <v>1115</v>
      </c>
      <c r="BV142" s="34">
        <v>2020</v>
      </c>
      <c r="BW142" s="34" t="s">
        <v>163</v>
      </c>
      <c r="BX142" s="34"/>
      <c r="BY142" s="34">
        <v>4.0302202012183798E+18</v>
      </c>
      <c r="BZ142" s="34" t="s">
        <v>1210</v>
      </c>
      <c r="CA142" s="34" t="s">
        <v>161</v>
      </c>
    </row>
    <row r="143" spans="1:79" x14ac:dyDescent="0.25">
      <c r="A143" s="34" t="s">
        <v>374</v>
      </c>
      <c r="B143" s="34" t="s">
        <v>287</v>
      </c>
      <c r="C143" s="34">
        <v>2019</v>
      </c>
      <c r="D143" s="34" t="s">
        <v>422</v>
      </c>
      <c r="E143" s="34">
        <v>2.0200129917472301E+17</v>
      </c>
      <c r="F143" s="34" t="s">
        <v>182</v>
      </c>
      <c r="G143" s="34" t="s">
        <v>1211</v>
      </c>
      <c r="H143" s="34">
        <v>1378435</v>
      </c>
      <c r="I143" s="34"/>
      <c r="J143" s="34" t="s">
        <v>180</v>
      </c>
      <c r="K143" s="34" t="s">
        <v>179</v>
      </c>
      <c r="L143" s="34"/>
      <c r="M143" s="34"/>
      <c r="N143" s="34" t="s">
        <v>905</v>
      </c>
      <c r="O143" s="34" t="s">
        <v>297</v>
      </c>
      <c r="P143" s="34"/>
      <c r="Q143" s="34" t="s">
        <v>296</v>
      </c>
      <c r="R143" s="34" t="s">
        <v>906</v>
      </c>
      <c r="S143" s="34"/>
      <c r="T143" s="34" t="s">
        <v>907</v>
      </c>
      <c r="U143" s="34"/>
      <c r="V143" s="34" t="s">
        <v>949</v>
      </c>
      <c r="W143" s="34"/>
      <c r="X143" s="34" t="s">
        <v>909</v>
      </c>
      <c r="Y143" s="34" t="s">
        <v>47</v>
      </c>
      <c r="Z143" s="34">
        <v>2142</v>
      </c>
      <c r="AA143" s="34" t="s">
        <v>393</v>
      </c>
      <c r="AB143" s="34" t="s">
        <v>393</v>
      </c>
      <c r="AC143" s="34"/>
      <c r="AD143" s="34">
        <v>15</v>
      </c>
      <c r="AE143" s="34" t="s">
        <v>169</v>
      </c>
      <c r="AF143" s="34" t="s">
        <v>364</v>
      </c>
      <c r="AG143" s="34"/>
      <c r="AH143" s="34"/>
      <c r="AI143" s="34">
        <v>43762</v>
      </c>
      <c r="AJ143" s="34">
        <v>5</v>
      </c>
      <c r="AK143" s="34">
        <v>367.62</v>
      </c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 t="s">
        <v>363</v>
      </c>
      <c r="BG143" s="34"/>
      <c r="BH143" s="34"/>
      <c r="BI143" s="34"/>
      <c r="BJ143" s="34"/>
      <c r="BK143" s="34" t="s">
        <v>50</v>
      </c>
      <c r="BL143" s="34" t="s">
        <v>167</v>
      </c>
      <c r="BM143" s="34" t="s">
        <v>166</v>
      </c>
      <c r="BN143" s="34">
        <v>43894.425977430554</v>
      </c>
      <c r="BO143" s="34"/>
      <c r="BP143" s="34"/>
      <c r="BQ143" s="34"/>
      <c r="BR143" s="34" t="s">
        <v>165</v>
      </c>
      <c r="BS143" s="34">
        <v>4.02012020168638E+18</v>
      </c>
      <c r="BT143" s="34" t="s">
        <v>164</v>
      </c>
      <c r="BU143" s="34" t="s">
        <v>362</v>
      </c>
      <c r="BV143" s="34">
        <v>2020</v>
      </c>
      <c r="BW143" s="34" t="s">
        <v>163</v>
      </c>
      <c r="BX143" s="34"/>
      <c r="BY143" s="34">
        <v>4.0302202012256998E+18</v>
      </c>
      <c r="BZ143" s="34" t="s">
        <v>1212</v>
      </c>
      <c r="CA143" s="34" t="s">
        <v>161</v>
      </c>
    </row>
    <row r="144" spans="1:79" x14ac:dyDescent="0.25">
      <c r="A144" s="34" t="s">
        <v>374</v>
      </c>
      <c r="B144" s="34" t="s">
        <v>287</v>
      </c>
      <c r="C144" s="34">
        <v>2019</v>
      </c>
      <c r="D144" s="34" t="s">
        <v>422</v>
      </c>
      <c r="E144" s="34">
        <v>2.0200129917472301E+17</v>
      </c>
      <c r="F144" s="34" t="s">
        <v>182</v>
      </c>
      <c r="G144" s="34" t="s">
        <v>1213</v>
      </c>
      <c r="H144" s="34">
        <v>1378435</v>
      </c>
      <c r="I144" s="34"/>
      <c r="J144" s="34" t="s">
        <v>180</v>
      </c>
      <c r="K144" s="34" t="s">
        <v>179</v>
      </c>
      <c r="L144" s="34"/>
      <c r="M144" s="34"/>
      <c r="N144" s="34" t="s">
        <v>905</v>
      </c>
      <c r="O144" s="34" t="s">
        <v>297</v>
      </c>
      <c r="P144" s="34"/>
      <c r="Q144" s="34" t="s">
        <v>296</v>
      </c>
      <c r="R144" s="34" t="s">
        <v>906</v>
      </c>
      <c r="S144" s="34"/>
      <c r="T144" s="34" t="s">
        <v>907</v>
      </c>
      <c r="U144" s="34"/>
      <c r="V144" s="34" t="s">
        <v>949</v>
      </c>
      <c r="W144" s="34"/>
      <c r="X144" s="34" t="s">
        <v>909</v>
      </c>
      <c r="Y144" s="34" t="s">
        <v>47</v>
      </c>
      <c r="Z144" s="34">
        <v>2142</v>
      </c>
      <c r="AA144" s="34" t="s">
        <v>393</v>
      </c>
      <c r="AB144" s="34" t="s">
        <v>393</v>
      </c>
      <c r="AC144" s="34"/>
      <c r="AD144" s="34">
        <v>15</v>
      </c>
      <c r="AE144" s="34" t="s">
        <v>169</v>
      </c>
      <c r="AF144" s="34" t="s">
        <v>364</v>
      </c>
      <c r="AG144" s="34"/>
      <c r="AH144" s="34"/>
      <c r="AI144" s="34">
        <v>43799</v>
      </c>
      <c r="AJ144" s="34">
        <v>10</v>
      </c>
      <c r="AK144" s="34">
        <v>367.62</v>
      </c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 t="s">
        <v>363</v>
      </c>
      <c r="BG144" s="34"/>
      <c r="BH144" s="34"/>
      <c r="BI144" s="34"/>
      <c r="BJ144" s="34"/>
      <c r="BK144" s="34" t="s">
        <v>50</v>
      </c>
      <c r="BL144" s="34" t="s">
        <v>167</v>
      </c>
      <c r="BM144" s="34" t="s">
        <v>166</v>
      </c>
      <c r="BN144" s="34">
        <v>43894.428857685183</v>
      </c>
      <c r="BO144" s="34"/>
      <c r="BP144" s="34"/>
      <c r="BQ144" s="34"/>
      <c r="BR144" s="34" t="s">
        <v>165</v>
      </c>
      <c r="BS144" s="34">
        <v>4.02012020168638E+18</v>
      </c>
      <c r="BT144" s="34" t="s">
        <v>164</v>
      </c>
      <c r="BU144" s="34" t="s">
        <v>362</v>
      </c>
      <c r="BV144" s="34">
        <v>2020</v>
      </c>
      <c r="BW144" s="34" t="s">
        <v>163</v>
      </c>
      <c r="BX144" s="34"/>
      <c r="BY144" s="34">
        <v>4.0302202012232202E+18</v>
      </c>
      <c r="BZ144" s="34" t="s">
        <v>1214</v>
      </c>
      <c r="CA144" s="34" t="s">
        <v>161</v>
      </c>
    </row>
    <row r="145" spans="1:79" x14ac:dyDescent="0.25">
      <c r="A145" s="34" t="s">
        <v>374</v>
      </c>
      <c r="B145" s="34" t="s">
        <v>287</v>
      </c>
      <c r="C145" s="34">
        <v>2019</v>
      </c>
      <c r="D145" s="34" t="s">
        <v>422</v>
      </c>
      <c r="E145" s="34">
        <v>2.0200129917472301E+17</v>
      </c>
      <c r="F145" s="34" t="s">
        <v>182</v>
      </c>
      <c r="G145" s="34" t="s">
        <v>1215</v>
      </c>
      <c r="H145" s="34">
        <v>1378435</v>
      </c>
      <c r="I145" s="34"/>
      <c r="J145" s="34" t="s">
        <v>180</v>
      </c>
      <c r="K145" s="34" t="s">
        <v>179</v>
      </c>
      <c r="L145" s="34"/>
      <c r="M145" s="34"/>
      <c r="N145" s="34" t="s">
        <v>905</v>
      </c>
      <c r="O145" s="34" t="s">
        <v>297</v>
      </c>
      <c r="P145" s="34"/>
      <c r="Q145" s="34" t="s">
        <v>296</v>
      </c>
      <c r="R145" s="34" t="s">
        <v>906</v>
      </c>
      <c r="S145" s="34"/>
      <c r="T145" s="34" t="s">
        <v>907</v>
      </c>
      <c r="U145" s="34"/>
      <c r="V145" s="34" t="s">
        <v>949</v>
      </c>
      <c r="W145" s="34"/>
      <c r="X145" s="34" t="s">
        <v>909</v>
      </c>
      <c r="Y145" s="34" t="s">
        <v>47</v>
      </c>
      <c r="Z145" s="34">
        <v>2142</v>
      </c>
      <c r="AA145" s="34" t="s">
        <v>393</v>
      </c>
      <c r="AB145" s="34" t="s">
        <v>393</v>
      </c>
      <c r="AC145" s="34"/>
      <c r="AD145" s="34">
        <v>15</v>
      </c>
      <c r="AE145" s="34" t="s">
        <v>169</v>
      </c>
      <c r="AF145" s="34" t="s">
        <v>364</v>
      </c>
      <c r="AG145" s="34"/>
      <c r="AH145" s="34"/>
      <c r="AI145" s="34">
        <v>43814</v>
      </c>
      <c r="AJ145" s="34">
        <v>1</v>
      </c>
      <c r="AK145" s="34">
        <v>367.62</v>
      </c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 t="s">
        <v>363</v>
      </c>
      <c r="BG145" s="34"/>
      <c r="BH145" s="34"/>
      <c r="BI145" s="34"/>
      <c r="BJ145" s="34"/>
      <c r="BK145" s="34" t="s">
        <v>50</v>
      </c>
      <c r="BL145" s="34" t="s">
        <v>167</v>
      </c>
      <c r="BM145" s="34" t="s">
        <v>166</v>
      </c>
      <c r="BN145" s="34">
        <v>43894.427782951389</v>
      </c>
      <c r="BO145" s="34"/>
      <c r="BP145" s="34"/>
      <c r="BQ145" s="34"/>
      <c r="BR145" s="34" t="s">
        <v>165</v>
      </c>
      <c r="BS145" s="34">
        <v>4.02012020168638E+18</v>
      </c>
      <c r="BT145" s="34" t="s">
        <v>164</v>
      </c>
      <c r="BU145" s="34" t="s">
        <v>362</v>
      </c>
      <c r="BV145" s="34">
        <v>2020</v>
      </c>
      <c r="BW145" s="34" t="s">
        <v>163</v>
      </c>
      <c r="BX145" s="34"/>
      <c r="BY145" s="34">
        <v>4.03022020122654E+18</v>
      </c>
      <c r="BZ145" s="34" t="s">
        <v>1216</v>
      </c>
      <c r="CA145" s="34" t="s">
        <v>161</v>
      </c>
    </row>
    <row r="146" spans="1:79" x14ac:dyDescent="0.25">
      <c r="A146" s="34" t="s">
        <v>374</v>
      </c>
      <c r="B146" s="34" t="s">
        <v>287</v>
      </c>
      <c r="C146" s="34">
        <v>2019</v>
      </c>
      <c r="D146" s="34" t="s">
        <v>422</v>
      </c>
      <c r="E146" s="34">
        <v>2.0200129917472301E+17</v>
      </c>
      <c r="F146" s="34" t="s">
        <v>182</v>
      </c>
      <c r="G146" s="34" t="s">
        <v>1217</v>
      </c>
      <c r="H146" s="34">
        <v>1378435</v>
      </c>
      <c r="I146" s="34"/>
      <c r="J146" s="34" t="s">
        <v>180</v>
      </c>
      <c r="K146" s="34" t="s">
        <v>179</v>
      </c>
      <c r="L146" s="34"/>
      <c r="M146" s="34"/>
      <c r="N146" s="34" t="s">
        <v>905</v>
      </c>
      <c r="O146" s="34" t="s">
        <v>297</v>
      </c>
      <c r="P146" s="34"/>
      <c r="Q146" s="34" t="s">
        <v>296</v>
      </c>
      <c r="R146" s="34" t="s">
        <v>906</v>
      </c>
      <c r="S146" s="34"/>
      <c r="T146" s="34" t="s">
        <v>907</v>
      </c>
      <c r="U146" s="34"/>
      <c r="V146" s="34" t="s">
        <v>949</v>
      </c>
      <c r="W146" s="34"/>
      <c r="X146" s="34" t="s">
        <v>909</v>
      </c>
      <c r="Y146" s="34" t="s">
        <v>47</v>
      </c>
      <c r="Z146" s="34">
        <v>2142</v>
      </c>
      <c r="AA146" s="34" t="s">
        <v>393</v>
      </c>
      <c r="AB146" s="34" t="s">
        <v>393</v>
      </c>
      <c r="AC146" s="34"/>
      <c r="AD146" s="34">
        <v>15</v>
      </c>
      <c r="AE146" s="34" t="s">
        <v>169</v>
      </c>
      <c r="AF146" s="34" t="s">
        <v>364</v>
      </c>
      <c r="AG146" s="34"/>
      <c r="AH146" s="34"/>
      <c r="AI146" s="34">
        <v>43789</v>
      </c>
      <c r="AJ146" s="34">
        <v>5</v>
      </c>
      <c r="AK146" s="34">
        <v>367.62</v>
      </c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 t="s">
        <v>363</v>
      </c>
      <c r="BG146" s="34"/>
      <c r="BH146" s="34"/>
      <c r="BI146" s="34"/>
      <c r="BJ146" s="34"/>
      <c r="BK146" s="34" t="s">
        <v>50</v>
      </c>
      <c r="BL146" s="34" t="s">
        <v>167</v>
      </c>
      <c r="BM146" s="34" t="s">
        <v>166</v>
      </c>
      <c r="BN146" s="34">
        <v>43894.428783611111</v>
      </c>
      <c r="BO146" s="34"/>
      <c r="BP146" s="34"/>
      <c r="BQ146" s="34"/>
      <c r="BR146" s="34" t="s">
        <v>165</v>
      </c>
      <c r="BS146" s="34">
        <v>4.02012020168638E+18</v>
      </c>
      <c r="BT146" s="34" t="s">
        <v>164</v>
      </c>
      <c r="BU146" s="34" t="s">
        <v>362</v>
      </c>
      <c r="BV146" s="34">
        <v>2020</v>
      </c>
      <c r="BW146" s="34" t="s">
        <v>163</v>
      </c>
      <c r="BX146" s="34"/>
      <c r="BY146" s="34">
        <v>4.0302202012261402E+18</v>
      </c>
      <c r="BZ146" s="34" t="s">
        <v>1218</v>
      </c>
      <c r="CA146" s="34" t="s">
        <v>161</v>
      </c>
    </row>
    <row r="147" spans="1:79" x14ac:dyDescent="0.25">
      <c r="A147" s="34" t="s">
        <v>374</v>
      </c>
      <c r="B147" s="34" t="s">
        <v>287</v>
      </c>
      <c r="C147" s="34">
        <v>2019</v>
      </c>
      <c r="D147" s="34" t="s">
        <v>422</v>
      </c>
      <c r="E147" s="34">
        <v>2.0200129917472301E+17</v>
      </c>
      <c r="F147" s="34" t="s">
        <v>182</v>
      </c>
      <c r="G147" s="34" t="s">
        <v>1219</v>
      </c>
      <c r="H147" s="34">
        <v>1378435</v>
      </c>
      <c r="I147" s="34"/>
      <c r="J147" s="34" t="s">
        <v>180</v>
      </c>
      <c r="K147" s="34" t="s">
        <v>179</v>
      </c>
      <c r="L147" s="34"/>
      <c r="M147" s="34"/>
      <c r="N147" s="34" t="s">
        <v>905</v>
      </c>
      <c r="O147" s="34" t="s">
        <v>297</v>
      </c>
      <c r="P147" s="34"/>
      <c r="Q147" s="34" t="s">
        <v>296</v>
      </c>
      <c r="R147" s="34" t="s">
        <v>906</v>
      </c>
      <c r="S147" s="34"/>
      <c r="T147" s="34" t="s">
        <v>907</v>
      </c>
      <c r="U147" s="34"/>
      <c r="V147" s="34" t="s">
        <v>949</v>
      </c>
      <c r="W147" s="34"/>
      <c r="X147" s="34" t="s">
        <v>909</v>
      </c>
      <c r="Y147" s="34" t="s">
        <v>47</v>
      </c>
      <c r="Z147" s="34">
        <v>2142</v>
      </c>
      <c r="AA147" s="34" t="s">
        <v>393</v>
      </c>
      <c r="AB147" s="34" t="s">
        <v>393</v>
      </c>
      <c r="AC147" s="34"/>
      <c r="AD147" s="34">
        <v>15</v>
      </c>
      <c r="AE147" s="34" t="s">
        <v>169</v>
      </c>
      <c r="AF147" s="34" t="s">
        <v>364</v>
      </c>
      <c r="AG147" s="34"/>
      <c r="AH147" s="34"/>
      <c r="AI147" s="34">
        <v>43762</v>
      </c>
      <c r="AJ147" s="34">
        <v>10</v>
      </c>
      <c r="AK147" s="34">
        <v>367.62</v>
      </c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 t="s">
        <v>363</v>
      </c>
      <c r="BG147" s="34"/>
      <c r="BH147" s="34"/>
      <c r="BI147" s="34"/>
      <c r="BJ147" s="34"/>
      <c r="BK147" s="34" t="s">
        <v>50</v>
      </c>
      <c r="BL147" s="34" t="s">
        <v>167</v>
      </c>
      <c r="BM147" s="34" t="s">
        <v>166</v>
      </c>
      <c r="BN147" s="34">
        <v>43894.430197118054</v>
      </c>
      <c r="BO147" s="34"/>
      <c r="BP147" s="34"/>
      <c r="BQ147" s="34"/>
      <c r="BR147" s="34" t="s">
        <v>165</v>
      </c>
      <c r="BS147" s="34">
        <v>4.02012020168638E+18</v>
      </c>
      <c r="BT147" s="34" t="s">
        <v>164</v>
      </c>
      <c r="BU147" s="34" t="s">
        <v>362</v>
      </c>
      <c r="BV147" s="34">
        <v>2020</v>
      </c>
      <c r="BW147" s="34" t="s">
        <v>163</v>
      </c>
      <c r="BX147" s="34"/>
      <c r="BY147" s="34">
        <v>4.0302202012287898E+18</v>
      </c>
      <c r="BZ147" s="34" t="s">
        <v>1212</v>
      </c>
      <c r="CA147" s="34" t="s">
        <v>161</v>
      </c>
    </row>
    <row r="148" spans="1:79" x14ac:dyDescent="0.25">
      <c r="A148" s="34" t="s">
        <v>374</v>
      </c>
      <c r="B148" s="34" t="s">
        <v>287</v>
      </c>
      <c r="C148" s="34">
        <v>2019</v>
      </c>
      <c r="D148" s="34" t="s">
        <v>422</v>
      </c>
      <c r="E148" s="34">
        <v>2.0200129917472301E+17</v>
      </c>
      <c r="F148" s="34" t="s">
        <v>182</v>
      </c>
      <c r="G148" s="34" t="s">
        <v>1220</v>
      </c>
      <c r="H148" s="34">
        <v>1378435</v>
      </c>
      <c r="I148" s="34"/>
      <c r="J148" s="34" t="s">
        <v>180</v>
      </c>
      <c r="K148" s="34" t="s">
        <v>179</v>
      </c>
      <c r="L148" s="34"/>
      <c r="M148" s="34"/>
      <c r="N148" s="34" t="s">
        <v>905</v>
      </c>
      <c r="O148" s="34" t="s">
        <v>297</v>
      </c>
      <c r="P148" s="34"/>
      <c r="Q148" s="34" t="s">
        <v>296</v>
      </c>
      <c r="R148" s="34" t="s">
        <v>906</v>
      </c>
      <c r="S148" s="34"/>
      <c r="T148" s="34" t="s">
        <v>907</v>
      </c>
      <c r="U148" s="34"/>
      <c r="V148" s="34" t="s">
        <v>949</v>
      </c>
      <c r="W148" s="34"/>
      <c r="X148" s="34" t="s">
        <v>909</v>
      </c>
      <c r="Y148" s="34" t="s">
        <v>47</v>
      </c>
      <c r="Z148" s="34">
        <v>2142</v>
      </c>
      <c r="AA148" s="34" t="s">
        <v>393</v>
      </c>
      <c r="AB148" s="34" t="s">
        <v>393</v>
      </c>
      <c r="AC148" s="34"/>
      <c r="AD148" s="34">
        <v>15</v>
      </c>
      <c r="AE148" s="34" t="s">
        <v>169</v>
      </c>
      <c r="AF148" s="34" t="s">
        <v>364</v>
      </c>
      <c r="AG148" s="34"/>
      <c r="AH148" s="34"/>
      <c r="AI148" s="34">
        <v>43785</v>
      </c>
      <c r="AJ148" s="34">
        <v>2.5</v>
      </c>
      <c r="AK148" s="34">
        <v>367.62</v>
      </c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 t="s">
        <v>363</v>
      </c>
      <c r="BG148" s="34"/>
      <c r="BH148" s="34"/>
      <c r="BI148" s="34"/>
      <c r="BJ148" s="34"/>
      <c r="BK148" s="34" t="s">
        <v>50</v>
      </c>
      <c r="BL148" s="34" t="s">
        <v>167</v>
      </c>
      <c r="BM148" s="34" t="s">
        <v>166</v>
      </c>
      <c r="BN148" s="34">
        <v>43894.430408935186</v>
      </c>
      <c r="BO148" s="34"/>
      <c r="BP148" s="34"/>
      <c r="BQ148" s="34"/>
      <c r="BR148" s="34" t="s">
        <v>165</v>
      </c>
      <c r="BS148" s="34">
        <v>4.02012020168638E+18</v>
      </c>
      <c r="BT148" s="34" t="s">
        <v>164</v>
      </c>
      <c r="BU148" s="34" t="s">
        <v>362</v>
      </c>
      <c r="BV148" s="34">
        <v>2020</v>
      </c>
      <c r="BW148" s="34" t="s">
        <v>163</v>
      </c>
      <c r="BX148" s="34"/>
      <c r="BY148" s="34">
        <v>4.0302202012260598E+18</v>
      </c>
      <c r="BZ148" s="34" t="s">
        <v>1221</v>
      </c>
      <c r="CA148" s="34" t="s">
        <v>161</v>
      </c>
    </row>
    <row r="149" spans="1:79" x14ac:dyDescent="0.25">
      <c r="A149" s="34" t="s">
        <v>374</v>
      </c>
      <c r="B149" s="34" t="s">
        <v>287</v>
      </c>
      <c r="C149" s="34">
        <v>2019</v>
      </c>
      <c r="D149" s="34" t="s">
        <v>422</v>
      </c>
      <c r="E149" s="34">
        <v>2.0200129917472301E+17</v>
      </c>
      <c r="F149" s="34" t="s">
        <v>182</v>
      </c>
      <c r="G149" s="34" t="s">
        <v>1222</v>
      </c>
      <c r="H149" s="34">
        <v>1378435</v>
      </c>
      <c r="I149" s="34"/>
      <c r="J149" s="34" t="s">
        <v>180</v>
      </c>
      <c r="K149" s="34" t="s">
        <v>179</v>
      </c>
      <c r="L149" s="34"/>
      <c r="M149" s="34"/>
      <c r="N149" s="34" t="s">
        <v>905</v>
      </c>
      <c r="O149" s="34" t="s">
        <v>297</v>
      </c>
      <c r="P149" s="34"/>
      <c r="Q149" s="34" t="s">
        <v>296</v>
      </c>
      <c r="R149" s="34" t="s">
        <v>906</v>
      </c>
      <c r="S149" s="34"/>
      <c r="T149" s="34" t="s">
        <v>907</v>
      </c>
      <c r="U149" s="34"/>
      <c r="V149" s="34" t="s">
        <v>949</v>
      </c>
      <c r="W149" s="34"/>
      <c r="X149" s="34" t="s">
        <v>909</v>
      </c>
      <c r="Y149" s="34" t="s">
        <v>47</v>
      </c>
      <c r="Z149" s="34">
        <v>2142</v>
      </c>
      <c r="AA149" s="34" t="s">
        <v>393</v>
      </c>
      <c r="AB149" s="34" t="s">
        <v>393</v>
      </c>
      <c r="AC149" s="34"/>
      <c r="AD149" s="34">
        <v>15</v>
      </c>
      <c r="AE149" s="34" t="s">
        <v>169</v>
      </c>
      <c r="AF149" s="34" t="s">
        <v>364</v>
      </c>
      <c r="AG149" s="34"/>
      <c r="AH149" s="34"/>
      <c r="AI149" s="34">
        <v>43676</v>
      </c>
      <c r="AJ149" s="34">
        <v>1</v>
      </c>
      <c r="AK149" s="34">
        <v>367.62</v>
      </c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 t="s">
        <v>363</v>
      </c>
      <c r="BG149" s="34"/>
      <c r="BH149" s="34"/>
      <c r="BI149" s="34"/>
      <c r="BJ149" s="34"/>
      <c r="BK149" s="34" t="s">
        <v>50</v>
      </c>
      <c r="BL149" s="34" t="s">
        <v>167</v>
      </c>
      <c r="BM149" s="34" t="s">
        <v>166</v>
      </c>
      <c r="BN149" s="34">
        <v>43894.430461087963</v>
      </c>
      <c r="BO149" s="34"/>
      <c r="BP149" s="34"/>
      <c r="BQ149" s="34"/>
      <c r="BR149" s="34" t="s">
        <v>165</v>
      </c>
      <c r="BS149" s="34">
        <v>4.02012020168638E+18</v>
      </c>
      <c r="BT149" s="34" t="s">
        <v>164</v>
      </c>
      <c r="BU149" s="34" t="s">
        <v>362</v>
      </c>
      <c r="BV149" s="34">
        <v>2020</v>
      </c>
      <c r="BW149" s="34" t="s">
        <v>163</v>
      </c>
      <c r="BX149" s="34"/>
      <c r="BY149" s="34">
        <v>4.0302202012304302E+18</v>
      </c>
      <c r="BZ149" s="34" t="s">
        <v>1113</v>
      </c>
      <c r="CA149" s="34" t="s">
        <v>161</v>
      </c>
    </row>
    <row r="150" spans="1:79" x14ac:dyDescent="0.25">
      <c r="A150" s="34" t="s">
        <v>374</v>
      </c>
      <c r="B150" s="34" t="s">
        <v>287</v>
      </c>
      <c r="C150" s="34">
        <v>2019</v>
      </c>
      <c r="D150" s="34" t="s">
        <v>422</v>
      </c>
      <c r="E150" s="34">
        <v>2.0200129917472301E+17</v>
      </c>
      <c r="F150" s="34" t="s">
        <v>182</v>
      </c>
      <c r="G150" s="34" t="s">
        <v>1223</v>
      </c>
      <c r="H150" s="34">
        <v>1378435</v>
      </c>
      <c r="I150" s="34"/>
      <c r="J150" s="34" t="s">
        <v>180</v>
      </c>
      <c r="K150" s="34" t="s">
        <v>179</v>
      </c>
      <c r="L150" s="34" t="s">
        <v>903</v>
      </c>
      <c r="M150" s="34"/>
      <c r="N150" s="34" t="s">
        <v>905</v>
      </c>
      <c r="O150" s="34" t="s">
        <v>297</v>
      </c>
      <c r="P150" s="34"/>
      <c r="Q150" s="34" t="s">
        <v>296</v>
      </c>
      <c r="R150" s="34" t="s">
        <v>906</v>
      </c>
      <c r="S150" s="34"/>
      <c r="T150" s="34" t="s">
        <v>907</v>
      </c>
      <c r="U150" s="34"/>
      <c r="V150" s="34" t="s">
        <v>949</v>
      </c>
      <c r="W150" s="34"/>
      <c r="X150" s="34" t="s">
        <v>909</v>
      </c>
      <c r="Y150" s="34" t="s">
        <v>47</v>
      </c>
      <c r="Z150" s="34">
        <v>2142</v>
      </c>
      <c r="AA150" s="34" t="s">
        <v>393</v>
      </c>
      <c r="AB150" s="34" t="s">
        <v>393</v>
      </c>
      <c r="AC150" s="34" t="s">
        <v>903</v>
      </c>
      <c r="AD150" s="34" t="s">
        <v>383</v>
      </c>
      <c r="AE150" s="34" t="s">
        <v>382</v>
      </c>
      <c r="AF150" s="34" t="s">
        <v>377</v>
      </c>
      <c r="AG150" s="34"/>
      <c r="AH150" s="34"/>
      <c r="AI150" s="34">
        <v>43707</v>
      </c>
      <c r="AJ150" s="34">
        <v>10</v>
      </c>
      <c r="AK150" s="34">
        <v>710</v>
      </c>
      <c r="AL150" s="34" t="s">
        <v>973</v>
      </c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 t="s">
        <v>363</v>
      </c>
      <c r="BG150" s="34"/>
      <c r="BH150" s="34"/>
      <c r="BI150" s="34"/>
      <c r="BJ150" s="34"/>
      <c r="BK150" s="34" t="s">
        <v>50</v>
      </c>
      <c r="BL150" s="34" t="s">
        <v>167</v>
      </c>
      <c r="BM150" s="34" t="s">
        <v>166</v>
      </c>
      <c r="BN150" s="34">
        <v>43894.43262521991</v>
      </c>
      <c r="BO150" s="34"/>
      <c r="BP150" s="34"/>
      <c r="BQ150" s="34"/>
      <c r="BR150" s="34" t="s">
        <v>165</v>
      </c>
      <c r="BS150" s="34">
        <v>4.02012020168638E+18</v>
      </c>
      <c r="BT150" s="34" t="s">
        <v>164</v>
      </c>
      <c r="BU150" s="34" t="s">
        <v>974</v>
      </c>
      <c r="BV150" s="34">
        <v>2020</v>
      </c>
      <c r="BW150" s="34" t="s">
        <v>163</v>
      </c>
      <c r="BX150" s="34"/>
      <c r="BY150" s="34">
        <v>4.0302202012309699E+18</v>
      </c>
      <c r="BZ150" s="34" t="s">
        <v>1224</v>
      </c>
      <c r="CA150" s="34" t="s">
        <v>161</v>
      </c>
    </row>
    <row r="151" spans="1:79" x14ac:dyDescent="0.25">
      <c r="A151" s="34" t="s">
        <v>374</v>
      </c>
      <c r="B151" s="34" t="s">
        <v>287</v>
      </c>
      <c r="C151" s="34">
        <v>2019</v>
      </c>
      <c r="D151" s="34" t="s">
        <v>422</v>
      </c>
      <c r="E151" s="34">
        <v>2.0200129917472301E+17</v>
      </c>
      <c r="F151" s="34" t="s">
        <v>182</v>
      </c>
      <c r="G151" s="34" t="s">
        <v>1225</v>
      </c>
      <c r="H151" s="34">
        <v>1378435</v>
      </c>
      <c r="I151" s="34"/>
      <c r="J151" s="34" t="s">
        <v>180</v>
      </c>
      <c r="K151" s="34" t="s">
        <v>179</v>
      </c>
      <c r="L151" s="34"/>
      <c r="M151" s="34"/>
      <c r="N151" s="34" t="s">
        <v>905</v>
      </c>
      <c r="O151" s="34" t="s">
        <v>297</v>
      </c>
      <c r="P151" s="34"/>
      <c r="Q151" s="34" t="s">
        <v>296</v>
      </c>
      <c r="R151" s="34" t="s">
        <v>906</v>
      </c>
      <c r="S151" s="34"/>
      <c r="T151" s="34" t="s">
        <v>907</v>
      </c>
      <c r="U151" s="34"/>
      <c r="V151" s="34" t="s">
        <v>949</v>
      </c>
      <c r="W151" s="34"/>
      <c r="X151" s="34" t="s">
        <v>909</v>
      </c>
      <c r="Y151" s="34" t="s">
        <v>47</v>
      </c>
      <c r="Z151" s="34">
        <v>2142</v>
      </c>
      <c r="AA151" s="34" t="s">
        <v>393</v>
      </c>
      <c r="AB151" s="34" t="s">
        <v>393</v>
      </c>
      <c r="AC151" s="34"/>
      <c r="AD151" s="34"/>
      <c r="AE151" s="34"/>
      <c r="AF151" s="34" t="s">
        <v>377</v>
      </c>
      <c r="AG151" s="34"/>
      <c r="AH151" s="34"/>
      <c r="AI151" s="34">
        <v>43784</v>
      </c>
      <c r="AJ151" s="34">
        <v>10</v>
      </c>
      <c r="AK151" s="34">
        <v>142</v>
      </c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 t="s">
        <v>363</v>
      </c>
      <c r="BG151" s="34"/>
      <c r="BH151" s="34"/>
      <c r="BI151" s="34"/>
      <c r="BJ151" s="34"/>
      <c r="BK151" s="34" t="s">
        <v>50</v>
      </c>
      <c r="BL151" s="34" t="s">
        <v>167</v>
      </c>
      <c r="BM151" s="34" t="s">
        <v>166</v>
      </c>
      <c r="BN151" s="34">
        <v>43894.434145057872</v>
      </c>
      <c r="BO151" s="34"/>
      <c r="BP151" s="34"/>
      <c r="BQ151" s="34"/>
      <c r="BR151" s="34" t="s">
        <v>165</v>
      </c>
      <c r="BS151" s="34">
        <v>4.02012020168638E+18</v>
      </c>
      <c r="BT151" s="34" t="s">
        <v>164</v>
      </c>
      <c r="BU151" s="34" t="s">
        <v>1115</v>
      </c>
      <c r="BV151" s="34">
        <v>2020</v>
      </c>
      <c r="BW151" s="34" t="s">
        <v>163</v>
      </c>
      <c r="BX151" s="34"/>
      <c r="BY151" s="34">
        <v>4.03022020122912E+18</v>
      </c>
      <c r="BZ151" s="34" t="s">
        <v>1160</v>
      </c>
      <c r="CA151" s="34" t="s">
        <v>161</v>
      </c>
    </row>
    <row r="152" spans="1:79" x14ac:dyDescent="0.25">
      <c r="A152" s="34" t="s">
        <v>374</v>
      </c>
      <c r="B152" s="34" t="s">
        <v>287</v>
      </c>
      <c r="C152" s="34">
        <v>2019</v>
      </c>
      <c r="D152" s="34" t="s">
        <v>422</v>
      </c>
      <c r="E152" s="34">
        <v>2.0200129917472301E+17</v>
      </c>
      <c r="F152" s="34" t="s">
        <v>182</v>
      </c>
      <c r="G152" s="34" t="s">
        <v>1226</v>
      </c>
      <c r="H152" s="34">
        <v>1378435</v>
      </c>
      <c r="I152" s="34"/>
      <c r="J152" s="34" t="s">
        <v>180</v>
      </c>
      <c r="K152" s="34" t="s">
        <v>179</v>
      </c>
      <c r="L152" s="34"/>
      <c r="M152" s="34"/>
      <c r="N152" s="34" t="s">
        <v>905</v>
      </c>
      <c r="O152" s="34" t="s">
        <v>297</v>
      </c>
      <c r="P152" s="34"/>
      <c r="Q152" s="34" t="s">
        <v>296</v>
      </c>
      <c r="R152" s="34" t="s">
        <v>906</v>
      </c>
      <c r="S152" s="34"/>
      <c r="T152" s="34" t="s">
        <v>907</v>
      </c>
      <c r="U152" s="34"/>
      <c r="V152" s="34" t="s">
        <v>949</v>
      </c>
      <c r="W152" s="34"/>
      <c r="X152" s="34" t="s">
        <v>909</v>
      </c>
      <c r="Y152" s="34" t="s">
        <v>47</v>
      </c>
      <c r="Z152" s="34">
        <v>2142</v>
      </c>
      <c r="AA152" s="34" t="s">
        <v>393</v>
      </c>
      <c r="AB152" s="34" t="s">
        <v>393</v>
      </c>
      <c r="AC152" s="34"/>
      <c r="AD152" s="34">
        <v>15</v>
      </c>
      <c r="AE152" s="34" t="s">
        <v>169</v>
      </c>
      <c r="AF152" s="34" t="s">
        <v>364</v>
      </c>
      <c r="AG152" s="34"/>
      <c r="AH152" s="34"/>
      <c r="AI152" s="34">
        <v>43779</v>
      </c>
      <c r="AJ152" s="34">
        <v>10</v>
      </c>
      <c r="AK152" s="34">
        <v>367.62</v>
      </c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 t="s">
        <v>363</v>
      </c>
      <c r="BG152" s="34"/>
      <c r="BH152" s="34"/>
      <c r="BI152" s="34"/>
      <c r="BJ152" s="34"/>
      <c r="BK152" s="34" t="s">
        <v>50</v>
      </c>
      <c r="BL152" s="34" t="s">
        <v>167</v>
      </c>
      <c r="BM152" s="34" t="s">
        <v>166</v>
      </c>
      <c r="BN152" s="34">
        <v>43894.43373553241</v>
      </c>
      <c r="BO152" s="34"/>
      <c r="BP152" s="34"/>
      <c r="BQ152" s="34"/>
      <c r="BR152" s="34" t="s">
        <v>165</v>
      </c>
      <c r="BS152" s="34">
        <v>4.02012020168638E+18</v>
      </c>
      <c r="BT152" s="34" t="s">
        <v>164</v>
      </c>
      <c r="BU152" s="34" t="s">
        <v>362</v>
      </c>
      <c r="BV152" s="34">
        <v>2020</v>
      </c>
      <c r="BW152" s="34" t="s">
        <v>163</v>
      </c>
      <c r="BX152" s="34"/>
      <c r="BY152" s="34">
        <v>4.0302202012290698E+18</v>
      </c>
      <c r="BZ152" s="34" t="s">
        <v>1169</v>
      </c>
      <c r="CA152" s="34" t="s">
        <v>161</v>
      </c>
    </row>
    <row r="153" spans="1:79" x14ac:dyDescent="0.25">
      <c r="A153" s="34" t="s">
        <v>374</v>
      </c>
      <c r="B153" s="34" t="s">
        <v>287</v>
      </c>
      <c r="C153" s="34">
        <v>2019</v>
      </c>
      <c r="D153" s="34" t="s">
        <v>422</v>
      </c>
      <c r="E153" s="34">
        <v>2.0200129917472301E+17</v>
      </c>
      <c r="F153" s="34" t="s">
        <v>182</v>
      </c>
      <c r="G153" s="34" t="s">
        <v>1227</v>
      </c>
      <c r="H153" s="34">
        <v>1378435</v>
      </c>
      <c r="I153" s="34"/>
      <c r="J153" s="34" t="s">
        <v>180</v>
      </c>
      <c r="K153" s="34" t="s">
        <v>179</v>
      </c>
      <c r="L153" s="34"/>
      <c r="M153" s="34"/>
      <c r="N153" s="34" t="s">
        <v>905</v>
      </c>
      <c r="O153" s="34" t="s">
        <v>297</v>
      </c>
      <c r="P153" s="34"/>
      <c r="Q153" s="34" t="s">
        <v>296</v>
      </c>
      <c r="R153" s="34" t="s">
        <v>906</v>
      </c>
      <c r="S153" s="34"/>
      <c r="T153" s="34" t="s">
        <v>907</v>
      </c>
      <c r="U153" s="34"/>
      <c r="V153" s="34" t="s">
        <v>949</v>
      </c>
      <c r="W153" s="34"/>
      <c r="X153" s="34" t="s">
        <v>909</v>
      </c>
      <c r="Y153" s="34" t="s">
        <v>47</v>
      </c>
      <c r="Z153" s="34">
        <v>2142</v>
      </c>
      <c r="AA153" s="34" t="s">
        <v>393</v>
      </c>
      <c r="AB153" s="34" t="s">
        <v>393</v>
      </c>
      <c r="AC153" s="34"/>
      <c r="AD153" s="34"/>
      <c r="AE153" s="34"/>
      <c r="AF153" s="34" t="s">
        <v>377</v>
      </c>
      <c r="AG153" s="34"/>
      <c r="AH153" s="34"/>
      <c r="AI153" s="34">
        <v>43695</v>
      </c>
      <c r="AJ153" s="34">
        <v>50</v>
      </c>
      <c r="AK153" s="34">
        <v>62.5</v>
      </c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 t="s">
        <v>363</v>
      </c>
      <c r="BG153" s="34"/>
      <c r="BH153" s="34"/>
      <c r="BI153" s="34"/>
      <c r="BJ153" s="34"/>
      <c r="BK153" s="34" t="s">
        <v>50</v>
      </c>
      <c r="BL153" s="34" t="s">
        <v>167</v>
      </c>
      <c r="BM153" s="34" t="s">
        <v>166</v>
      </c>
      <c r="BN153" s="34">
        <v>43894.436153356481</v>
      </c>
      <c r="BO153" s="34"/>
      <c r="BP153" s="34"/>
      <c r="BQ153" s="34"/>
      <c r="BR153" s="34" t="s">
        <v>165</v>
      </c>
      <c r="BS153" s="34">
        <v>4.02012020168638E+18</v>
      </c>
      <c r="BT153" s="34" t="s">
        <v>164</v>
      </c>
      <c r="BU153" s="34" t="s">
        <v>1155</v>
      </c>
      <c r="BV153" s="34">
        <v>2020</v>
      </c>
      <c r="BW153" s="34" t="s">
        <v>163</v>
      </c>
      <c r="BX153" s="34"/>
      <c r="BY153" s="34">
        <v>4.03022020123697E+18</v>
      </c>
      <c r="BZ153" s="34" t="s">
        <v>1122</v>
      </c>
      <c r="CA153" s="34" t="s">
        <v>161</v>
      </c>
    </row>
    <row r="154" spans="1:79" x14ac:dyDescent="0.25">
      <c r="A154" s="34" t="s">
        <v>374</v>
      </c>
      <c r="B154" s="34" t="s">
        <v>287</v>
      </c>
      <c r="C154" s="34">
        <v>2019</v>
      </c>
      <c r="D154" s="34" t="s">
        <v>422</v>
      </c>
      <c r="E154" s="34">
        <v>2.0200129917472301E+17</v>
      </c>
      <c r="F154" s="34" t="s">
        <v>182</v>
      </c>
      <c r="G154" s="34" t="s">
        <v>1228</v>
      </c>
      <c r="H154" s="34">
        <v>1378435</v>
      </c>
      <c r="I154" s="34"/>
      <c r="J154" s="34" t="s">
        <v>180</v>
      </c>
      <c r="K154" s="34" t="s">
        <v>179</v>
      </c>
      <c r="L154" s="34"/>
      <c r="M154" s="34"/>
      <c r="N154" s="34" t="s">
        <v>905</v>
      </c>
      <c r="O154" s="34" t="s">
        <v>297</v>
      </c>
      <c r="P154" s="34"/>
      <c r="Q154" s="34" t="s">
        <v>296</v>
      </c>
      <c r="R154" s="34" t="s">
        <v>906</v>
      </c>
      <c r="S154" s="34"/>
      <c r="T154" s="34" t="s">
        <v>907</v>
      </c>
      <c r="U154" s="34"/>
      <c r="V154" s="34" t="s">
        <v>949</v>
      </c>
      <c r="W154" s="34"/>
      <c r="X154" s="34" t="s">
        <v>909</v>
      </c>
      <c r="Y154" s="34" t="s">
        <v>47</v>
      </c>
      <c r="Z154" s="34">
        <v>2142</v>
      </c>
      <c r="AA154" s="34" t="s">
        <v>393</v>
      </c>
      <c r="AB154" s="34" t="s">
        <v>393</v>
      </c>
      <c r="AC154" s="34"/>
      <c r="AD154" s="34">
        <v>15</v>
      </c>
      <c r="AE154" s="34" t="s">
        <v>169</v>
      </c>
      <c r="AF154" s="34" t="s">
        <v>364</v>
      </c>
      <c r="AG154" s="34"/>
      <c r="AH154" s="34"/>
      <c r="AI154" s="34">
        <v>43725</v>
      </c>
      <c r="AJ154" s="34">
        <v>1</v>
      </c>
      <c r="AK154" s="34">
        <v>367.62</v>
      </c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 t="s">
        <v>363</v>
      </c>
      <c r="BG154" s="34"/>
      <c r="BH154" s="34"/>
      <c r="BI154" s="34"/>
      <c r="BJ154" s="34"/>
      <c r="BK154" s="34" t="s">
        <v>50</v>
      </c>
      <c r="BL154" s="34" t="s">
        <v>167</v>
      </c>
      <c r="BM154" s="34" t="s">
        <v>166</v>
      </c>
      <c r="BN154" s="34">
        <v>43894.436310520832</v>
      </c>
      <c r="BO154" s="34"/>
      <c r="BP154" s="34"/>
      <c r="BQ154" s="34"/>
      <c r="BR154" s="34" t="s">
        <v>165</v>
      </c>
      <c r="BS154" s="34">
        <v>4.02012020168638E+18</v>
      </c>
      <c r="BT154" s="34" t="s">
        <v>164</v>
      </c>
      <c r="BU154" s="34" t="s">
        <v>362</v>
      </c>
      <c r="BV154" s="34">
        <v>2020</v>
      </c>
      <c r="BW154" s="34" t="s">
        <v>163</v>
      </c>
      <c r="BX154" s="34"/>
      <c r="BY154" s="34">
        <v>4.0302202012312202E+18</v>
      </c>
      <c r="BZ154" s="34" t="s">
        <v>1164</v>
      </c>
      <c r="CA154" s="34" t="s">
        <v>161</v>
      </c>
    </row>
    <row r="155" spans="1:79" x14ac:dyDescent="0.25">
      <c r="A155" s="34" t="s">
        <v>374</v>
      </c>
      <c r="B155" s="34" t="s">
        <v>287</v>
      </c>
      <c r="C155" s="34">
        <v>2019</v>
      </c>
      <c r="D155" s="34" t="s">
        <v>422</v>
      </c>
      <c r="E155" s="34">
        <v>2.0200129917472301E+17</v>
      </c>
      <c r="F155" s="34" t="s">
        <v>182</v>
      </c>
      <c r="G155" s="34" t="s">
        <v>1229</v>
      </c>
      <c r="H155" s="34">
        <v>1378435</v>
      </c>
      <c r="I155" s="34"/>
      <c r="J155" s="34" t="s">
        <v>180</v>
      </c>
      <c r="K155" s="34" t="s">
        <v>179</v>
      </c>
      <c r="L155" s="34"/>
      <c r="M155" s="34"/>
      <c r="N155" s="34" t="s">
        <v>905</v>
      </c>
      <c r="O155" s="34" t="s">
        <v>297</v>
      </c>
      <c r="P155" s="34"/>
      <c r="Q155" s="34" t="s">
        <v>296</v>
      </c>
      <c r="R155" s="34" t="s">
        <v>906</v>
      </c>
      <c r="S155" s="34"/>
      <c r="T155" s="34" t="s">
        <v>907</v>
      </c>
      <c r="U155" s="34"/>
      <c r="V155" s="34" t="s">
        <v>949</v>
      </c>
      <c r="W155" s="34"/>
      <c r="X155" s="34" t="s">
        <v>909</v>
      </c>
      <c r="Y155" s="34" t="s">
        <v>47</v>
      </c>
      <c r="Z155" s="34">
        <v>2142</v>
      </c>
      <c r="AA155" s="34" t="s">
        <v>393</v>
      </c>
      <c r="AB155" s="34" t="s">
        <v>393</v>
      </c>
      <c r="AC155" s="34"/>
      <c r="AD155" s="34"/>
      <c r="AE155" s="34"/>
      <c r="AF155" s="34" t="s">
        <v>377</v>
      </c>
      <c r="AG155" s="34"/>
      <c r="AH155" s="34"/>
      <c r="AI155" s="34">
        <v>43762</v>
      </c>
      <c r="AJ155" s="34">
        <v>50</v>
      </c>
      <c r="AK155" s="34">
        <v>50</v>
      </c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 t="s">
        <v>363</v>
      </c>
      <c r="BG155" s="34"/>
      <c r="BH155" s="34"/>
      <c r="BI155" s="34"/>
      <c r="BJ155" s="34"/>
      <c r="BK155" s="34" t="s">
        <v>50</v>
      </c>
      <c r="BL155" s="34" t="s">
        <v>167</v>
      </c>
      <c r="BM155" s="34" t="s">
        <v>166</v>
      </c>
      <c r="BN155" s="34">
        <v>43894.43893744213</v>
      </c>
      <c r="BO155" s="34"/>
      <c r="BP155" s="34"/>
      <c r="BQ155" s="34"/>
      <c r="BR155" s="34" t="s">
        <v>165</v>
      </c>
      <c r="BS155" s="34">
        <v>4.02012020168638E+18</v>
      </c>
      <c r="BT155" s="34" t="s">
        <v>164</v>
      </c>
      <c r="BU155" s="34" t="s">
        <v>1230</v>
      </c>
      <c r="BV155" s="34">
        <v>2020</v>
      </c>
      <c r="BW155" s="34" t="s">
        <v>163</v>
      </c>
      <c r="BX155" s="34"/>
      <c r="BY155" s="34">
        <v>4.03022020123806E+18</v>
      </c>
      <c r="BZ155" s="34" t="s">
        <v>1100</v>
      </c>
      <c r="CA155" s="34" t="s">
        <v>161</v>
      </c>
    </row>
    <row r="156" spans="1:79" x14ac:dyDescent="0.25">
      <c r="A156" s="34" t="s">
        <v>374</v>
      </c>
      <c r="B156" s="34" t="s">
        <v>287</v>
      </c>
      <c r="C156" s="34">
        <v>2019</v>
      </c>
      <c r="D156" s="34" t="s">
        <v>422</v>
      </c>
      <c r="E156" s="34">
        <v>2.0200129917472301E+17</v>
      </c>
      <c r="F156" s="34" t="s">
        <v>182</v>
      </c>
      <c r="G156" s="34" t="s">
        <v>1231</v>
      </c>
      <c r="H156" s="34">
        <v>1378435</v>
      </c>
      <c r="I156" s="34"/>
      <c r="J156" s="34" t="s">
        <v>180</v>
      </c>
      <c r="K156" s="34" t="s">
        <v>179</v>
      </c>
      <c r="L156" s="34"/>
      <c r="M156" s="34"/>
      <c r="N156" s="34" t="s">
        <v>905</v>
      </c>
      <c r="O156" s="34" t="s">
        <v>297</v>
      </c>
      <c r="P156" s="34"/>
      <c r="Q156" s="34" t="s">
        <v>296</v>
      </c>
      <c r="R156" s="34" t="s">
        <v>906</v>
      </c>
      <c r="S156" s="34"/>
      <c r="T156" s="34" t="s">
        <v>907</v>
      </c>
      <c r="U156" s="34"/>
      <c r="V156" s="34" t="s">
        <v>949</v>
      </c>
      <c r="W156" s="34"/>
      <c r="X156" s="34" t="s">
        <v>909</v>
      </c>
      <c r="Y156" s="34" t="s">
        <v>47</v>
      </c>
      <c r="Z156" s="34">
        <v>2142</v>
      </c>
      <c r="AA156" s="34" t="s">
        <v>393</v>
      </c>
      <c r="AB156" s="34" t="s">
        <v>393</v>
      </c>
      <c r="AC156" s="34"/>
      <c r="AD156" s="34">
        <v>15</v>
      </c>
      <c r="AE156" s="34" t="s">
        <v>169</v>
      </c>
      <c r="AF156" s="34" t="s">
        <v>364</v>
      </c>
      <c r="AG156" s="34"/>
      <c r="AH156" s="34"/>
      <c r="AI156" s="34">
        <v>43788</v>
      </c>
      <c r="AJ156" s="34">
        <v>5</v>
      </c>
      <c r="AK156" s="34">
        <v>367.62</v>
      </c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 t="s">
        <v>363</v>
      </c>
      <c r="BG156" s="34"/>
      <c r="BH156" s="34"/>
      <c r="BI156" s="34"/>
      <c r="BJ156" s="34"/>
      <c r="BK156" s="34" t="s">
        <v>50</v>
      </c>
      <c r="BL156" s="34" t="s">
        <v>167</v>
      </c>
      <c r="BM156" s="34" t="s">
        <v>166</v>
      </c>
      <c r="BN156" s="34">
        <v>43894.438514641202</v>
      </c>
      <c r="BO156" s="34"/>
      <c r="BP156" s="34"/>
      <c r="BQ156" s="34"/>
      <c r="BR156" s="34" t="s">
        <v>165</v>
      </c>
      <c r="BS156" s="34">
        <v>4.02012020168638E+18</v>
      </c>
      <c r="BT156" s="34" t="s">
        <v>164</v>
      </c>
      <c r="BU156" s="34" t="s">
        <v>362</v>
      </c>
      <c r="BV156" s="34">
        <v>2020</v>
      </c>
      <c r="BW156" s="34" t="s">
        <v>163</v>
      </c>
      <c r="BX156" s="34"/>
      <c r="BY156" s="34">
        <v>4.0302202012384799E+18</v>
      </c>
      <c r="BZ156" s="34" t="s">
        <v>1171</v>
      </c>
      <c r="CA156" s="34" t="s">
        <v>161</v>
      </c>
    </row>
    <row r="157" spans="1:79" x14ac:dyDescent="0.25">
      <c r="A157" s="34" t="s">
        <v>374</v>
      </c>
      <c r="B157" s="34" t="s">
        <v>287</v>
      </c>
      <c r="C157" s="34">
        <v>2019</v>
      </c>
      <c r="D157" s="34" t="s">
        <v>422</v>
      </c>
      <c r="E157" s="34">
        <v>2.0200129917472301E+17</v>
      </c>
      <c r="F157" s="34" t="s">
        <v>182</v>
      </c>
      <c r="G157" s="34" t="s">
        <v>1232</v>
      </c>
      <c r="H157" s="34">
        <v>1378435</v>
      </c>
      <c r="I157" s="34"/>
      <c r="J157" s="34" t="s">
        <v>180</v>
      </c>
      <c r="K157" s="34" t="s">
        <v>179</v>
      </c>
      <c r="L157" s="34" t="s">
        <v>1104</v>
      </c>
      <c r="M157" s="34"/>
      <c r="N157" s="34" t="s">
        <v>905</v>
      </c>
      <c r="O157" s="34" t="s">
        <v>297</v>
      </c>
      <c r="P157" s="34"/>
      <c r="Q157" s="34" t="s">
        <v>296</v>
      </c>
      <c r="R157" s="34" t="s">
        <v>906</v>
      </c>
      <c r="S157" s="34"/>
      <c r="T157" s="34" t="s">
        <v>907</v>
      </c>
      <c r="U157" s="34"/>
      <c r="V157" s="34" t="s">
        <v>949</v>
      </c>
      <c r="W157" s="34"/>
      <c r="X157" s="34" t="s">
        <v>909</v>
      </c>
      <c r="Y157" s="34" t="s">
        <v>47</v>
      </c>
      <c r="Z157" s="34">
        <v>2142</v>
      </c>
      <c r="AA157" s="34" t="s">
        <v>393</v>
      </c>
      <c r="AB157" s="34" t="s">
        <v>393</v>
      </c>
      <c r="AC157" s="34" t="s">
        <v>1104</v>
      </c>
      <c r="AD157" s="34" t="s">
        <v>383</v>
      </c>
      <c r="AE157" s="34" t="s">
        <v>382</v>
      </c>
      <c r="AF157" s="34" t="s">
        <v>377</v>
      </c>
      <c r="AG157" s="34"/>
      <c r="AH157" s="34"/>
      <c r="AI157" s="34">
        <v>43765</v>
      </c>
      <c r="AJ157" s="34">
        <v>50</v>
      </c>
      <c r="AK157" s="34">
        <v>400</v>
      </c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 t="s">
        <v>363</v>
      </c>
      <c r="BG157" s="34"/>
      <c r="BH157" s="34"/>
      <c r="BI157" s="34"/>
      <c r="BJ157" s="34"/>
      <c r="BK157" s="34" t="s">
        <v>50</v>
      </c>
      <c r="BL157" s="34" t="s">
        <v>167</v>
      </c>
      <c r="BM157" s="34" t="s">
        <v>166</v>
      </c>
      <c r="BN157" s="34">
        <v>43894.439007592591</v>
      </c>
      <c r="BO157" s="34"/>
      <c r="BP157" s="34"/>
      <c r="BQ157" s="34"/>
      <c r="BR157" s="34" t="s">
        <v>165</v>
      </c>
      <c r="BS157" s="34">
        <v>4.02012020168638E+18</v>
      </c>
      <c r="BT157" s="34" t="s">
        <v>164</v>
      </c>
      <c r="BU157" s="34" t="s">
        <v>1105</v>
      </c>
      <c r="BV157" s="34">
        <v>2020</v>
      </c>
      <c r="BW157" s="34" t="s">
        <v>163</v>
      </c>
      <c r="BX157" s="34"/>
      <c r="BY157" s="34">
        <v>4.0302202012381E+18</v>
      </c>
      <c r="BZ157" s="34" t="s">
        <v>1190</v>
      </c>
      <c r="CA157" s="34" t="s">
        <v>161</v>
      </c>
    </row>
    <row r="158" spans="1:79" x14ac:dyDescent="0.25">
      <c r="A158" s="34" t="s">
        <v>374</v>
      </c>
      <c r="B158" s="34" t="s">
        <v>287</v>
      </c>
      <c r="C158" s="34">
        <v>2019</v>
      </c>
      <c r="D158" s="34" t="s">
        <v>422</v>
      </c>
      <c r="E158" s="34">
        <v>2.0200129917472301E+17</v>
      </c>
      <c r="F158" s="34" t="s">
        <v>182</v>
      </c>
      <c r="G158" s="34" t="s">
        <v>1233</v>
      </c>
      <c r="H158" s="34">
        <v>1378435</v>
      </c>
      <c r="I158" s="34"/>
      <c r="J158" s="34" t="s">
        <v>180</v>
      </c>
      <c r="K158" s="34" t="s">
        <v>179</v>
      </c>
      <c r="L158" s="34"/>
      <c r="M158" s="34"/>
      <c r="N158" s="34" t="s">
        <v>905</v>
      </c>
      <c r="O158" s="34" t="s">
        <v>297</v>
      </c>
      <c r="P158" s="34"/>
      <c r="Q158" s="34" t="s">
        <v>296</v>
      </c>
      <c r="R158" s="34" t="s">
        <v>906</v>
      </c>
      <c r="S158" s="34"/>
      <c r="T158" s="34" t="s">
        <v>907</v>
      </c>
      <c r="U158" s="34"/>
      <c r="V158" s="34" t="s">
        <v>949</v>
      </c>
      <c r="W158" s="34"/>
      <c r="X158" s="34" t="s">
        <v>909</v>
      </c>
      <c r="Y158" s="34" t="s">
        <v>47</v>
      </c>
      <c r="Z158" s="34">
        <v>2142</v>
      </c>
      <c r="AA158" s="34" t="s">
        <v>393</v>
      </c>
      <c r="AB158" s="34" t="s">
        <v>393</v>
      </c>
      <c r="AC158" s="34"/>
      <c r="AD158" s="34"/>
      <c r="AE158" s="34"/>
      <c r="AF158" s="34" t="s">
        <v>377</v>
      </c>
      <c r="AG158" s="34"/>
      <c r="AH158" s="34"/>
      <c r="AI158" s="34">
        <v>43676</v>
      </c>
      <c r="AJ158" s="34">
        <v>50</v>
      </c>
      <c r="AK158" s="34">
        <v>170.2</v>
      </c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 t="s">
        <v>363</v>
      </c>
      <c r="BG158" s="34"/>
      <c r="BH158" s="34"/>
      <c r="BI158" s="34"/>
      <c r="BJ158" s="34"/>
      <c r="BK158" s="34" t="s">
        <v>50</v>
      </c>
      <c r="BL158" s="34" t="s">
        <v>167</v>
      </c>
      <c r="BM158" s="34" t="s">
        <v>166</v>
      </c>
      <c r="BN158" s="34">
        <v>43894.45452673611</v>
      </c>
      <c r="BO158" s="34"/>
      <c r="BP158" s="34"/>
      <c r="BQ158" s="34"/>
      <c r="BR158" s="34" t="s">
        <v>165</v>
      </c>
      <c r="BS158" s="34">
        <v>4.02012020168638E+18</v>
      </c>
      <c r="BT158" s="34" t="s">
        <v>164</v>
      </c>
      <c r="BU158" s="34" t="s">
        <v>1166</v>
      </c>
      <c r="BV158" s="34">
        <v>2020</v>
      </c>
      <c r="BW158" s="34" t="s">
        <v>163</v>
      </c>
      <c r="BX158" s="34"/>
      <c r="BY158" s="34">
        <v>4.0302202012242601E+18</v>
      </c>
      <c r="BZ158" s="34" t="s">
        <v>1234</v>
      </c>
      <c r="CA158" s="34" t="s">
        <v>161</v>
      </c>
    </row>
    <row r="159" spans="1:79" x14ac:dyDescent="0.25">
      <c r="A159" s="34" t="s">
        <v>374</v>
      </c>
      <c r="B159" s="34" t="s">
        <v>287</v>
      </c>
      <c r="C159" s="34">
        <v>2019</v>
      </c>
      <c r="D159" s="34" t="s">
        <v>422</v>
      </c>
      <c r="E159" s="34">
        <v>2.0200129917472301E+17</v>
      </c>
      <c r="F159" s="34" t="s">
        <v>182</v>
      </c>
      <c r="G159" s="34" t="s">
        <v>1235</v>
      </c>
      <c r="H159" s="34">
        <v>1378435</v>
      </c>
      <c r="I159" s="34"/>
      <c r="J159" s="34" t="s">
        <v>180</v>
      </c>
      <c r="K159" s="34" t="s">
        <v>179</v>
      </c>
      <c r="L159" s="34"/>
      <c r="M159" s="34"/>
      <c r="N159" s="34" t="s">
        <v>905</v>
      </c>
      <c r="O159" s="34" t="s">
        <v>297</v>
      </c>
      <c r="P159" s="34"/>
      <c r="Q159" s="34" t="s">
        <v>296</v>
      </c>
      <c r="R159" s="34" t="s">
        <v>906</v>
      </c>
      <c r="S159" s="34"/>
      <c r="T159" s="34" t="s">
        <v>907</v>
      </c>
      <c r="U159" s="34"/>
      <c r="V159" s="34" t="s">
        <v>949</v>
      </c>
      <c r="W159" s="34"/>
      <c r="X159" s="34" t="s">
        <v>909</v>
      </c>
      <c r="Y159" s="34" t="s">
        <v>47</v>
      </c>
      <c r="Z159" s="34">
        <v>2142</v>
      </c>
      <c r="AA159" s="34" t="s">
        <v>393</v>
      </c>
      <c r="AB159" s="34" t="s">
        <v>393</v>
      </c>
      <c r="AC159" s="34"/>
      <c r="AD159" s="34">
        <v>15</v>
      </c>
      <c r="AE159" s="34" t="s">
        <v>169</v>
      </c>
      <c r="AF159" s="34" t="s">
        <v>364</v>
      </c>
      <c r="AG159" s="34"/>
      <c r="AH159" s="34"/>
      <c r="AI159" s="34">
        <v>43662</v>
      </c>
      <c r="AJ159" s="34">
        <v>2.5</v>
      </c>
      <c r="AK159" s="34">
        <v>367.62</v>
      </c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 t="s">
        <v>363</v>
      </c>
      <c r="BG159" s="34"/>
      <c r="BH159" s="34"/>
      <c r="BI159" s="34"/>
      <c r="BJ159" s="34"/>
      <c r="BK159" s="34" t="s">
        <v>50</v>
      </c>
      <c r="BL159" s="34" t="s">
        <v>167</v>
      </c>
      <c r="BM159" s="34" t="s">
        <v>166</v>
      </c>
      <c r="BN159" s="34">
        <v>43894.439989687497</v>
      </c>
      <c r="BO159" s="34"/>
      <c r="BP159" s="34"/>
      <c r="BQ159" s="34"/>
      <c r="BR159" s="34" t="s">
        <v>165</v>
      </c>
      <c r="BS159" s="34">
        <v>4.02012020168638E+18</v>
      </c>
      <c r="BT159" s="34" t="s">
        <v>164</v>
      </c>
      <c r="BU159" s="34" t="s">
        <v>362</v>
      </c>
      <c r="BV159" s="34">
        <v>2020</v>
      </c>
      <c r="BW159" s="34" t="s">
        <v>163</v>
      </c>
      <c r="BX159" s="34"/>
      <c r="BY159" s="34">
        <v>4.0302202012271498E+18</v>
      </c>
      <c r="BZ159" s="34" t="s">
        <v>1126</v>
      </c>
      <c r="CA159" s="34" t="s">
        <v>161</v>
      </c>
    </row>
    <row r="160" spans="1:79" x14ac:dyDescent="0.25">
      <c r="A160" s="34" t="s">
        <v>374</v>
      </c>
      <c r="B160" s="34" t="s">
        <v>287</v>
      </c>
      <c r="C160" s="34">
        <v>2019</v>
      </c>
      <c r="D160" s="34" t="s">
        <v>422</v>
      </c>
      <c r="E160" s="34">
        <v>2.0200129917472301E+17</v>
      </c>
      <c r="F160" s="34" t="s">
        <v>182</v>
      </c>
      <c r="G160" s="34" t="s">
        <v>1236</v>
      </c>
      <c r="H160" s="34">
        <v>1378435</v>
      </c>
      <c r="I160" s="34"/>
      <c r="J160" s="34" t="s">
        <v>180</v>
      </c>
      <c r="K160" s="34" t="s">
        <v>179</v>
      </c>
      <c r="L160" s="34"/>
      <c r="M160" s="34"/>
      <c r="N160" s="34" t="s">
        <v>905</v>
      </c>
      <c r="O160" s="34" t="s">
        <v>297</v>
      </c>
      <c r="P160" s="34"/>
      <c r="Q160" s="34" t="s">
        <v>296</v>
      </c>
      <c r="R160" s="34" t="s">
        <v>906</v>
      </c>
      <c r="S160" s="34"/>
      <c r="T160" s="34" t="s">
        <v>907</v>
      </c>
      <c r="U160" s="34"/>
      <c r="V160" s="34" t="s">
        <v>949</v>
      </c>
      <c r="W160" s="34"/>
      <c r="X160" s="34" t="s">
        <v>909</v>
      </c>
      <c r="Y160" s="34" t="s">
        <v>47</v>
      </c>
      <c r="Z160" s="34">
        <v>2142</v>
      </c>
      <c r="AA160" s="34" t="s">
        <v>393</v>
      </c>
      <c r="AB160" s="34" t="s">
        <v>393</v>
      </c>
      <c r="AC160" s="34"/>
      <c r="AD160" s="34">
        <v>15</v>
      </c>
      <c r="AE160" s="34" t="s">
        <v>169</v>
      </c>
      <c r="AF160" s="34" t="s">
        <v>364</v>
      </c>
      <c r="AG160" s="34"/>
      <c r="AH160" s="34"/>
      <c r="AI160" s="34">
        <v>43703</v>
      </c>
      <c r="AJ160" s="34">
        <v>5</v>
      </c>
      <c r="AK160" s="34">
        <v>367.62</v>
      </c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 t="s">
        <v>363</v>
      </c>
      <c r="BG160" s="34"/>
      <c r="BH160" s="34"/>
      <c r="BI160" s="34"/>
      <c r="BJ160" s="34"/>
      <c r="BK160" s="34" t="s">
        <v>50</v>
      </c>
      <c r="BL160" s="34" t="s">
        <v>167</v>
      </c>
      <c r="BM160" s="34" t="s">
        <v>166</v>
      </c>
      <c r="BN160" s="34">
        <v>43894.457107754628</v>
      </c>
      <c r="BO160" s="34"/>
      <c r="BP160" s="34"/>
      <c r="BQ160" s="34"/>
      <c r="BR160" s="34" t="s">
        <v>165</v>
      </c>
      <c r="BS160" s="34">
        <v>4.02012020168638E+18</v>
      </c>
      <c r="BT160" s="34" t="s">
        <v>164</v>
      </c>
      <c r="BU160" s="34" t="s">
        <v>362</v>
      </c>
      <c r="BV160" s="34">
        <v>2020</v>
      </c>
      <c r="BW160" s="34" t="s">
        <v>163</v>
      </c>
      <c r="BX160" s="34"/>
      <c r="BY160" s="34">
        <v>4.0302202012278098E+18</v>
      </c>
      <c r="BZ160" s="34" t="s">
        <v>1237</v>
      </c>
      <c r="CA160" s="34" t="s">
        <v>161</v>
      </c>
    </row>
    <row r="161" spans="1:79" x14ac:dyDescent="0.25">
      <c r="A161" s="34" t="s">
        <v>374</v>
      </c>
      <c r="B161" s="34" t="s">
        <v>287</v>
      </c>
      <c r="C161" s="34">
        <v>2019</v>
      </c>
      <c r="D161" s="34" t="s">
        <v>422</v>
      </c>
      <c r="E161" s="34">
        <v>2.0200129917472301E+17</v>
      </c>
      <c r="F161" s="34" t="s">
        <v>182</v>
      </c>
      <c r="G161" s="34" t="s">
        <v>1238</v>
      </c>
      <c r="H161" s="34">
        <v>1378435</v>
      </c>
      <c r="I161" s="34"/>
      <c r="J161" s="34" t="s">
        <v>180</v>
      </c>
      <c r="K161" s="34" t="s">
        <v>179</v>
      </c>
      <c r="L161" s="34"/>
      <c r="M161" s="34"/>
      <c r="N161" s="34" t="s">
        <v>905</v>
      </c>
      <c r="O161" s="34" t="s">
        <v>297</v>
      </c>
      <c r="P161" s="34"/>
      <c r="Q161" s="34" t="s">
        <v>296</v>
      </c>
      <c r="R161" s="34" t="s">
        <v>906</v>
      </c>
      <c r="S161" s="34"/>
      <c r="T161" s="34" t="s">
        <v>907</v>
      </c>
      <c r="U161" s="34"/>
      <c r="V161" s="34" t="s">
        <v>949</v>
      </c>
      <c r="W161" s="34"/>
      <c r="X161" s="34" t="s">
        <v>909</v>
      </c>
      <c r="Y161" s="34" t="s">
        <v>47</v>
      </c>
      <c r="Z161" s="34">
        <v>2142</v>
      </c>
      <c r="AA161" s="34" t="s">
        <v>393</v>
      </c>
      <c r="AB161" s="34" t="s">
        <v>393</v>
      </c>
      <c r="AC161" s="34"/>
      <c r="AD161" s="34">
        <v>15</v>
      </c>
      <c r="AE161" s="34" t="s">
        <v>169</v>
      </c>
      <c r="AF161" s="34" t="s">
        <v>364</v>
      </c>
      <c r="AG161" s="34"/>
      <c r="AH161" s="34"/>
      <c r="AI161" s="34">
        <v>43663</v>
      </c>
      <c r="AJ161" s="34">
        <v>2.02</v>
      </c>
      <c r="AK161" s="34">
        <v>367.62</v>
      </c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 t="s">
        <v>363</v>
      </c>
      <c r="BG161" s="34"/>
      <c r="BH161" s="34"/>
      <c r="BI161" s="34"/>
      <c r="BJ161" s="34"/>
      <c r="BK161" s="34" t="s">
        <v>50</v>
      </c>
      <c r="BL161" s="34" t="s">
        <v>167</v>
      </c>
      <c r="BM161" s="34" t="s">
        <v>166</v>
      </c>
      <c r="BN161" s="34">
        <v>43894.458784803239</v>
      </c>
      <c r="BO161" s="34"/>
      <c r="BP161" s="34"/>
      <c r="BQ161" s="34"/>
      <c r="BR161" s="34" t="s">
        <v>165</v>
      </c>
      <c r="BS161" s="34">
        <v>4.02012020168638E+18</v>
      </c>
      <c r="BT161" s="34" t="s">
        <v>164</v>
      </c>
      <c r="BU161" s="34" t="s">
        <v>362</v>
      </c>
      <c r="BV161" s="34">
        <v>2020</v>
      </c>
      <c r="BW161" s="34" t="s">
        <v>163</v>
      </c>
      <c r="BX161" s="34"/>
      <c r="BY161" s="34">
        <v>4.0302202012151199E+18</v>
      </c>
      <c r="BZ161" s="34" t="s">
        <v>1150</v>
      </c>
      <c r="CA161" s="34" t="s">
        <v>161</v>
      </c>
    </row>
    <row r="162" spans="1:79" x14ac:dyDescent="0.25">
      <c r="A162" s="34" t="s">
        <v>374</v>
      </c>
      <c r="B162" s="34" t="s">
        <v>287</v>
      </c>
      <c r="C162" s="34">
        <v>2019</v>
      </c>
      <c r="D162" s="34" t="s">
        <v>422</v>
      </c>
      <c r="E162" s="34">
        <v>2.0200129917472301E+17</v>
      </c>
      <c r="F162" s="34" t="s">
        <v>182</v>
      </c>
      <c r="G162" s="34" t="s">
        <v>1239</v>
      </c>
      <c r="H162" s="34">
        <v>1378435</v>
      </c>
      <c r="I162" s="34"/>
      <c r="J162" s="34" t="s">
        <v>180</v>
      </c>
      <c r="K162" s="34" t="s">
        <v>179</v>
      </c>
      <c r="L162" s="34"/>
      <c r="M162" s="34"/>
      <c r="N162" s="34" t="s">
        <v>905</v>
      </c>
      <c r="O162" s="34" t="s">
        <v>297</v>
      </c>
      <c r="P162" s="34"/>
      <c r="Q162" s="34" t="s">
        <v>296</v>
      </c>
      <c r="R162" s="34" t="s">
        <v>906</v>
      </c>
      <c r="S162" s="34"/>
      <c r="T162" s="34" t="s">
        <v>907</v>
      </c>
      <c r="U162" s="34"/>
      <c r="V162" s="34" t="s">
        <v>949</v>
      </c>
      <c r="W162" s="34"/>
      <c r="X162" s="34" t="s">
        <v>909</v>
      </c>
      <c r="Y162" s="34" t="s">
        <v>47</v>
      </c>
      <c r="Z162" s="34">
        <v>2142</v>
      </c>
      <c r="AA162" s="34" t="s">
        <v>393</v>
      </c>
      <c r="AB162" s="34" t="s">
        <v>393</v>
      </c>
      <c r="AC162" s="34"/>
      <c r="AD162" s="34">
        <v>15</v>
      </c>
      <c r="AE162" s="34" t="s">
        <v>169</v>
      </c>
      <c r="AF162" s="34" t="s">
        <v>364</v>
      </c>
      <c r="AG162" s="34"/>
      <c r="AH162" s="34"/>
      <c r="AI162" s="34">
        <v>43737</v>
      </c>
      <c r="AJ162" s="34">
        <v>2</v>
      </c>
      <c r="AK162" s="34">
        <v>367.62</v>
      </c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 t="s">
        <v>363</v>
      </c>
      <c r="BG162" s="34"/>
      <c r="BH162" s="34"/>
      <c r="BI162" s="34"/>
      <c r="BJ162" s="34"/>
      <c r="BK162" s="34" t="s">
        <v>50</v>
      </c>
      <c r="BL162" s="34" t="s">
        <v>167</v>
      </c>
      <c r="BM162" s="34" t="s">
        <v>166</v>
      </c>
      <c r="BN162" s="34">
        <v>43894.463557488423</v>
      </c>
      <c r="BO162" s="34"/>
      <c r="BP162" s="34"/>
      <c r="BQ162" s="34"/>
      <c r="BR162" s="34" t="s">
        <v>165</v>
      </c>
      <c r="BS162" s="34">
        <v>4.02012020168638E+18</v>
      </c>
      <c r="BT162" s="34" t="s">
        <v>164</v>
      </c>
      <c r="BU162" s="34" t="s">
        <v>362</v>
      </c>
      <c r="BV162" s="34">
        <v>2020</v>
      </c>
      <c r="BW162" s="34" t="s">
        <v>163</v>
      </c>
      <c r="BX162" s="34"/>
      <c r="BY162" s="34">
        <v>4.03022020123763E+18</v>
      </c>
      <c r="BZ162" s="34" t="s">
        <v>1179</v>
      </c>
      <c r="CA162" s="34" t="s">
        <v>161</v>
      </c>
    </row>
    <row r="163" spans="1:79" x14ac:dyDescent="0.25">
      <c r="A163" s="34" t="s">
        <v>374</v>
      </c>
      <c r="B163" s="34" t="s">
        <v>287</v>
      </c>
      <c r="C163" s="34">
        <v>2019</v>
      </c>
      <c r="D163" s="34" t="s">
        <v>422</v>
      </c>
      <c r="E163" s="34">
        <v>2.0200129917472301E+17</v>
      </c>
      <c r="F163" s="34" t="s">
        <v>182</v>
      </c>
      <c r="G163" s="34" t="s">
        <v>1240</v>
      </c>
      <c r="H163" s="34">
        <v>1378435</v>
      </c>
      <c r="I163" s="34"/>
      <c r="J163" s="34" t="s">
        <v>180</v>
      </c>
      <c r="K163" s="34" t="s">
        <v>179</v>
      </c>
      <c r="L163" s="34" t="s">
        <v>1061</v>
      </c>
      <c r="M163" s="34"/>
      <c r="N163" s="34" t="s">
        <v>905</v>
      </c>
      <c r="O163" s="34" t="s">
        <v>297</v>
      </c>
      <c r="P163" s="34"/>
      <c r="Q163" s="34" t="s">
        <v>296</v>
      </c>
      <c r="R163" s="34" t="s">
        <v>906</v>
      </c>
      <c r="S163" s="34"/>
      <c r="T163" s="34" t="s">
        <v>907</v>
      </c>
      <c r="U163" s="34"/>
      <c r="V163" s="34" t="s">
        <v>949</v>
      </c>
      <c r="W163" s="34"/>
      <c r="X163" s="34" t="s">
        <v>909</v>
      </c>
      <c r="Y163" s="34" t="s">
        <v>47</v>
      </c>
      <c r="Z163" s="34">
        <v>2142</v>
      </c>
      <c r="AA163" s="34" t="s">
        <v>393</v>
      </c>
      <c r="AB163" s="34" t="s">
        <v>393</v>
      </c>
      <c r="AC163" s="34" t="s">
        <v>1061</v>
      </c>
      <c r="AD163" s="34" t="s">
        <v>383</v>
      </c>
      <c r="AE163" s="34" t="s">
        <v>382</v>
      </c>
      <c r="AF163" s="34" t="s">
        <v>377</v>
      </c>
      <c r="AG163" s="34"/>
      <c r="AH163" s="34"/>
      <c r="AI163" s="34">
        <v>43704</v>
      </c>
      <c r="AJ163" s="34">
        <v>27</v>
      </c>
      <c r="AK163" s="34">
        <v>489</v>
      </c>
      <c r="AL163" s="34" t="s">
        <v>1095</v>
      </c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 t="s">
        <v>363</v>
      </c>
      <c r="BG163" s="34"/>
      <c r="BH163" s="34"/>
      <c r="BI163" s="34"/>
      <c r="BJ163" s="34"/>
      <c r="BK163" s="34" t="s">
        <v>50</v>
      </c>
      <c r="BL163" s="34" t="s">
        <v>167</v>
      </c>
      <c r="BM163" s="34" t="s">
        <v>166</v>
      </c>
      <c r="BN163" s="34">
        <v>43894.462024664354</v>
      </c>
      <c r="BO163" s="34"/>
      <c r="BP163" s="34"/>
      <c r="BQ163" s="34"/>
      <c r="BR163" s="34" t="s">
        <v>165</v>
      </c>
      <c r="BS163" s="34">
        <v>4.02012020168638E+18</v>
      </c>
      <c r="BT163" s="34" t="s">
        <v>164</v>
      </c>
      <c r="BU163" s="34" t="s">
        <v>957</v>
      </c>
      <c r="BV163" s="34">
        <v>2020</v>
      </c>
      <c r="BW163" s="34" t="s">
        <v>163</v>
      </c>
      <c r="BX163" s="34"/>
      <c r="BY163" s="34">
        <v>4.0302202012371E+18</v>
      </c>
      <c r="BZ163" s="34" t="s">
        <v>1187</v>
      </c>
      <c r="CA163" s="34" t="s">
        <v>161</v>
      </c>
    </row>
    <row r="164" spans="1:79" x14ac:dyDescent="0.25">
      <c r="A164" s="34" t="s">
        <v>374</v>
      </c>
      <c r="B164" s="34" t="s">
        <v>287</v>
      </c>
      <c r="C164" s="34">
        <v>2019</v>
      </c>
      <c r="D164" s="34" t="s">
        <v>422</v>
      </c>
      <c r="E164" s="34">
        <v>2.0200129917472301E+17</v>
      </c>
      <c r="F164" s="34" t="s">
        <v>182</v>
      </c>
      <c r="G164" s="34" t="s">
        <v>1241</v>
      </c>
      <c r="H164" s="34">
        <v>1378435</v>
      </c>
      <c r="I164" s="34"/>
      <c r="J164" s="34" t="s">
        <v>180</v>
      </c>
      <c r="K164" s="34" t="s">
        <v>179</v>
      </c>
      <c r="L164" s="34"/>
      <c r="M164" s="34"/>
      <c r="N164" s="34" t="s">
        <v>905</v>
      </c>
      <c r="O164" s="34" t="s">
        <v>297</v>
      </c>
      <c r="P164" s="34"/>
      <c r="Q164" s="34" t="s">
        <v>296</v>
      </c>
      <c r="R164" s="34" t="s">
        <v>906</v>
      </c>
      <c r="S164" s="34"/>
      <c r="T164" s="34" t="s">
        <v>907</v>
      </c>
      <c r="U164" s="34"/>
      <c r="V164" s="34" t="s">
        <v>949</v>
      </c>
      <c r="W164" s="34"/>
      <c r="X164" s="34" t="s">
        <v>909</v>
      </c>
      <c r="Y164" s="34" t="s">
        <v>47</v>
      </c>
      <c r="Z164" s="34">
        <v>2142</v>
      </c>
      <c r="AA164" s="34" t="s">
        <v>393</v>
      </c>
      <c r="AB164" s="34" t="s">
        <v>393</v>
      </c>
      <c r="AC164" s="34"/>
      <c r="AD164" s="34">
        <v>15</v>
      </c>
      <c r="AE164" s="34" t="s">
        <v>169</v>
      </c>
      <c r="AF164" s="34" t="s">
        <v>364</v>
      </c>
      <c r="AG164" s="34"/>
      <c r="AH164" s="34"/>
      <c r="AI164" s="34">
        <v>43807</v>
      </c>
      <c r="AJ164" s="34">
        <v>10</v>
      </c>
      <c r="AK164" s="34">
        <v>367.62</v>
      </c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 t="s">
        <v>363</v>
      </c>
      <c r="BG164" s="34"/>
      <c r="BH164" s="34"/>
      <c r="BI164" s="34"/>
      <c r="BJ164" s="34"/>
      <c r="BK164" s="34" t="s">
        <v>50</v>
      </c>
      <c r="BL164" s="34" t="s">
        <v>167</v>
      </c>
      <c r="BM164" s="34" t="s">
        <v>166</v>
      </c>
      <c r="BN164" s="34">
        <v>43894.472176527779</v>
      </c>
      <c r="BO164" s="34"/>
      <c r="BP164" s="34"/>
      <c r="BQ164" s="34"/>
      <c r="BR164" s="34" t="s">
        <v>165</v>
      </c>
      <c r="BS164" s="34">
        <v>4.02012020168638E+18</v>
      </c>
      <c r="BT164" s="34" t="s">
        <v>164</v>
      </c>
      <c r="BU164" s="34" t="s">
        <v>362</v>
      </c>
      <c r="BV164" s="34">
        <v>2020</v>
      </c>
      <c r="BW164" s="34" t="s">
        <v>163</v>
      </c>
      <c r="BX164" s="34"/>
      <c r="BY164" s="34">
        <v>4.0302202012264402E+18</v>
      </c>
      <c r="BZ164" s="34" t="s">
        <v>1242</v>
      </c>
      <c r="CA164" s="34" t="s">
        <v>161</v>
      </c>
    </row>
    <row r="165" spans="1:79" x14ac:dyDescent="0.25">
      <c r="A165" s="34" t="s">
        <v>374</v>
      </c>
      <c r="B165" s="34" t="s">
        <v>287</v>
      </c>
      <c r="C165" s="34">
        <v>2019</v>
      </c>
      <c r="D165" s="34" t="s">
        <v>422</v>
      </c>
      <c r="E165" s="34">
        <v>2.0200129917472301E+17</v>
      </c>
      <c r="F165" s="34" t="s">
        <v>182</v>
      </c>
      <c r="G165" s="34" t="s">
        <v>1243</v>
      </c>
      <c r="H165" s="34">
        <v>1378435</v>
      </c>
      <c r="I165" s="34"/>
      <c r="J165" s="34" t="s">
        <v>180</v>
      </c>
      <c r="K165" s="34" t="s">
        <v>179</v>
      </c>
      <c r="L165" s="34"/>
      <c r="M165" s="34"/>
      <c r="N165" s="34" t="s">
        <v>905</v>
      </c>
      <c r="O165" s="34" t="s">
        <v>297</v>
      </c>
      <c r="P165" s="34"/>
      <c r="Q165" s="34" t="s">
        <v>296</v>
      </c>
      <c r="R165" s="34" t="s">
        <v>906</v>
      </c>
      <c r="S165" s="34"/>
      <c r="T165" s="34" t="s">
        <v>907</v>
      </c>
      <c r="U165" s="34"/>
      <c r="V165" s="34" t="s">
        <v>949</v>
      </c>
      <c r="W165" s="34"/>
      <c r="X165" s="34" t="s">
        <v>909</v>
      </c>
      <c r="Y165" s="34" t="s">
        <v>47</v>
      </c>
      <c r="Z165" s="34">
        <v>2142</v>
      </c>
      <c r="AA165" s="34" t="s">
        <v>393</v>
      </c>
      <c r="AB165" s="34" t="s">
        <v>393</v>
      </c>
      <c r="AC165" s="34"/>
      <c r="AD165" s="34"/>
      <c r="AE165" s="34"/>
      <c r="AF165" s="34" t="s">
        <v>377</v>
      </c>
      <c r="AG165" s="34"/>
      <c r="AH165" s="34"/>
      <c r="AI165" s="34">
        <v>43669</v>
      </c>
      <c r="AJ165" s="34">
        <v>25</v>
      </c>
      <c r="AK165" s="34">
        <v>25</v>
      </c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 t="s">
        <v>363</v>
      </c>
      <c r="BG165" s="34"/>
      <c r="BH165" s="34"/>
      <c r="BI165" s="34"/>
      <c r="BJ165" s="34"/>
      <c r="BK165" s="34" t="s">
        <v>50</v>
      </c>
      <c r="BL165" s="34" t="s">
        <v>167</v>
      </c>
      <c r="BM165" s="34" t="s">
        <v>166</v>
      </c>
      <c r="BN165" s="34">
        <v>43894.472543541669</v>
      </c>
      <c r="BO165" s="34"/>
      <c r="BP165" s="34"/>
      <c r="BQ165" s="34"/>
      <c r="BR165" s="34" t="s">
        <v>165</v>
      </c>
      <c r="BS165" s="34">
        <v>4.02012020168638E+18</v>
      </c>
      <c r="BT165" s="34" t="s">
        <v>164</v>
      </c>
      <c r="BU165" s="34" t="s">
        <v>1244</v>
      </c>
      <c r="BV165" s="34">
        <v>2020</v>
      </c>
      <c r="BW165" s="34" t="s">
        <v>163</v>
      </c>
      <c r="BX165" s="34"/>
      <c r="BY165" s="34">
        <v>4.0302202012303401E+18</v>
      </c>
      <c r="BZ165" s="34" t="s">
        <v>1193</v>
      </c>
      <c r="CA165" s="34" t="s">
        <v>161</v>
      </c>
    </row>
    <row r="166" spans="1:79" x14ac:dyDescent="0.25">
      <c r="A166" s="34" t="s">
        <v>374</v>
      </c>
      <c r="B166" s="34" t="s">
        <v>287</v>
      </c>
      <c r="C166" s="34">
        <v>2019</v>
      </c>
      <c r="D166" s="34" t="s">
        <v>422</v>
      </c>
      <c r="E166" s="34">
        <v>2.0200129917472301E+17</v>
      </c>
      <c r="F166" s="34" t="s">
        <v>182</v>
      </c>
      <c r="G166" s="34" t="s">
        <v>1245</v>
      </c>
      <c r="H166" s="34">
        <v>1378435</v>
      </c>
      <c r="I166" s="34"/>
      <c r="J166" s="34" t="s">
        <v>180</v>
      </c>
      <c r="K166" s="34" t="s">
        <v>179</v>
      </c>
      <c r="L166" s="34"/>
      <c r="M166" s="34"/>
      <c r="N166" s="34" t="s">
        <v>905</v>
      </c>
      <c r="O166" s="34" t="s">
        <v>297</v>
      </c>
      <c r="P166" s="34"/>
      <c r="Q166" s="34" t="s">
        <v>296</v>
      </c>
      <c r="R166" s="34" t="s">
        <v>906</v>
      </c>
      <c r="S166" s="34"/>
      <c r="T166" s="34" t="s">
        <v>907</v>
      </c>
      <c r="U166" s="34"/>
      <c r="V166" s="34" t="s">
        <v>949</v>
      </c>
      <c r="W166" s="34"/>
      <c r="X166" s="34" t="s">
        <v>909</v>
      </c>
      <c r="Y166" s="34" t="s">
        <v>47</v>
      </c>
      <c r="Z166" s="34">
        <v>2142</v>
      </c>
      <c r="AA166" s="34" t="s">
        <v>393</v>
      </c>
      <c r="AB166" s="34" t="s">
        <v>393</v>
      </c>
      <c r="AC166" s="34"/>
      <c r="AD166" s="34">
        <v>15</v>
      </c>
      <c r="AE166" s="34" t="s">
        <v>169</v>
      </c>
      <c r="AF166" s="34" t="s">
        <v>364</v>
      </c>
      <c r="AG166" s="34"/>
      <c r="AH166" s="34"/>
      <c r="AI166" s="34">
        <v>43662</v>
      </c>
      <c r="AJ166" s="34">
        <v>10</v>
      </c>
      <c r="AK166" s="34">
        <v>367.62</v>
      </c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 t="s">
        <v>363</v>
      </c>
      <c r="BG166" s="34"/>
      <c r="BH166" s="34"/>
      <c r="BI166" s="34"/>
      <c r="BJ166" s="34"/>
      <c r="BK166" s="34" t="s">
        <v>50</v>
      </c>
      <c r="BL166" s="34" t="s">
        <v>167</v>
      </c>
      <c r="BM166" s="34" t="s">
        <v>166</v>
      </c>
      <c r="BN166" s="34">
        <v>43894.477538356485</v>
      </c>
      <c r="BO166" s="34"/>
      <c r="BP166" s="34"/>
      <c r="BQ166" s="34"/>
      <c r="BR166" s="34" t="s">
        <v>165</v>
      </c>
      <c r="BS166" s="34">
        <v>4.02012020168638E+18</v>
      </c>
      <c r="BT166" s="34" t="s">
        <v>164</v>
      </c>
      <c r="BU166" s="34" t="s">
        <v>362</v>
      </c>
      <c r="BV166" s="34">
        <v>2020</v>
      </c>
      <c r="BW166" s="34" t="s">
        <v>163</v>
      </c>
      <c r="BX166" s="34"/>
      <c r="BY166" s="34">
        <v>4.0302202012364201E+18</v>
      </c>
      <c r="BZ166" s="34" t="s">
        <v>1246</v>
      </c>
      <c r="CA166" s="34" t="s">
        <v>161</v>
      </c>
    </row>
    <row r="167" spans="1:79" x14ac:dyDescent="0.25">
      <c r="A167" s="34" t="s">
        <v>374</v>
      </c>
      <c r="B167" s="34" t="s">
        <v>287</v>
      </c>
      <c r="C167" s="34">
        <v>2019</v>
      </c>
      <c r="D167" s="34" t="s">
        <v>422</v>
      </c>
      <c r="E167" s="34">
        <v>2.0200129917472301E+17</v>
      </c>
      <c r="F167" s="34" t="s">
        <v>182</v>
      </c>
      <c r="G167" s="34" t="s">
        <v>1247</v>
      </c>
      <c r="H167" s="34">
        <v>1378435</v>
      </c>
      <c r="I167" s="34"/>
      <c r="J167" s="34" t="s">
        <v>180</v>
      </c>
      <c r="K167" s="34" t="s">
        <v>179</v>
      </c>
      <c r="L167" s="34"/>
      <c r="M167" s="34"/>
      <c r="N167" s="34" t="s">
        <v>905</v>
      </c>
      <c r="O167" s="34" t="s">
        <v>297</v>
      </c>
      <c r="P167" s="34"/>
      <c r="Q167" s="34" t="s">
        <v>296</v>
      </c>
      <c r="R167" s="34" t="s">
        <v>906</v>
      </c>
      <c r="S167" s="34"/>
      <c r="T167" s="34" t="s">
        <v>907</v>
      </c>
      <c r="U167" s="34"/>
      <c r="V167" s="34" t="s">
        <v>949</v>
      </c>
      <c r="W167" s="34"/>
      <c r="X167" s="34" t="s">
        <v>909</v>
      </c>
      <c r="Y167" s="34" t="s">
        <v>47</v>
      </c>
      <c r="Z167" s="34">
        <v>2142</v>
      </c>
      <c r="AA167" s="34" t="s">
        <v>393</v>
      </c>
      <c r="AB167" s="34" t="s">
        <v>393</v>
      </c>
      <c r="AC167" s="34"/>
      <c r="AD167" s="34">
        <v>15</v>
      </c>
      <c r="AE167" s="34" t="s">
        <v>169</v>
      </c>
      <c r="AF167" s="34" t="s">
        <v>364</v>
      </c>
      <c r="AG167" s="34"/>
      <c r="AH167" s="34"/>
      <c r="AI167" s="34">
        <v>43735</v>
      </c>
      <c r="AJ167" s="34">
        <v>5</v>
      </c>
      <c r="AK167" s="34">
        <v>367.62</v>
      </c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 t="s">
        <v>363</v>
      </c>
      <c r="BG167" s="34"/>
      <c r="BH167" s="34"/>
      <c r="BI167" s="34"/>
      <c r="BJ167" s="34"/>
      <c r="BK167" s="34" t="s">
        <v>50</v>
      </c>
      <c r="BL167" s="34" t="s">
        <v>167</v>
      </c>
      <c r="BM167" s="34" t="s">
        <v>166</v>
      </c>
      <c r="BN167" s="34">
        <v>43894.473251203701</v>
      </c>
      <c r="BO167" s="34"/>
      <c r="BP167" s="34"/>
      <c r="BQ167" s="34"/>
      <c r="BR167" s="34" t="s">
        <v>165</v>
      </c>
      <c r="BS167" s="34">
        <v>4.02012020168638E+18</v>
      </c>
      <c r="BT167" s="34" t="s">
        <v>164</v>
      </c>
      <c r="BU167" s="34" t="s">
        <v>362</v>
      </c>
      <c r="BV167" s="34">
        <v>2020</v>
      </c>
      <c r="BW167" s="34" t="s">
        <v>163</v>
      </c>
      <c r="BX167" s="34"/>
      <c r="BY167" s="34">
        <v>4.0302202012313902E+18</v>
      </c>
      <c r="BZ167" s="34" t="s">
        <v>1248</v>
      </c>
      <c r="CA167" s="34" t="s">
        <v>161</v>
      </c>
    </row>
    <row r="168" spans="1:79" x14ac:dyDescent="0.25">
      <c r="A168" s="34" t="s">
        <v>374</v>
      </c>
      <c r="B168" s="34" t="s">
        <v>287</v>
      </c>
      <c r="C168" s="34">
        <v>2019</v>
      </c>
      <c r="D168" s="34" t="s">
        <v>422</v>
      </c>
      <c r="E168" s="34">
        <v>2.0200129917472301E+17</v>
      </c>
      <c r="F168" s="34" t="s">
        <v>182</v>
      </c>
      <c r="G168" s="34" t="s">
        <v>1249</v>
      </c>
      <c r="H168" s="34">
        <v>1378435</v>
      </c>
      <c r="I168" s="34"/>
      <c r="J168" s="34" t="s">
        <v>180</v>
      </c>
      <c r="K168" s="34" t="s">
        <v>179</v>
      </c>
      <c r="L168" s="34" t="s">
        <v>903</v>
      </c>
      <c r="M168" s="34"/>
      <c r="N168" s="34" t="s">
        <v>905</v>
      </c>
      <c r="O168" s="34" t="s">
        <v>297</v>
      </c>
      <c r="P168" s="34"/>
      <c r="Q168" s="34" t="s">
        <v>296</v>
      </c>
      <c r="R168" s="34" t="s">
        <v>906</v>
      </c>
      <c r="S168" s="34"/>
      <c r="T168" s="34" t="s">
        <v>907</v>
      </c>
      <c r="U168" s="34"/>
      <c r="V168" s="34" t="s">
        <v>949</v>
      </c>
      <c r="W168" s="34"/>
      <c r="X168" s="34" t="s">
        <v>909</v>
      </c>
      <c r="Y168" s="34" t="s">
        <v>47</v>
      </c>
      <c r="Z168" s="34">
        <v>2142</v>
      </c>
      <c r="AA168" s="34" t="s">
        <v>393</v>
      </c>
      <c r="AB168" s="34" t="s">
        <v>393</v>
      </c>
      <c r="AC168" s="34" t="s">
        <v>903</v>
      </c>
      <c r="AD168" s="34" t="s">
        <v>383</v>
      </c>
      <c r="AE168" s="34" t="s">
        <v>382</v>
      </c>
      <c r="AF168" s="34" t="s">
        <v>377</v>
      </c>
      <c r="AG168" s="34"/>
      <c r="AH168" s="34"/>
      <c r="AI168" s="34">
        <v>43753</v>
      </c>
      <c r="AJ168" s="34">
        <v>50</v>
      </c>
      <c r="AK168" s="34">
        <v>710</v>
      </c>
      <c r="AL168" s="34" t="s">
        <v>973</v>
      </c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 t="s">
        <v>363</v>
      </c>
      <c r="BG168" s="34"/>
      <c r="BH168" s="34"/>
      <c r="BI168" s="34"/>
      <c r="BJ168" s="34"/>
      <c r="BK168" s="34" t="s">
        <v>50</v>
      </c>
      <c r="BL168" s="34" t="s">
        <v>167</v>
      </c>
      <c r="BM168" s="34" t="s">
        <v>166</v>
      </c>
      <c r="BN168" s="34">
        <v>43894.473473402781</v>
      </c>
      <c r="BO168" s="34"/>
      <c r="BP168" s="34"/>
      <c r="BQ168" s="34"/>
      <c r="BR168" s="34" t="s">
        <v>165</v>
      </c>
      <c r="BS168" s="34">
        <v>4.02012020168638E+18</v>
      </c>
      <c r="BT168" s="34" t="s">
        <v>164</v>
      </c>
      <c r="BU168" s="34" t="s">
        <v>974</v>
      </c>
      <c r="BV168" s="34">
        <v>2020</v>
      </c>
      <c r="BW168" s="34" t="s">
        <v>163</v>
      </c>
      <c r="BX168" s="34"/>
      <c r="BY168" s="34">
        <v>4.0302202012317102E+18</v>
      </c>
      <c r="BZ168" s="34" t="s">
        <v>1130</v>
      </c>
      <c r="CA168" s="34" t="s">
        <v>161</v>
      </c>
    </row>
    <row r="169" spans="1:79" x14ac:dyDescent="0.25">
      <c r="A169" s="34" t="s">
        <v>374</v>
      </c>
      <c r="B169" s="34" t="s">
        <v>287</v>
      </c>
      <c r="C169" s="34">
        <v>2019</v>
      </c>
      <c r="D169" s="34" t="s">
        <v>422</v>
      </c>
      <c r="E169" s="34">
        <v>2.0200129917472301E+17</v>
      </c>
      <c r="F169" s="34" t="s">
        <v>182</v>
      </c>
      <c r="G169" s="34" t="s">
        <v>1250</v>
      </c>
      <c r="H169" s="34">
        <v>1378435</v>
      </c>
      <c r="I169" s="34"/>
      <c r="J169" s="34" t="s">
        <v>180</v>
      </c>
      <c r="K169" s="34" t="s">
        <v>179</v>
      </c>
      <c r="L169" s="34" t="s">
        <v>1025</v>
      </c>
      <c r="M169" s="34"/>
      <c r="N169" s="34" t="s">
        <v>905</v>
      </c>
      <c r="O169" s="34" t="s">
        <v>297</v>
      </c>
      <c r="P169" s="34"/>
      <c r="Q169" s="34" t="s">
        <v>296</v>
      </c>
      <c r="R169" s="34" t="s">
        <v>906</v>
      </c>
      <c r="S169" s="34"/>
      <c r="T169" s="34" t="s">
        <v>907</v>
      </c>
      <c r="U169" s="34"/>
      <c r="V169" s="34" t="s">
        <v>949</v>
      </c>
      <c r="W169" s="34"/>
      <c r="X169" s="34" t="s">
        <v>909</v>
      </c>
      <c r="Y169" s="34" t="s">
        <v>47</v>
      </c>
      <c r="Z169" s="34">
        <v>2142</v>
      </c>
      <c r="AA169" s="34" t="s">
        <v>393</v>
      </c>
      <c r="AB169" s="34" t="s">
        <v>393</v>
      </c>
      <c r="AC169" s="34" t="s">
        <v>1025</v>
      </c>
      <c r="AD169" s="34" t="s">
        <v>383</v>
      </c>
      <c r="AE169" s="34" t="s">
        <v>382</v>
      </c>
      <c r="AF169" s="34" t="s">
        <v>377</v>
      </c>
      <c r="AG169" s="34"/>
      <c r="AH169" s="34"/>
      <c r="AI169" s="34">
        <v>43779</v>
      </c>
      <c r="AJ169" s="34">
        <v>100</v>
      </c>
      <c r="AK169" s="34">
        <v>600</v>
      </c>
      <c r="AL169" s="34" t="s">
        <v>1098</v>
      </c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 t="s">
        <v>363</v>
      </c>
      <c r="BG169" s="34"/>
      <c r="BH169" s="34"/>
      <c r="BI169" s="34"/>
      <c r="BJ169" s="34"/>
      <c r="BK169" s="34" t="s">
        <v>50</v>
      </c>
      <c r="BL169" s="34" t="s">
        <v>167</v>
      </c>
      <c r="BM169" s="34" t="s">
        <v>166</v>
      </c>
      <c r="BN169" s="34">
        <v>43894.490495740742</v>
      </c>
      <c r="BO169" s="34"/>
      <c r="BP169" s="34"/>
      <c r="BQ169" s="34"/>
      <c r="BR169" s="34" t="s">
        <v>165</v>
      </c>
      <c r="BS169" s="34">
        <v>4.02012020168638E+18</v>
      </c>
      <c r="BT169" s="34" t="s">
        <v>164</v>
      </c>
      <c r="BU169" s="34" t="s">
        <v>1099</v>
      </c>
      <c r="BV169" s="34">
        <v>2020</v>
      </c>
      <c r="BW169" s="34" t="s">
        <v>163</v>
      </c>
      <c r="BX169" s="34"/>
      <c r="BY169" s="34">
        <v>4.0302202012151101E+18</v>
      </c>
      <c r="BZ169" s="34" t="s">
        <v>1169</v>
      </c>
      <c r="CA169" s="34" t="s">
        <v>161</v>
      </c>
    </row>
    <row r="170" spans="1:79" x14ac:dyDescent="0.25">
      <c r="A170" s="34" t="s">
        <v>374</v>
      </c>
      <c r="B170" s="34" t="s">
        <v>287</v>
      </c>
      <c r="C170" s="34">
        <v>2019</v>
      </c>
      <c r="D170" s="34" t="s">
        <v>422</v>
      </c>
      <c r="E170" s="34">
        <v>2.0200129917472301E+17</v>
      </c>
      <c r="F170" s="34" t="s">
        <v>182</v>
      </c>
      <c r="G170" s="34" t="s">
        <v>1251</v>
      </c>
      <c r="H170" s="34">
        <v>1378435</v>
      </c>
      <c r="I170" s="34"/>
      <c r="J170" s="34" t="s">
        <v>180</v>
      </c>
      <c r="K170" s="34" t="s">
        <v>179</v>
      </c>
      <c r="L170" s="34"/>
      <c r="M170" s="34"/>
      <c r="N170" s="34" t="s">
        <v>905</v>
      </c>
      <c r="O170" s="34" t="s">
        <v>297</v>
      </c>
      <c r="P170" s="34"/>
      <c r="Q170" s="34" t="s">
        <v>296</v>
      </c>
      <c r="R170" s="34" t="s">
        <v>906</v>
      </c>
      <c r="S170" s="34"/>
      <c r="T170" s="34" t="s">
        <v>907</v>
      </c>
      <c r="U170" s="34"/>
      <c r="V170" s="34" t="s">
        <v>949</v>
      </c>
      <c r="W170" s="34"/>
      <c r="X170" s="34" t="s">
        <v>909</v>
      </c>
      <c r="Y170" s="34" t="s">
        <v>47</v>
      </c>
      <c r="Z170" s="34">
        <v>2142</v>
      </c>
      <c r="AA170" s="34" t="s">
        <v>393</v>
      </c>
      <c r="AB170" s="34" t="s">
        <v>393</v>
      </c>
      <c r="AC170" s="34"/>
      <c r="AD170" s="34">
        <v>15</v>
      </c>
      <c r="AE170" s="34" t="s">
        <v>169</v>
      </c>
      <c r="AF170" s="34" t="s">
        <v>364</v>
      </c>
      <c r="AG170" s="34"/>
      <c r="AH170" s="34"/>
      <c r="AI170" s="34">
        <v>43693</v>
      </c>
      <c r="AJ170" s="34">
        <v>2.5</v>
      </c>
      <c r="AK170" s="34">
        <v>367.62</v>
      </c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 t="s">
        <v>363</v>
      </c>
      <c r="BG170" s="34"/>
      <c r="BH170" s="34"/>
      <c r="BI170" s="34"/>
      <c r="BJ170" s="34"/>
      <c r="BK170" s="34" t="s">
        <v>50</v>
      </c>
      <c r="BL170" s="34" t="s">
        <v>167</v>
      </c>
      <c r="BM170" s="34" t="s">
        <v>166</v>
      </c>
      <c r="BN170" s="34">
        <v>43894.478218900462</v>
      </c>
      <c r="BO170" s="34"/>
      <c r="BP170" s="34"/>
      <c r="BQ170" s="34"/>
      <c r="BR170" s="34" t="s">
        <v>165</v>
      </c>
      <c r="BS170" s="34">
        <v>4.02012020168638E+18</v>
      </c>
      <c r="BT170" s="34" t="s">
        <v>164</v>
      </c>
      <c r="BU170" s="34" t="s">
        <v>362</v>
      </c>
      <c r="BV170" s="34">
        <v>2020</v>
      </c>
      <c r="BW170" s="34" t="s">
        <v>163</v>
      </c>
      <c r="BX170" s="34"/>
      <c r="BY170" s="34">
        <v>4.03022020123695E+18</v>
      </c>
      <c r="BZ170" s="34" t="s">
        <v>1195</v>
      </c>
      <c r="CA170" s="34" t="s">
        <v>161</v>
      </c>
    </row>
    <row r="171" spans="1:79" x14ac:dyDescent="0.25">
      <c r="A171" s="34" t="s">
        <v>374</v>
      </c>
      <c r="B171" s="34" t="s">
        <v>287</v>
      </c>
      <c r="C171" s="34">
        <v>2019</v>
      </c>
      <c r="D171" s="34" t="s">
        <v>422</v>
      </c>
      <c r="E171" s="34">
        <v>2.0200129917472301E+17</v>
      </c>
      <c r="F171" s="34" t="s">
        <v>182</v>
      </c>
      <c r="G171" s="34" t="s">
        <v>1252</v>
      </c>
      <c r="H171" s="34">
        <v>1378435</v>
      </c>
      <c r="I171" s="34"/>
      <c r="J171" s="34" t="s">
        <v>180</v>
      </c>
      <c r="K171" s="34" t="s">
        <v>179</v>
      </c>
      <c r="L171" s="34"/>
      <c r="M171" s="34"/>
      <c r="N171" s="34" t="s">
        <v>905</v>
      </c>
      <c r="O171" s="34" t="s">
        <v>297</v>
      </c>
      <c r="P171" s="34"/>
      <c r="Q171" s="34" t="s">
        <v>296</v>
      </c>
      <c r="R171" s="34" t="s">
        <v>906</v>
      </c>
      <c r="S171" s="34"/>
      <c r="T171" s="34" t="s">
        <v>907</v>
      </c>
      <c r="U171" s="34"/>
      <c r="V171" s="34" t="s">
        <v>949</v>
      </c>
      <c r="W171" s="34"/>
      <c r="X171" s="34" t="s">
        <v>909</v>
      </c>
      <c r="Y171" s="34" t="s">
        <v>47</v>
      </c>
      <c r="Z171" s="34">
        <v>2142</v>
      </c>
      <c r="AA171" s="34" t="s">
        <v>393</v>
      </c>
      <c r="AB171" s="34" t="s">
        <v>393</v>
      </c>
      <c r="AC171" s="34"/>
      <c r="AD171" s="34"/>
      <c r="AE171" s="34"/>
      <c r="AF171" s="34" t="s">
        <v>377</v>
      </c>
      <c r="AG171" s="34"/>
      <c r="AH171" s="34"/>
      <c r="AI171" s="34">
        <v>43785</v>
      </c>
      <c r="AJ171" s="34">
        <v>25</v>
      </c>
      <c r="AK171" s="34">
        <v>25</v>
      </c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 t="s">
        <v>363</v>
      </c>
      <c r="BG171" s="34"/>
      <c r="BH171" s="34"/>
      <c r="BI171" s="34"/>
      <c r="BJ171" s="34"/>
      <c r="BK171" s="34" t="s">
        <v>50</v>
      </c>
      <c r="BL171" s="34" t="s">
        <v>167</v>
      </c>
      <c r="BM171" s="34" t="s">
        <v>166</v>
      </c>
      <c r="BN171" s="34">
        <v>43894.480202372688</v>
      </c>
      <c r="BO171" s="34"/>
      <c r="BP171" s="34"/>
      <c r="BQ171" s="34"/>
      <c r="BR171" s="34" t="s">
        <v>165</v>
      </c>
      <c r="BS171" s="34">
        <v>4.02012020168638E+18</v>
      </c>
      <c r="BT171" s="34" t="s">
        <v>164</v>
      </c>
      <c r="BU171" s="34" t="s">
        <v>1253</v>
      </c>
      <c r="BV171" s="34">
        <v>2020</v>
      </c>
      <c r="BW171" s="34" t="s">
        <v>163</v>
      </c>
      <c r="BX171" s="34"/>
      <c r="BY171" s="34">
        <v>4.03022020123842E+18</v>
      </c>
      <c r="BZ171" s="34" t="s">
        <v>1221</v>
      </c>
      <c r="CA171" s="34" t="s">
        <v>161</v>
      </c>
    </row>
    <row r="172" spans="1:79" x14ac:dyDescent="0.25">
      <c r="A172" s="34" t="s">
        <v>374</v>
      </c>
      <c r="B172" s="34" t="s">
        <v>287</v>
      </c>
      <c r="C172" s="34">
        <v>2019</v>
      </c>
      <c r="D172" s="34" t="s">
        <v>422</v>
      </c>
      <c r="E172" s="34">
        <v>2.0200129917472301E+17</v>
      </c>
      <c r="F172" s="34" t="s">
        <v>182</v>
      </c>
      <c r="G172" s="34" t="s">
        <v>1254</v>
      </c>
      <c r="H172" s="34">
        <v>1378435</v>
      </c>
      <c r="I172" s="34"/>
      <c r="J172" s="34" t="s">
        <v>180</v>
      </c>
      <c r="K172" s="34" t="s">
        <v>179</v>
      </c>
      <c r="L172" s="34"/>
      <c r="M172" s="34"/>
      <c r="N172" s="34" t="s">
        <v>905</v>
      </c>
      <c r="O172" s="34" t="s">
        <v>297</v>
      </c>
      <c r="P172" s="34"/>
      <c r="Q172" s="34" t="s">
        <v>296</v>
      </c>
      <c r="R172" s="34" t="s">
        <v>906</v>
      </c>
      <c r="S172" s="34"/>
      <c r="T172" s="34" t="s">
        <v>907</v>
      </c>
      <c r="U172" s="34"/>
      <c r="V172" s="34" t="s">
        <v>949</v>
      </c>
      <c r="W172" s="34"/>
      <c r="X172" s="34" t="s">
        <v>909</v>
      </c>
      <c r="Y172" s="34" t="s">
        <v>47</v>
      </c>
      <c r="Z172" s="34">
        <v>2142</v>
      </c>
      <c r="AA172" s="34" t="s">
        <v>393</v>
      </c>
      <c r="AB172" s="34" t="s">
        <v>393</v>
      </c>
      <c r="AC172" s="34"/>
      <c r="AD172" s="34">
        <v>15</v>
      </c>
      <c r="AE172" s="34" t="s">
        <v>169</v>
      </c>
      <c r="AF172" s="34" t="s">
        <v>364</v>
      </c>
      <c r="AG172" s="34"/>
      <c r="AH172" s="34"/>
      <c r="AI172" s="34">
        <v>43704</v>
      </c>
      <c r="AJ172" s="34">
        <v>2.7</v>
      </c>
      <c r="AK172" s="34">
        <v>367.62</v>
      </c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 t="s">
        <v>363</v>
      </c>
      <c r="BG172" s="34"/>
      <c r="BH172" s="34"/>
      <c r="BI172" s="34"/>
      <c r="BJ172" s="34"/>
      <c r="BK172" s="34" t="s">
        <v>50</v>
      </c>
      <c r="BL172" s="34" t="s">
        <v>167</v>
      </c>
      <c r="BM172" s="34" t="s">
        <v>166</v>
      </c>
      <c r="BN172" s="34">
        <v>43894.490847384259</v>
      </c>
      <c r="BO172" s="34"/>
      <c r="BP172" s="34"/>
      <c r="BQ172" s="34"/>
      <c r="BR172" s="34" t="s">
        <v>165</v>
      </c>
      <c r="BS172" s="34">
        <v>4.02012020168638E+18</v>
      </c>
      <c r="BT172" s="34" t="s">
        <v>164</v>
      </c>
      <c r="BU172" s="34" t="s">
        <v>362</v>
      </c>
      <c r="BV172" s="34">
        <v>2020</v>
      </c>
      <c r="BW172" s="34" t="s">
        <v>163</v>
      </c>
      <c r="BX172" s="34"/>
      <c r="BY172" s="34">
        <v>4.03022020121504E+18</v>
      </c>
      <c r="BZ172" s="34" t="s">
        <v>1187</v>
      </c>
      <c r="CA172" s="34" t="s">
        <v>161</v>
      </c>
    </row>
    <row r="173" spans="1:79" x14ac:dyDescent="0.25">
      <c r="A173" s="34" t="s">
        <v>374</v>
      </c>
      <c r="B173" s="34" t="s">
        <v>287</v>
      </c>
      <c r="C173" s="34">
        <v>2019</v>
      </c>
      <c r="D173" s="34" t="s">
        <v>422</v>
      </c>
      <c r="E173" s="34">
        <v>2.0200129917472301E+17</v>
      </c>
      <c r="F173" s="34" t="s">
        <v>182</v>
      </c>
      <c r="G173" s="34" t="s">
        <v>1255</v>
      </c>
      <c r="H173" s="34">
        <v>1378435</v>
      </c>
      <c r="I173" s="34"/>
      <c r="J173" s="34" t="s">
        <v>180</v>
      </c>
      <c r="K173" s="34" t="s">
        <v>179</v>
      </c>
      <c r="L173" s="34"/>
      <c r="M173" s="34"/>
      <c r="N173" s="34" t="s">
        <v>905</v>
      </c>
      <c r="O173" s="34" t="s">
        <v>297</v>
      </c>
      <c r="P173" s="34"/>
      <c r="Q173" s="34" t="s">
        <v>296</v>
      </c>
      <c r="R173" s="34" t="s">
        <v>906</v>
      </c>
      <c r="S173" s="34"/>
      <c r="T173" s="34" t="s">
        <v>907</v>
      </c>
      <c r="U173" s="34"/>
      <c r="V173" s="34" t="s">
        <v>949</v>
      </c>
      <c r="W173" s="34"/>
      <c r="X173" s="34" t="s">
        <v>909</v>
      </c>
      <c r="Y173" s="34" t="s">
        <v>47</v>
      </c>
      <c r="Z173" s="34">
        <v>2142</v>
      </c>
      <c r="AA173" s="34" t="s">
        <v>393</v>
      </c>
      <c r="AB173" s="34" t="s">
        <v>393</v>
      </c>
      <c r="AC173" s="34"/>
      <c r="AD173" s="34">
        <v>15</v>
      </c>
      <c r="AE173" s="34" t="s">
        <v>169</v>
      </c>
      <c r="AF173" s="34" t="s">
        <v>364</v>
      </c>
      <c r="AG173" s="34"/>
      <c r="AH173" s="34"/>
      <c r="AI173" s="34">
        <v>43663</v>
      </c>
      <c r="AJ173" s="34">
        <v>1</v>
      </c>
      <c r="AK173" s="34">
        <v>367.62</v>
      </c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 t="s">
        <v>363</v>
      </c>
      <c r="BG173" s="34"/>
      <c r="BH173" s="34"/>
      <c r="BI173" s="34"/>
      <c r="BJ173" s="34"/>
      <c r="BK173" s="34" t="s">
        <v>50</v>
      </c>
      <c r="BL173" s="34" t="s">
        <v>167</v>
      </c>
      <c r="BM173" s="34" t="s">
        <v>166</v>
      </c>
      <c r="BN173" s="34">
        <v>43894.496261053238</v>
      </c>
      <c r="BO173" s="34"/>
      <c r="BP173" s="34"/>
      <c r="BQ173" s="34"/>
      <c r="BR173" s="34" t="s">
        <v>165</v>
      </c>
      <c r="BS173" s="34">
        <v>4.02012020168638E+18</v>
      </c>
      <c r="BT173" s="34" t="s">
        <v>164</v>
      </c>
      <c r="BU173" s="34" t="s">
        <v>362</v>
      </c>
      <c r="BV173" s="34">
        <v>2020</v>
      </c>
      <c r="BW173" s="34" t="s">
        <v>163</v>
      </c>
      <c r="BX173" s="34"/>
      <c r="BY173" s="34">
        <v>4.0302202012178801E+18</v>
      </c>
      <c r="BZ173" s="34" t="s">
        <v>1150</v>
      </c>
      <c r="CA173" s="34" t="s">
        <v>161</v>
      </c>
    </row>
    <row r="174" spans="1:79" x14ac:dyDescent="0.25">
      <c r="A174" s="34" t="s">
        <v>374</v>
      </c>
      <c r="B174" s="34" t="s">
        <v>287</v>
      </c>
      <c r="C174" s="34">
        <v>2019</v>
      </c>
      <c r="D174" s="34" t="s">
        <v>422</v>
      </c>
      <c r="E174" s="34">
        <v>2.0200129917472301E+17</v>
      </c>
      <c r="F174" s="34" t="s">
        <v>182</v>
      </c>
      <c r="G174" s="34" t="s">
        <v>1256</v>
      </c>
      <c r="H174" s="34">
        <v>1378435</v>
      </c>
      <c r="I174" s="34"/>
      <c r="J174" s="34" t="s">
        <v>180</v>
      </c>
      <c r="K174" s="34" t="s">
        <v>179</v>
      </c>
      <c r="L174" s="34"/>
      <c r="M174" s="34"/>
      <c r="N174" s="34" t="s">
        <v>905</v>
      </c>
      <c r="O174" s="34" t="s">
        <v>297</v>
      </c>
      <c r="P174" s="34"/>
      <c r="Q174" s="34" t="s">
        <v>296</v>
      </c>
      <c r="R174" s="34" t="s">
        <v>906</v>
      </c>
      <c r="S174" s="34"/>
      <c r="T174" s="34" t="s">
        <v>907</v>
      </c>
      <c r="U174" s="34"/>
      <c r="V174" s="34" t="s">
        <v>949</v>
      </c>
      <c r="W174" s="34"/>
      <c r="X174" s="34" t="s">
        <v>909</v>
      </c>
      <c r="Y174" s="34" t="s">
        <v>47</v>
      </c>
      <c r="Z174" s="34">
        <v>2142</v>
      </c>
      <c r="AA174" s="34" t="s">
        <v>393</v>
      </c>
      <c r="AB174" s="34" t="s">
        <v>393</v>
      </c>
      <c r="AC174" s="34"/>
      <c r="AD174" s="34">
        <v>15</v>
      </c>
      <c r="AE174" s="34" t="s">
        <v>169</v>
      </c>
      <c r="AF174" s="34" t="s">
        <v>364</v>
      </c>
      <c r="AG174" s="34"/>
      <c r="AH174" s="34"/>
      <c r="AI174" s="34">
        <v>43664</v>
      </c>
      <c r="AJ174" s="34">
        <v>5</v>
      </c>
      <c r="AK174" s="34">
        <v>367.62</v>
      </c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 t="s">
        <v>363</v>
      </c>
      <c r="BG174" s="34"/>
      <c r="BH174" s="34"/>
      <c r="BI174" s="34"/>
      <c r="BJ174" s="34"/>
      <c r="BK174" s="34" t="s">
        <v>50</v>
      </c>
      <c r="BL174" s="34" t="s">
        <v>167</v>
      </c>
      <c r="BM174" s="34" t="s">
        <v>166</v>
      </c>
      <c r="BN174" s="34">
        <v>43894.497424664354</v>
      </c>
      <c r="BO174" s="34"/>
      <c r="BP174" s="34"/>
      <c r="BQ174" s="34"/>
      <c r="BR174" s="34" t="s">
        <v>165</v>
      </c>
      <c r="BS174" s="34">
        <v>4.02012020168638E+18</v>
      </c>
      <c r="BT174" s="34" t="s">
        <v>164</v>
      </c>
      <c r="BU174" s="34" t="s">
        <v>362</v>
      </c>
      <c r="BV174" s="34">
        <v>2020</v>
      </c>
      <c r="BW174" s="34" t="s">
        <v>163</v>
      </c>
      <c r="BX174" s="34"/>
      <c r="BY174" s="34">
        <v>4.0302202012210002E+18</v>
      </c>
      <c r="BZ174" s="34" t="s">
        <v>1153</v>
      </c>
      <c r="CA174" s="34" t="s">
        <v>161</v>
      </c>
    </row>
    <row r="175" spans="1:79" x14ac:dyDescent="0.25">
      <c r="A175" s="34" t="s">
        <v>374</v>
      </c>
      <c r="B175" s="34" t="s">
        <v>287</v>
      </c>
      <c r="C175" s="34">
        <v>2019</v>
      </c>
      <c r="D175" s="34" t="s">
        <v>422</v>
      </c>
      <c r="E175" s="34">
        <v>2.0200129917472301E+17</v>
      </c>
      <c r="F175" s="34" t="s">
        <v>182</v>
      </c>
      <c r="G175" s="34" t="s">
        <v>1257</v>
      </c>
      <c r="H175" s="34">
        <v>1378435</v>
      </c>
      <c r="I175" s="34"/>
      <c r="J175" s="34" t="s">
        <v>180</v>
      </c>
      <c r="K175" s="34" t="s">
        <v>179</v>
      </c>
      <c r="L175" s="34"/>
      <c r="M175" s="34"/>
      <c r="N175" s="34" t="s">
        <v>905</v>
      </c>
      <c r="O175" s="34" t="s">
        <v>297</v>
      </c>
      <c r="P175" s="34"/>
      <c r="Q175" s="34" t="s">
        <v>296</v>
      </c>
      <c r="R175" s="34" t="s">
        <v>906</v>
      </c>
      <c r="S175" s="34"/>
      <c r="T175" s="34" t="s">
        <v>907</v>
      </c>
      <c r="U175" s="34"/>
      <c r="V175" s="34" t="s">
        <v>949</v>
      </c>
      <c r="W175" s="34"/>
      <c r="X175" s="34" t="s">
        <v>909</v>
      </c>
      <c r="Y175" s="34" t="s">
        <v>47</v>
      </c>
      <c r="Z175" s="34">
        <v>2142</v>
      </c>
      <c r="AA175" s="34" t="s">
        <v>393</v>
      </c>
      <c r="AB175" s="34" t="s">
        <v>393</v>
      </c>
      <c r="AC175" s="34"/>
      <c r="AD175" s="34"/>
      <c r="AE175" s="34"/>
      <c r="AF175" s="34" t="s">
        <v>377</v>
      </c>
      <c r="AG175" s="34"/>
      <c r="AH175" s="34"/>
      <c r="AI175" s="34">
        <v>43737</v>
      </c>
      <c r="AJ175" s="34">
        <v>20</v>
      </c>
      <c r="AK175" s="34">
        <v>130</v>
      </c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 t="s">
        <v>363</v>
      </c>
      <c r="BG175" s="34"/>
      <c r="BH175" s="34"/>
      <c r="BI175" s="34"/>
      <c r="BJ175" s="34"/>
      <c r="BK175" s="34" t="s">
        <v>50</v>
      </c>
      <c r="BL175" s="34" t="s">
        <v>167</v>
      </c>
      <c r="BM175" s="34" t="s">
        <v>166</v>
      </c>
      <c r="BN175" s="34">
        <v>43894.496782395836</v>
      </c>
      <c r="BO175" s="34"/>
      <c r="BP175" s="34"/>
      <c r="BQ175" s="34"/>
      <c r="BR175" s="34" t="s">
        <v>165</v>
      </c>
      <c r="BS175" s="34">
        <v>4.02012020168638E+18</v>
      </c>
      <c r="BT175" s="34" t="s">
        <v>164</v>
      </c>
      <c r="BU175" s="34" t="s">
        <v>1184</v>
      </c>
      <c r="BV175" s="34">
        <v>2020</v>
      </c>
      <c r="BW175" s="34" t="s">
        <v>163</v>
      </c>
      <c r="BX175" s="34"/>
      <c r="BY175" s="34">
        <v>4.0302202012191002E+18</v>
      </c>
      <c r="BZ175" s="34" t="s">
        <v>1179</v>
      </c>
      <c r="CA175" s="34" t="s">
        <v>161</v>
      </c>
    </row>
    <row r="176" spans="1:79" x14ac:dyDescent="0.25">
      <c r="A176" s="34" t="s">
        <v>374</v>
      </c>
      <c r="B176" s="34" t="s">
        <v>287</v>
      </c>
      <c r="C176" s="34">
        <v>2019</v>
      </c>
      <c r="D176" s="34" t="s">
        <v>422</v>
      </c>
      <c r="E176" s="34">
        <v>2.0200129917472301E+17</v>
      </c>
      <c r="F176" s="34" t="s">
        <v>182</v>
      </c>
      <c r="G176" s="34" t="s">
        <v>1258</v>
      </c>
      <c r="H176" s="34">
        <v>1378435</v>
      </c>
      <c r="I176" s="34"/>
      <c r="J176" s="34" t="s">
        <v>180</v>
      </c>
      <c r="K176" s="34" t="s">
        <v>179</v>
      </c>
      <c r="L176" s="34"/>
      <c r="M176" s="34"/>
      <c r="N176" s="34" t="s">
        <v>905</v>
      </c>
      <c r="O176" s="34" t="s">
        <v>297</v>
      </c>
      <c r="P176" s="34"/>
      <c r="Q176" s="34" t="s">
        <v>296</v>
      </c>
      <c r="R176" s="34" t="s">
        <v>906</v>
      </c>
      <c r="S176" s="34"/>
      <c r="T176" s="34" t="s">
        <v>907</v>
      </c>
      <c r="U176" s="34"/>
      <c r="V176" s="34" t="s">
        <v>949</v>
      </c>
      <c r="W176" s="34"/>
      <c r="X176" s="34" t="s">
        <v>909</v>
      </c>
      <c r="Y176" s="34" t="s">
        <v>47</v>
      </c>
      <c r="Z176" s="34">
        <v>2142</v>
      </c>
      <c r="AA176" s="34" t="s">
        <v>393</v>
      </c>
      <c r="AB176" s="34" t="s">
        <v>393</v>
      </c>
      <c r="AC176" s="34"/>
      <c r="AD176" s="34">
        <v>15</v>
      </c>
      <c r="AE176" s="34" t="s">
        <v>169</v>
      </c>
      <c r="AF176" s="34" t="s">
        <v>364</v>
      </c>
      <c r="AG176" s="34"/>
      <c r="AH176" s="34"/>
      <c r="AI176" s="34">
        <v>43684</v>
      </c>
      <c r="AJ176" s="34">
        <v>10</v>
      </c>
      <c r="AK176" s="34">
        <v>367.62</v>
      </c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 t="s">
        <v>363</v>
      </c>
      <c r="BG176" s="34"/>
      <c r="BH176" s="34"/>
      <c r="BI176" s="34"/>
      <c r="BJ176" s="34"/>
      <c r="BK176" s="34" t="s">
        <v>50</v>
      </c>
      <c r="BL176" s="34" t="s">
        <v>167</v>
      </c>
      <c r="BM176" s="34" t="s">
        <v>166</v>
      </c>
      <c r="BN176" s="34">
        <v>43894.498458553244</v>
      </c>
      <c r="BO176" s="34"/>
      <c r="BP176" s="34"/>
      <c r="BQ176" s="34"/>
      <c r="BR176" s="34" t="s">
        <v>165</v>
      </c>
      <c r="BS176" s="34">
        <v>4.02012020168638E+18</v>
      </c>
      <c r="BT176" s="34" t="s">
        <v>164</v>
      </c>
      <c r="BU176" s="34" t="s">
        <v>362</v>
      </c>
      <c r="BV176" s="34">
        <v>2020</v>
      </c>
      <c r="BW176" s="34" t="s">
        <v>163</v>
      </c>
      <c r="BX176" s="34"/>
      <c r="BY176" s="34">
        <v>4.0302202012213601E+18</v>
      </c>
      <c r="BZ176" s="34" t="s">
        <v>1208</v>
      </c>
      <c r="CA176" s="34" t="s">
        <v>161</v>
      </c>
    </row>
    <row r="177" spans="1:79" x14ac:dyDescent="0.25">
      <c r="A177" s="34" t="s">
        <v>374</v>
      </c>
      <c r="B177" s="34" t="s">
        <v>287</v>
      </c>
      <c r="C177" s="34">
        <v>2019</v>
      </c>
      <c r="D177" s="34" t="s">
        <v>422</v>
      </c>
      <c r="E177" s="34">
        <v>2.0200129917472301E+17</v>
      </c>
      <c r="F177" s="34" t="s">
        <v>182</v>
      </c>
      <c r="G177" s="34" t="s">
        <v>1259</v>
      </c>
      <c r="H177" s="34">
        <v>1378435</v>
      </c>
      <c r="I177" s="34"/>
      <c r="J177" s="34" t="s">
        <v>180</v>
      </c>
      <c r="K177" s="34" t="s">
        <v>179</v>
      </c>
      <c r="L177" s="34" t="s">
        <v>903</v>
      </c>
      <c r="M177" s="34"/>
      <c r="N177" s="34" t="s">
        <v>905</v>
      </c>
      <c r="O177" s="34" t="s">
        <v>297</v>
      </c>
      <c r="P177" s="34"/>
      <c r="Q177" s="34" t="s">
        <v>296</v>
      </c>
      <c r="R177" s="34" t="s">
        <v>906</v>
      </c>
      <c r="S177" s="34"/>
      <c r="T177" s="34" t="s">
        <v>907</v>
      </c>
      <c r="U177" s="34"/>
      <c r="V177" s="34" t="s">
        <v>949</v>
      </c>
      <c r="W177" s="34"/>
      <c r="X177" s="34" t="s">
        <v>909</v>
      </c>
      <c r="Y177" s="34" t="s">
        <v>47</v>
      </c>
      <c r="Z177" s="34">
        <v>2142</v>
      </c>
      <c r="AA177" s="34" t="s">
        <v>393</v>
      </c>
      <c r="AB177" s="34" t="s">
        <v>393</v>
      </c>
      <c r="AC177" s="34" t="s">
        <v>903</v>
      </c>
      <c r="AD177" s="34" t="s">
        <v>383</v>
      </c>
      <c r="AE177" s="34" t="s">
        <v>382</v>
      </c>
      <c r="AF177" s="34" t="s">
        <v>377</v>
      </c>
      <c r="AG177" s="34"/>
      <c r="AH177" s="34"/>
      <c r="AI177" s="34">
        <v>43694</v>
      </c>
      <c r="AJ177" s="34">
        <v>10</v>
      </c>
      <c r="AK177" s="34">
        <v>710</v>
      </c>
      <c r="AL177" s="34" t="s">
        <v>973</v>
      </c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 t="s">
        <v>363</v>
      </c>
      <c r="BG177" s="34"/>
      <c r="BH177" s="34"/>
      <c r="BI177" s="34"/>
      <c r="BJ177" s="34"/>
      <c r="BK177" s="34" t="s">
        <v>50</v>
      </c>
      <c r="BL177" s="34" t="s">
        <v>167</v>
      </c>
      <c r="BM177" s="34" t="s">
        <v>166</v>
      </c>
      <c r="BN177" s="34">
        <v>43894.505013425929</v>
      </c>
      <c r="BO177" s="34"/>
      <c r="BP177" s="34"/>
      <c r="BQ177" s="34"/>
      <c r="BR177" s="34" t="s">
        <v>165</v>
      </c>
      <c r="BS177" s="34">
        <v>4.02012020168638E+18</v>
      </c>
      <c r="BT177" s="34" t="s">
        <v>164</v>
      </c>
      <c r="BU177" s="34" t="s">
        <v>974</v>
      </c>
      <c r="BV177" s="34">
        <v>2020</v>
      </c>
      <c r="BW177" s="34" t="s">
        <v>163</v>
      </c>
      <c r="BX177" s="34"/>
      <c r="BY177" s="34">
        <v>4.0302202012245898E+18</v>
      </c>
      <c r="BZ177" s="34" t="s">
        <v>1158</v>
      </c>
      <c r="CA177" s="34" t="s">
        <v>161</v>
      </c>
    </row>
    <row r="178" spans="1:79" x14ac:dyDescent="0.25">
      <c r="A178" s="34" t="s">
        <v>374</v>
      </c>
      <c r="B178" s="34" t="s">
        <v>287</v>
      </c>
      <c r="C178" s="34">
        <v>2019</v>
      </c>
      <c r="D178" s="34" t="s">
        <v>422</v>
      </c>
      <c r="E178" s="34">
        <v>2.0200129917472301E+17</v>
      </c>
      <c r="F178" s="34" t="s">
        <v>182</v>
      </c>
      <c r="G178" s="34" t="s">
        <v>1260</v>
      </c>
      <c r="H178" s="34">
        <v>1378435</v>
      </c>
      <c r="I178" s="34"/>
      <c r="J178" s="34" t="s">
        <v>180</v>
      </c>
      <c r="K178" s="34" t="s">
        <v>179</v>
      </c>
      <c r="L178" s="34"/>
      <c r="M178" s="34"/>
      <c r="N178" s="34" t="s">
        <v>905</v>
      </c>
      <c r="O178" s="34" t="s">
        <v>297</v>
      </c>
      <c r="P178" s="34"/>
      <c r="Q178" s="34" t="s">
        <v>296</v>
      </c>
      <c r="R178" s="34" t="s">
        <v>906</v>
      </c>
      <c r="S178" s="34"/>
      <c r="T178" s="34" t="s">
        <v>907</v>
      </c>
      <c r="U178" s="34"/>
      <c r="V178" s="34" t="s">
        <v>949</v>
      </c>
      <c r="W178" s="34"/>
      <c r="X178" s="34" t="s">
        <v>909</v>
      </c>
      <c r="Y178" s="34" t="s">
        <v>47</v>
      </c>
      <c r="Z178" s="34">
        <v>2142</v>
      </c>
      <c r="AA178" s="34" t="s">
        <v>393</v>
      </c>
      <c r="AB178" s="34" t="s">
        <v>393</v>
      </c>
      <c r="AC178" s="34"/>
      <c r="AD178" s="34">
        <v>15</v>
      </c>
      <c r="AE178" s="34" t="s">
        <v>169</v>
      </c>
      <c r="AF178" s="34" t="s">
        <v>364</v>
      </c>
      <c r="AG178" s="34"/>
      <c r="AH178" s="34"/>
      <c r="AI178" s="34">
        <v>43692</v>
      </c>
      <c r="AJ178" s="34">
        <v>5</v>
      </c>
      <c r="AK178" s="34">
        <v>367.62</v>
      </c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 t="s">
        <v>363</v>
      </c>
      <c r="BG178" s="34"/>
      <c r="BH178" s="34"/>
      <c r="BI178" s="34"/>
      <c r="BJ178" s="34"/>
      <c r="BK178" s="34" t="s">
        <v>50</v>
      </c>
      <c r="BL178" s="34" t="s">
        <v>167</v>
      </c>
      <c r="BM178" s="34" t="s">
        <v>166</v>
      </c>
      <c r="BN178" s="34">
        <v>43894.51003474537</v>
      </c>
      <c r="BO178" s="34"/>
      <c r="BP178" s="34"/>
      <c r="BQ178" s="34"/>
      <c r="BR178" s="34" t="s">
        <v>165</v>
      </c>
      <c r="BS178" s="34">
        <v>4.02012020168638E+18</v>
      </c>
      <c r="BT178" s="34" t="s">
        <v>164</v>
      </c>
      <c r="BU178" s="34" t="s">
        <v>362</v>
      </c>
      <c r="BV178" s="34">
        <v>2020</v>
      </c>
      <c r="BW178" s="34" t="s">
        <v>163</v>
      </c>
      <c r="BX178" s="34"/>
      <c r="BY178" s="34">
        <v>4.03022020123074E+18</v>
      </c>
      <c r="BZ178" s="34" t="s">
        <v>1210</v>
      </c>
      <c r="CA178" s="34" t="s">
        <v>161</v>
      </c>
    </row>
    <row r="179" spans="1:79" x14ac:dyDescent="0.25">
      <c r="A179" s="34" t="s">
        <v>374</v>
      </c>
      <c r="B179" s="34" t="s">
        <v>287</v>
      </c>
      <c r="C179" s="34">
        <v>2019</v>
      </c>
      <c r="D179" s="34" t="s">
        <v>422</v>
      </c>
      <c r="E179" s="34">
        <v>2.0200129917472301E+17</v>
      </c>
      <c r="F179" s="34" t="s">
        <v>182</v>
      </c>
      <c r="G179" s="34" t="s">
        <v>1261</v>
      </c>
      <c r="H179" s="34">
        <v>1378435</v>
      </c>
      <c r="I179" s="34"/>
      <c r="J179" s="34" t="s">
        <v>180</v>
      </c>
      <c r="K179" s="34" t="s">
        <v>179</v>
      </c>
      <c r="L179" s="34"/>
      <c r="M179" s="34"/>
      <c r="N179" s="34" t="s">
        <v>905</v>
      </c>
      <c r="O179" s="34" t="s">
        <v>297</v>
      </c>
      <c r="P179" s="34"/>
      <c r="Q179" s="34" t="s">
        <v>296</v>
      </c>
      <c r="R179" s="34" t="s">
        <v>906</v>
      </c>
      <c r="S179" s="34"/>
      <c r="T179" s="34" t="s">
        <v>907</v>
      </c>
      <c r="U179" s="34"/>
      <c r="V179" s="34" t="s">
        <v>949</v>
      </c>
      <c r="W179" s="34"/>
      <c r="X179" s="34" t="s">
        <v>909</v>
      </c>
      <c r="Y179" s="34" t="s">
        <v>47</v>
      </c>
      <c r="Z179" s="34">
        <v>2142</v>
      </c>
      <c r="AA179" s="34" t="s">
        <v>393</v>
      </c>
      <c r="AB179" s="34" t="s">
        <v>393</v>
      </c>
      <c r="AC179" s="34"/>
      <c r="AD179" s="34">
        <v>15</v>
      </c>
      <c r="AE179" s="34" t="s">
        <v>169</v>
      </c>
      <c r="AF179" s="34" t="s">
        <v>364</v>
      </c>
      <c r="AG179" s="34"/>
      <c r="AH179" s="34"/>
      <c r="AI179" s="34">
        <v>43770</v>
      </c>
      <c r="AJ179" s="34">
        <v>5</v>
      </c>
      <c r="AK179" s="34">
        <v>367.62</v>
      </c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 t="s">
        <v>363</v>
      </c>
      <c r="BG179" s="34"/>
      <c r="BH179" s="34"/>
      <c r="BI179" s="34"/>
      <c r="BJ179" s="34"/>
      <c r="BK179" s="34" t="s">
        <v>50</v>
      </c>
      <c r="BL179" s="34" t="s">
        <v>167</v>
      </c>
      <c r="BM179" s="34" t="s">
        <v>166</v>
      </c>
      <c r="BN179" s="34">
        <v>43894.510155462965</v>
      </c>
      <c r="BO179" s="34"/>
      <c r="BP179" s="34"/>
      <c r="BQ179" s="34"/>
      <c r="BR179" s="34" t="s">
        <v>165</v>
      </c>
      <c r="BS179" s="34">
        <v>4.02012020168638E+18</v>
      </c>
      <c r="BT179" s="34" t="s">
        <v>164</v>
      </c>
      <c r="BU179" s="34" t="s">
        <v>362</v>
      </c>
      <c r="BV179" s="34">
        <v>2020</v>
      </c>
      <c r="BW179" s="34" t="s">
        <v>163</v>
      </c>
      <c r="BX179" s="34"/>
      <c r="BY179" s="34">
        <v>4.0302202012320302E+18</v>
      </c>
      <c r="BZ179" s="34" t="s">
        <v>1262</v>
      </c>
      <c r="CA179" s="34" t="s">
        <v>161</v>
      </c>
    </row>
    <row r="180" spans="1:79" x14ac:dyDescent="0.25">
      <c r="A180" s="34" t="s">
        <v>374</v>
      </c>
      <c r="B180" s="34" t="s">
        <v>287</v>
      </c>
      <c r="C180" s="34">
        <v>2019</v>
      </c>
      <c r="D180" s="34" t="s">
        <v>422</v>
      </c>
      <c r="E180" s="34">
        <v>2.0200129917472301E+17</v>
      </c>
      <c r="F180" s="34" t="s">
        <v>182</v>
      </c>
      <c r="G180" s="34" t="s">
        <v>1263</v>
      </c>
      <c r="H180" s="34">
        <v>1378435</v>
      </c>
      <c r="I180" s="34"/>
      <c r="J180" s="34" t="s">
        <v>180</v>
      </c>
      <c r="K180" s="34" t="s">
        <v>179</v>
      </c>
      <c r="L180" s="34"/>
      <c r="M180" s="34"/>
      <c r="N180" s="34" t="s">
        <v>905</v>
      </c>
      <c r="O180" s="34" t="s">
        <v>297</v>
      </c>
      <c r="P180" s="34"/>
      <c r="Q180" s="34" t="s">
        <v>296</v>
      </c>
      <c r="R180" s="34" t="s">
        <v>906</v>
      </c>
      <c r="S180" s="34"/>
      <c r="T180" s="34" t="s">
        <v>907</v>
      </c>
      <c r="U180" s="34"/>
      <c r="V180" s="34" t="s">
        <v>949</v>
      </c>
      <c r="W180" s="34"/>
      <c r="X180" s="34" t="s">
        <v>909</v>
      </c>
      <c r="Y180" s="34" t="s">
        <v>47</v>
      </c>
      <c r="Z180" s="34">
        <v>2142</v>
      </c>
      <c r="AA180" s="34" t="s">
        <v>393</v>
      </c>
      <c r="AB180" s="34" t="s">
        <v>393</v>
      </c>
      <c r="AC180" s="34"/>
      <c r="AD180" s="34">
        <v>15</v>
      </c>
      <c r="AE180" s="34" t="s">
        <v>169</v>
      </c>
      <c r="AF180" s="34" t="s">
        <v>364</v>
      </c>
      <c r="AG180" s="34"/>
      <c r="AH180" s="34"/>
      <c r="AI180" s="34">
        <v>43760</v>
      </c>
      <c r="AJ180" s="34">
        <v>2.7</v>
      </c>
      <c r="AK180" s="34">
        <v>367.62</v>
      </c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 t="s">
        <v>363</v>
      </c>
      <c r="BG180" s="34"/>
      <c r="BH180" s="34"/>
      <c r="BI180" s="34"/>
      <c r="BJ180" s="34"/>
      <c r="BK180" s="34" t="s">
        <v>50</v>
      </c>
      <c r="BL180" s="34" t="s">
        <v>167</v>
      </c>
      <c r="BM180" s="34" t="s">
        <v>166</v>
      </c>
      <c r="BN180" s="34">
        <v>43894.513885289351</v>
      </c>
      <c r="BO180" s="34"/>
      <c r="BP180" s="34"/>
      <c r="BQ180" s="34"/>
      <c r="BR180" s="34" t="s">
        <v>165</v>
      </c>
      <c r="BS180" s="34">
        <v>4.02012020168638E+18</v>
      </c>
      <c r="BT180" s="34" t="s">
        <v>164</v>
      </c>
      <c r="BU180" s="34" t="s">
        <v>362</v>
      </c>
      <c r="BV180" s="34">
        <v>2020</v>
      </c>
      <c r="BW180" s="34" t="s">
        <v>163</v>
      </c>
      <c r="BX180" s="34"/>
      <c r="BY180" s="34">
        <v>4.03022020123185E+18</v>
      </c>
      <c r="BZ180" s="34" t="s">
        <v>1264</v>
      </c>
      <c r="CA180" s="34" t="s">
        <v>161</v>
      </c>
    </row>
    <row r="181" spans="1:79" x14ac:dyDescent="0.25">
      <c r="A181" s="34" t="s">
        <v>374</v>
      </c>
      <c r="B181" s="34" t="s">
        <v>287</v>
      </c>
      <c r="C181" s="34">
        <v>2019</v>
      </c>
      <c r="D181" s="34" t="s">
        <v>422</v>
      </c>
      <c r="E181" s="34">
        <v>2.0200129917472301E+17</v>
      </c>
      <c r="F181" s="34" t="s">
        <v>182</v>
      </c>
      <c r="G181" s="34" t="s">
        <v>1265</v>
      </c>
      <c r="H181" s="34">
        <v>1378435</v>
      </c>
      <c r="I181" s="34"/>
      <c r="J181" s="34" t="s">
        <v>180</v>
      </c>
      <c r="K181" s="34" t="s">
        <v>179</v>
      </c>
      <c r="L181" s="34"/>
      <c r="M181" s="34"/>
      <c r="N181" s="34" t="s">
        <v>905</v>
      </c>
      <c r="O181" s="34" t="s">
        <v>297</v>
      </c>
      <c r="P181" s="34"/>
      <c r="Q181" s="34" t="s">
        <v>296</v>
      </c>
      <c r="R181" s="34" t="s">
        <v>906</v>
      </c>
      <c r="S181" s="34"/>
      <c r="T181" s="34" t="s">
        <v>907</v>
      </c>
      <c r="U181" s="34"/>
      <c r="V181" s="34" t="s">
        <v>949</v>
      </c>
      <c r="W181" s="34"/>
      <c r="X181" s="34" t="s">
        <v>909</v>
      </c>
      <c r="Y181" s="34" t="s">
        <v>47</v>
      </c>
      <c r="Z181" s="34">
        <v>2142</v>
      </c>
      <c r="AA181" s="34" t="s">
        <v>393</v>
      </c>
      <c r="AB181" s="34" t="s">
        <v>393</v>
      </c>
      <c r="AC181" s="34"/>
      <c r="AD181" s="34"/>
      <c r="AE181" s="34"/>
      <c r="AF181" s="34" t="s">
        <v>377</v>
      </c>
      <c r="AG181" s="34"/>
      <c r="AH181" s="34"/>
      <c r="AI181" s="34">
        <v>43703</v>
      </c>
      <c r="AJ181" s="34">
        <v>50</v>
      </c>
      <c r="AK181" s="34">
        <v>125</v>
      </c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 t="s">
        <v>363</v>
      </c>
      <c r="BG181" s="34"/>
      <c r="BH181" s="34"/>
      <c r="BI181" s="34"/>
      <c r="BJ181" s="34"/>
      <c r="BK181" s="34" t="s">
        <v>50</v>
      </c>
      <c r="BL181" s="34" t="s">
        <v>167</v>
      </c>
      <c r="BM181" s="34" t="s">
        <v>166</v>
      </c>
      <c r="BN181" s="34">
        <v>43894.511782743059</v>
      </c>
      <c r="BO181" s="34"/>
      <c r="BP181" s="34"/>
      <c r="BQ181" s="34"/>
      <c r="BR181" s="34" t="s">
        <v>165</v>
      </c>
      <c r="BS181" s="34">
        <v>4.02012020168638E+18</v>
      </c>
      <c r="BT181" s="34" t="s">
        <v>164</v>
      </c>
      <c r="BU181" s="34" t="s">
        <v>680</v>
      </c>
      <c r="BV181" s="34">
        <v>2020</v>
      </c>
      <c r="BW181" s="34" t="s">
        <v>163</v>
      </c>
      <c r="BX181" s="34"/>
      <c r="BY181" s="34">
        <v>4.0302202012339901E+18</v>
      </c>
      <c r="BZ181" s="34" t="s">
        <v>1237</v>
      </c>
      <c r="CA181" s="34" t="s">
        <v>161</v>
      </c>
    </row>
    <row r="182" spans="1:79" x14ac:dyDescent="0.25">
      <c r="A182" s="34" t="s">
        <v>374</v>
      </c>
      <c r="B182" s="34" t="s">
        <v>287</v>
      </c>
      <c r="C182" s="34">
        <v>2019</v>
      </c>
      <c r="D182" s="34" t="s">
        <v>422</v>
      </c>
      <c r="E182" s="34">
        <v>2.0200129917472301E+17</v>
      </c>
      <c r="F182" s="34" t="s">
        <v>182</v>
      </c>
      <c r="G182" s="34" t="s">
        <v>1266</v>
      </c>
      <c r="H182" s="34">
        <v>1378435</v>
      </c>
      <c r="I182" s="34"/>
      <c r="J182" s="34" t="s">
        <v>180</v>
      </c>
      <c r="K182" s="34" t="s">
        <v>179</v>
      </c>
      <c r="L182" s="34" t="s">
        <v>903</v>
      </c>
      <c r="M182" s="34"/>
      <c r="N182" s="34" t="s">
        <v>905</v>
      </c>
      <c r="O182" s="34" t="s">
        <v>297</v>
      </c>
      <c r="P182" s="34"/>
      <c r="Q182" s="34" t="s">
        <v>296</v>
      </c>
      <c r="R182" s="34" t="s">
        <v>906</v>
      </c>
      <c r="S182" s="34"/>
      <c r="T182" s="34" t="s">
        <v>907</v>
      </c>
      <c r="U182" s="34"/>
      <c r="V182" s="34" t="s">
        <v>949</v>
      </c>
      <c r="W182" s="34"/>
      <c r="X182" s="34" t="s">
        <v>909</v>
      </c>
      <c r="Y182" s="34" t="s">
        <v>47</v>
      </c>
      <c r="Z182" s="34">
        <v>2142</v>
      </c>
      <c r="AA182" s="34" t="s">
        <v>393</v>
      </c>
      <c r="AB182" s="34" t="s">
        <v>393</v>
      </c>
      <c r="AC182" s="34" t="s">
        <v>903</v>
      </c>
      <c r="AD182" s="34" t="s">
        <v>383</v>
      </c>
      <c r="AE182" s="34" t="s">
        <v>382</v>
      </c>
      <c r="AF182" s="34" t="s">
        <v>377</v>
      </c>
      <c r="AG182" s="34"/>
      <c r="AH182" s="34"/>
      <c r="AI182" s="34">
        <v>43663</v>
      </c>
      <c r="AJ182" s="34">
        <v>10</v>
      </c>
      <c r="AK182" s="34">
        <v>710</v>
      </c>
      <c r="AL182" s="34" t="s">
        <v>973</v>
      </c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 t="s">
        <v>363</v>
      </c>
      <c r="BG182" s="34"/>
      <c r="BH182" s="34"/>
      <c r="BI182" s="34"/>
      <c r="BJ182" s="34"/>
      <c r="BK182" s="34" t="s">
        <v>50</v>
      </c>
      <c r="BL182" s="34" t="s">
        <v>167</v>
      </c>
      <c r="BM182" s="34" t="s">
        <v>166</v>
      </c>
      <c r="BN182" s="34">
        <v>43894.51518628472</v>
      </c>
      <c r="BO182" s="34"/>
      <c r="BP182" s="34"/>
      <c r="BQ182" s="34"/>
      <c r="BR182" s="34" t="s">
        <v>165</v>
      </c>
      <c r="BS182" s="34">
        <v>4.02012020168638E+18</v>
      </c>
      <c r="BT182" s="34" t="s">
        <v>164</v>
      </c>
      <c r="BU182" s="34" t="s">
        <v>974</v>
      </c>
      <c r="BV182" s="34">
        <v>2020</v>
      </c>
      <c r="BW182" s="34" t="s">
        <v>163</v>
      </c>
      <c r="BX182" s="34"/>
      <c r="BY182" s="34">
        <v>4.0302202012364298E+18</v>
      </c>
      <c r="BZ182" s="34" t="s">
        <v>1206</v>
      </c>
      <c r="CA182" s="34" t="s">
        <v>161</v>
      </c>
    </row>
    <row r="183" spans="1:79" x14ac:dyDescent="0.25">
      <c r="A183" s="34" t="s">
        <v>374</v>
      </c>
      <c r="B183" s="34" t="s">
        <v>287</v>
      </c>
      <c r="C183" s="34">
        <v>2019</v>
      </c>
      <c r="D183" s="34" t="s">
        <v>422</v>
      </c>
      <c r="E183" s="34">
        <v>2.0200129917472301E+17</v>
      </c>
      <c r="F183" s="34" t="s">
        <v>182</v>
      </c>
      <c r="G183" s="34" t="s">
        <v>1267</v>
      </c>
      <c r="H183" s="34">
        <v>1378435</v>
      </c>
      <c r="I183" s="34"/>
      <c r="J183" s="34" t="s">
        <v>180</v>
      </c>
      <c r="K183" s="34" t="s">
        <v>179</v>
      </c>
      <c r="L183" s="34" t="s">
        <v>903</v>
      </c>
      <c r="M183" s="34"/>
      <c r="N183" s="34" t="s">
        <v>905</v>
      </c>
      <c r="O183" s="34" t="s">
        <v>297</v>
      </c>
      <c r="P183" s="34"/>
      <c r="Q183" s="34" t="s">
        <v>296</v>
      </c>
      <c r="R183" s="34" t="s">
        <v>906</v>
      </c>
      <c r="S183" s="34"/>
      <c r="T183" s="34" t="s">
        <v>907</v>
      </c>
      <c r="U183" s="34"/>
      <c r="V183" s="34" t="s">
        <v>949</v>
      </c>
      <c r="W183" s="34"/>
      <c r="X183" s="34" t="s">
        <v>909</v>
      </c>
      <c r="Y183" s="34" t="s">
        <v>47</v>
      </c>
      <c r="Z183" s="34">
        <v>2142</v>
      </c>
      <c r="AA183" s="34" t="s">
        <v>393</v>
      </c>
      <c r="AB183" s="34" t="s">
        <v>393</v>
      </c>
      <c r="AC183" s="34" t="s">
        <v>903</v>
      </c>
      <c r="AD183" s="34" t="s">
        <v>383</v>
      </c>
      <c r="AE183" s="34" t="s">
        <v>382</v>
      </c>
      <c r="AF183" s="34" t="s">
        <v>377</v>
      </c>
      <c r="AG183" s="34"/>
      <c r="AH183" s="34"/>
      <c r="AI183" s="34">
        <v>43692</v>
      </c>
      <c r="AJ183" s="34">
        <v>50</v>
      </c>
      <c r="AK183" s="34">
        <v>710</v>
      </c>
      <c r="AL183" s="34" t="s">
        <v>973</v>
      </c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 t="s">
        <v>363</v>
      </c>
      <c r="BG183" s="34"/>
      <c r="BH183" s="34"/>
      <c r="BI183" s="34"/>
      <c r="BJ183" s="34"/>
      <c r="BK183" s="34" t="s">
        <v>50</v>
      </c>
      <c r="BL183" s="34" t="s">
        <v>167</v>
      </c>
      <c r="BM183" s="34" t="s">
        <v>166</v>
      </c>
      <c r="BN183" s="34">
        <v>43894.514809699074</v>
      </c>
      <c r="BO183" s="34"/>
      <c r="BP183" s="34"/>
      <c r="BQ183" s="34"/>
      <c r="BR183" s="34" t="s">
        <v>165</v>
      </c>
      <c r="BS183" s="34">
        <v>4.02012020168638E+18</v>
      </c>
      <c r="BT183" s="34" t="s">
        <v>164</v>
      </c>
      <c r="BU183" s="34" t="s">
        <v>974</v>
      </c>
      <c r="BV183" s="34">
        <v>2020</v>
      </c>
      <c r="BW183" s="34" t="s">
        <v>163</v>
      </c>
      <c r="BX183" s="34"/>
      <c r="BY183" s="34">
        <v>4.0302202012338401E+18</v>
      </c>
      <c r="BZ183" s="34" t="s">
        <v>1268</v>
      </c>
      <c r="CA183" s="34" t="s">
        <v>161</v>
      </c>
    </row>
    <row r="184" spans="1:79" x14ac:dyDescent="0.25">
      <c r="A184" s="34" t="s">
        <v>374</v>
      </c>
      <c r="B184" s="34" t="s">
        <v>287</v>
      </c>
      <c r="C184" s="34">
        <v>2019</v>
      </c>
      <c r="D184" s="34" t="s">
        <v>422</v>
      </c>
      <c r="E184" s="34">
        <v>2.0200129917472301E+17</v>
      </c>
      <c r="F184" s="34" t="s">
        <v>182</v>
      </c>
      <c r="G184" s="34" t="s">
        <v>1269</v>
      </c>
      <c r="H184" s="34">
        <v>1378435</v>
      </c>
      <c r="I184" s="34"/>
      <c r="J184" s="34" t="s">
        <v>180</v>
      </c>
      <c r="K184" s="34" t="s">
        <v>179</v>
      </c>
      <c r="L184" s="34"/>
      <c r="M184" s="34"/>
      <c r="N184" s="34" t="s">
        <v>905</v>
      </c>
      <c r="O184" s="34" t="s">
        <v>297</v>
      </c>
      <c r="P184" s="34"/>
      <c r="Q184" s="34" t="s">
        <v>296</v>
      </c>
      <c r="R184" s="34" t="s">
        <v>906</v>
      </c>
      <c r="S184" s="34"/>
      <c r="T184" s="34" t="s">
        <v>907</v>
      </c>
      <c r="U184" s="34"/>
      <c r="V184" s="34" t="s">
        <v>949</v>
      </c>
      <c r="W184" s="34"/>
      <c r="X184" s="34" t="s">
        <v>909</v>
      </c>
      <c r="Y184" s="34" t="s">
        <v>47</v>
      </c>
      <c r="Z184" s="34">
        <v>2142</v>
      </c>
      <c r="AA184" s="34" t="s">
        <v>393</v>
      </c>
      <c r="AB184" s="34" t="s">
        <v>393</v>
      </c>
      <c r="AC184" s="34"/>
      <c r="AD184" s="34">
        <v>15</v>
      </c>
      <c r="AE184" s="34" t="s">
        <v>169</v>
      </c>
      <c r="AF184" s="34" t="s">
        <v>364</v>
      </c>
      <c r="AG184" s="34"/>
      <c r="AH184" s="34"/>
      <c r="AI184" s="34">
        <v>43672</v>
      </c>
      <c r="AJ184" s="34">
        <v>5</v>
      </c>
      <c r="AK184" s="34">
        <v>367.62</v>
      </c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 t="s">
        <v>363</v>
      </c>
      <c r="BG184" s="34"/>
      <c r="BH184" s="34"/>
      <c r="BI184" s="34"/>
      <c r="BJ184" s="34"/>
      <c r="BK184" s="34" t="s">
        <v>50</v>
      </c>
      <c r="BL184" s="34" t="s">
        <v>167</v>
      </c>
      <c r="BM184" s="34" t="s">
        <v>166</v>
      </c>
      <c r="BN184" s="34">
        <v>43894.516580810188</v>
      </c>
      <c r="BO184" s="34"/>
      <c r="BP184" s="34"/>
      <c r="BQ184" s="34"/>
      <c r="BR184" s="34" t="s">
        <v>165</v>
      </c>
      <c r="BS184" s="34">
        <v>4.02012020168638E+18</v>
      </c>
      <c r="BT184" s="34" t="s">
        <v>164</v>
      </c>
      <c r="BU184" s="34" t="s">
        <v>362</v>
      </c>
      <c r="BV184" s="34">
        <v>2020</v>
      </c>
      <c r="BW184" s="34" t="s">
        <v>163</v>
      </c>
      <c r="BX184" s="34"/>
      <c r="BY184" s="34">
        <v>4.03022020123347E+18</v>
      </c>
      <c r="BZ184" s="34" t="s">
        <v>1270</v>
      </c>
      <c r="CA184" s="34" t="s">
        <v>161</v>
      </c>
    </row>
    <row r="185" spans="1:79" x14ac:dyDescent="0.25">
      <c r="A185" s="34" t="s">
        <v>374</v>
      </c>
      <c r="B185" s="34" t="s">
        <v>287</v>
      </c>
      <c r="C185" s="34">
        <v>2019</v>
      </c>
      <c r="D185" s="34" t="s">
        <v>422</v>
      </c>
      <c r="E185" s="34">
        <v>2.0200129917472301E+17</v>
      </c>
      <c r="F185" s="34" t="s">
        <v>182</v>
      </c>
      <c r="G185" s="34" t="s">
        <v>1271</v>
      </c>
      <c r="H185" s="34">
        <v>1378435</v>
      </c>
      <c r="I185" s="34"/>
      <c r="J185" s="34" t="s">
        <v>180</v>
      </c>
      <c r="K185" s="34" t="s">
        <v>179</v>
      </c>
      <c r="L185" s="34"/>
      <c r="M185" s="34"/>
      <c r="N185" s="34" t="s">
        <v>905</v>
      </c>
      <c r="O185" s="34" t="s">
        <v>297</v>
      </c>
      <c r="P185" s="34"/>
      <c r="Q185" s="34" t="s">
        <v>296</v>
      </c>
      <c r="R185" s="34" t="s">
        <v>906</v>
      </c>
      <c r="S185" s="34"/>
      <c r="T185" s="34" t="s">
        <v>907</v>
      </c>
      <c r="U185" s="34"/>
      <c r="V185" s="34" t="s">
        <v>949</v>
      </c>
      <c r="W185" s="34"/>
      <c r="X185" s="34" t="s">
        <v>909</v>
      </c>
      <c r="Y185" s="34" t="s">
        <v>47</v>
      </c>
      <c r="Z185" s="34">
        <v>2142</v>
      </c>
      <c r="AA185" s="34" t="s">
        <v>393</v>
      </c>
      <c r="AB185" s="34" t="s">
        <v>393</v>
      </c>
      <c r="AC185" s="34"/>
      <c r="AD185" s="34">
        <v>15</v>
      </c>
      <c r="AE185" s="34" t="s">
        <v>169</v>
      </c>
      <c r="AF185" s="34" t="s">
        <v>364</v>
      </c>
      <c r="AG185" s="34"/>
      <c r="AH185" s="34"/>
      <c r="AI185" s="34">
        <v>43669</v>
      </c>
      <c r="AJ185" s="34">
        <v>5</v>
      </c>
      <c r="AK185" s="34">
        <v>367.62</v>
      </c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 t="s">
        <v>363</v>
      </c>
      <c r="BG185" s="34"/>
      <c r="BH185" s="34"/>
      <c r="BI185" s="34"/>
      <c r="BJ185" s="34"/>
      <c r="BK185" s="34" t="s">
        <v>50</v>
      </c>
      <c r="BL185" s="34" t="s">
        <v>167</v>
      </c>
      <c r="BM185" s="34" t="s">
        <v>166</v>
      </c>
      <c r="BN185" s="34">
        <v>43894.516205972221</v>
      </c>
      <c r="BO185" s="34"/>
      <c r="BP185" s="34"/>
      <c r="BQ185" s="34"/>
      <c r="BR185" s="34" t="s">
        <v>165</v>
      </c>
      <c r="BS185" s="34">
        <v>4.02012020168638E+18</v>
      </c>
      <c r="BT185" s="34" t="s">
        <v>164</v>
      </c>
      <c r="BU185" s="34" t="s">
        <v>362</v>
      </c>
      <c r="BV185" s="34">
        <v>2020</v>
      </c>
      <c r="BW185" s="34" t="s">
        <v>163</v>
      </c>
      <c r="BX185" s="34"/>
      <c r="BY185" s="34">
        <v>4.0302202012365199E+18</v>
      </c>
      <c r="BZ185" s="34" t="s">
        <v>1270</v>
      </c>
      <c r="CA185" s="34" t="s">
        <v>161</v>
      </c>
    </row>
    <row r="186" spans="1:79" x14ac:dyDescent="0.25">
      <c r="A186" s="34" t="s">
        <v>374</v>
      </c>
      <c r="B186" s="34" t="s">
        <v>287</v>
      </c>
      <c r="C186" s="34">
        <v>2019</v>
      </c>
      <c r="D186" s="34" t="s">
        <v>422</v>
      </c>
      <c r="E186" s="34">
        <v>2.0200129917472301E+17</v>
      </c>
      <c r="F186" s="34" t="s">
        <v>182</v>
      </c>
      <c r="G186" s="34" t="s">
        <v>1272</v>
      </c>
      <c r="H186" s="34">
        <v>1378435</v>
      </c>
      <c r="I186" s="34"/>
      <c r="J186" s="34" t="s">
        <v>180</v>
      </c>
      <c r="K186" s="34" t="s">
        <v>179</v>
      </c>
      <c r="L186" s="34"/>
      <c r="M186" s="34"/>
      <c r="N186" s="34" t="s">
        <v>905</v>
      </c>
      <c r="O186" s="34" t="s">
        <v>297</v>
      </c>
      <c r="P186" s="34"/>
      <c r="Q186" s="34" t="s">
        <v>296</v>
      </c>
      <c r="R186" s="34" t="s">
        <v>906</v>
      </c>
      <c r="S186" s="34"/>
      <c r="T186" s="34" t="s">
        <v>907</v>
      </c>
      <c r="U186" s="34"/>
      <c r="V186" s="34" t="s">
        <v>949</v>
      </c>
      <c r="W186" s="34"/>
      <c r="X186" s="34" t="s">
        <v>909</v>
      </c>
      <c r="Y186" s="34" t="s">
        <v>47</v>
      </c>
      <c r="Z186" s="34">
        <v>2142</v>
      </c>
      <c r="AA186" s="34" t="s">
        <v>393</v>
      </c>
      <c r="AB186" s="34" t="s">
        <v>393</v>
      </c>
      <c r="AC186" s="34"/>
      <c r="AD186" s="34"/>
      <c r="AE186" s="34"/>
      <c r="AF186" s="34" t="s">
        <v>377</v>
      </c>
      <c r="AG186" s="34"/>
      <c r="AH186" s="34"/>
      <c r="AI186" s="34">
        <v>43676</v>
      </c>
      <c r="AJ186" s="34">
        <v>50</v>
      </c>
      <c r="AK186" s="34">
        <v>170.2</v>
      </c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 t="s">
        <v>363</v>
      </c>
      <c r="BG186" s="34"/>
      <c r="BH186" s="34"/>
      <c r="BI186" s="34"/>
      <c r="BJ186" s="34"/>
      <c r="BK186" s="34" t="s">
        <v>50</v>
      </c>
      <c r="BL186" s="34" t="s">
        <v>167</v>
      </c>
      <c r="BM186" s="34" t="s">
        <v>166</v>
      </c>
      <c r="BN186" s="34">
        <v>43894.517065624997</v>
      </c>
      <c r="BO186" s="34"/>
      <c r="BP186" s="34"/>
      <c r="BQ186" s="34"/>
      <c r="BR186" s="34" t="s">
        <v>165</v>
      </c>
      <c r="BS186" s="34">
        <v>4.02012020168638E+18</v>
      </c>
      <c r="BT186" s="34" t="s">
        <v>164</v>
      </c>
      <c r="BU186" s="34" t="s">
        <v>1166</v>
      </c>
      <c r="BV186" s="34">
        <v>2020</v>
      </c>
      <c r="BW186" s="34" t="s">
        <v>163</v>
      </c>
      <c r="BX186" s="34"/>
      <c r="BY186" s="34">
        <v>4.0302202012335401E+18</v>
      </c>
      <c r="BZ186" s="34" t="s">
        <v>1234</v>
      </c>
      <c r="CA186" s="34" t="s">
        <v>161</v>
      </c>
    </row>
    <row r="187" spans="1:79" x14ac:dyDescent="0.25">
      <c r="A187" s="34" t="s">
        <v>374</v>
      </c>
      <c r="B187" s="34" t="s">
        <v>287</v>
      </c>
      <c r="C187" s="34">
        <v>2019</v>
      </c>
      <c r="D187" s="34" t="s">
        <v>422</v>
      </c>
      <c r="E187" s="34">
        <v>2.0200129917472301E+17</v>
      </c>
      <c r="F187" s="34" t="s">
        <v>182</v>
      </c>
      <c r="G187" s="34" t="s">
        <v>1273</v>
      </c>
      <c r="H187" s="34">
        <v>1378435</v>
      </c>
      <c r="I187" s="34"/>
      <c r="J187" s="34" t="s">
        <v>180</v>
      </c>
      <c r="K187" s="34" t="s">
        <v>179</v>
      </c>
      <c r="L187" s="34" t="s">
        <v>1118</v>
      </c>
      <c r="M187" s="34"/>
      <c r="N187" s="34" t="s">
        <v>905</v>
      </c>
      <c r="O187" s="34" t="s">
        <v>297</v>
      </c>
      <c r="P187" s="34"/>
      <c r="Q187" s="34" t="s">
        <v>296</v>
      </c>
      <c r="R187" s="34" t="s">
        <v>906</v>
      </c>
      <c r="S187" s="34"/>
      <c r="T187" s="34" t="s">
        <v>907</v>
      </c>
      <c r="U187" s="34"/>
      <c r="V187" s="34" t="s">
        <v>949</v>
      </c>
      <c r="W187" s="34"/>
      <c r="X187" s="34" t="s">
        <v>909</v>
      </c>
      <c r="Y187" s="34" t="s">
        <v>47</v>
      </c>
      <c r="Z187" s="34">
        <v>2142</v>
      </c>
      <c r="AA187" s="34" t="s">
        <v>393</v>
      </c>
      <c r="AB187" s="34" t="s">
        <v>393</v>
      </c>
      <c r="AC187" s="34" t="s">
        <v>1118</v>
      </c>
      <c r="AD187" s="34" t="s">
        <v>383</v>
      </c>
      <c r="AE187" s="34" t="s">
        <v>382</v>
      </c>
      <c r="AF187" s="34" t="s">
        <v>377</v>
      </c>
      <c r="AG187" s="34"/>
      <c r="AH187" s="34"/>
      <c r="AI187" s="34">
        <v>43804</v>
      </c>
      <c r="AJ187" s="34">
        <v>100</v>
      </c>
      <c r="AK187" s="34">
        <v>350</v>
      </c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 t="s">
        <v>363</v>
      </c>
      <c r="BG187" s="34"/>
      <c r="BH187" s="34"/>
      <c r="BI187" s="34"/>
      <c r="BJ187" s="34"/>
      <c r="BK187" s="34" t="s">
        <v>50</v>
      </c>
      <c r="BL187" s="34" t="s">
        <v>167</v>
      </c>
      <c r="BM187" s="34" t="s">
        <v>166</v>
      </c>
      <c r="BN187" s="34">
        <v>43894.521971018519</v>
      </c>
      <c r="BO187" s="34"/>
      <c r="BP187" s="34"/>
      <c r="BQ187" s="34"/>
      <c r="BR187" s="34" t="s">
        <v>165</v>
      </c>
      <c r="BS187" s="34">
        <v>4.02012020168638E+18</v>
      </c>
      <c r="BT187" s="34" t="s">
        <v>164</v>
      </c>
      <c r="BU187" s="34" t="s">
        <v>1119</v>
      </c>
      <c r="BV187" s="34">
        <v>2020</v>
      </c>
      <c r="BW187" s="34" t="s">
        <v>163</v>
      </c>
      <c r="BX187" s="34"/>
      <c r="BY187" s="34">
        <v>4.0302202012151199E+18</v>
      </c>
      <c r="BZ187" s="34" t="s">
        <v>1145</v>
      </c>
      <c r="CA187" s="34" t="s">
        <v>161</v>
      </c>
    </row>
    <row r="188" spans="1:79" x14ac:dyDescent="0.25">
      <c r="A188" s="34" t="s">
        <v>374</v>
      </c>
      <c r="B188" s="34" t="s">
        <v>287</v>
      </c>
      <c r="C188" s="34">
        <v>2019</v>
      </c>
      <c r="D188" s="34" t="s">
        <v>422</v>
      </c>
      <c r="E188" s="34">
        <v>2.0200129917472301E+17</v>
      </c>
      <c r="F188" s="34" t="s">
        <v>182</v>
      </c>
      <c r="G188" s="34" t="s">
        <v>1274</v>
      </c>
      <c r="H188" s="34">
        <v>1378435</v>
      </c>
      <c r="I188" s="34"/>
      <c r="J188" s="34" t="s">
        <v>180</v>
      </c>
      <c r="K188" s="34" t="s">
        <v>179</v>
      </c>
      <c r="L188" s="34"/>
      <c r="M188" s="34"/>
      <c r="N188" s="34" t="s">
        <v>905</v>
      </c>
      <c r="O188" s="34" t="s">
        <v>297</v>
      </c>
      <c r="P188" s="34"/>
      <c r="Q188" s="34" t="s">
        <v>296</v>
      </c>
      <c r="R188" s="34" t="s">
        <v>906</v>
      </c>
      <c r="S188" s="34"/>
      <c r="T188" s="34" t="s">
        <v>907</v>
      </c>
      <c r="U188" s="34"/>
      <c r="V188" s="34" t="s">
        <v>949</v>
      </c>
      <c r="W188" s="34"/>
      <c r="X188" s="34" t="s">
        <v>909</v>
      </c>
      <c r="Y188" s="34" t="s">
        <v>47</v>
      </c>
      <c r="Z188" s="34">
        <v>2142</v>
      </c>
      <c r="AA188" s="34" t="s">
        <v>393</v>
      </c>
      <c r="AB188" s="34" t="s">
        <v>393</v>
      </c>
      <c r="AC188" s="34"/>
      <c r="AD188" s="34">
        <v>15</v>
      </c>
      <c r="AE188" s="34" t="s">
        <v>169</v>
      </c>
      <c r="AF188" s="34" t="s">
        <v>364</v>
      </c>
      <c r="AG188" s="34"/>
      <c r="AH188" s="34"/>
      <c r="AI188" s="34">
        <v>43723</v>
      </c>
      <c r="AJ188" s="34">
        <v>1</v>
      </c>
      <c r="AK188" s="34">
        <v>367.62</v>
      </c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 t="s">
        <v>363</v>
      </c>
      <c r="BG188" s="34"/>
      <c r="BH188" s="34"/>
      <c r="BI188" s="34"/>
      <c r="BJ188" s="34"/>
      <c r="BK188" s="34" t="s">
        <v>50</v>
      </c>
      <c r="BL188" s="34" t="s">
        <v>167</v>
      </c>
      <c r="BM188" s="34" t="s">
        <v>166</v>
      </c>
      <c r="BN188" s="34">
        <v>43894.523519699076</v>
      </c>
      <c r="BO188" s="34"/>
      <c r="BP188" s="34"/>
      <c r="BQ188" s="34"/>
      <c r="BR188" s="34" t="s">
        <v>165</v>
      </c>
      <c r="BS188" s="34">
        <v>4.02012020168638E+18</v>
      </c>
      <c r="BT188" s="34" t="s">
        <v>164</v>
      </c>
      <c r="BU188" s="34" t="s">
        <v>362</v>
      </c>
      <c r="BV188" s="34">
        <v>2020</v>
      </c>
      <c r="BW188" s="34" t="s">
        <v>163</v>
      </c>
      <c r="BX188" s="34"/>
      <c r="BY188" s="34">
        <v>4.0302202012150902E+18</v>
      </c>
      <c r="BZ188" s="34" t="s">
        <v>1177</v>
      </c>
      <c r="CA188" s="34" t="s">
        <v>161</v>
      </c>
    </row>
    <row r="189" spans="1:79" x14ac:dyDescent="0.25">
      <c r="A189" s="34" t="s">
        <v>374</v>
      </c>
      <c r="B189" s="34" t="s">
        <v>287</v>
      </c>
      <c r="C189" s="34">
        <v>2019</v>
      </c>
      <c r="D189" s="34" t="s">
        <v>422</v>
      </c>
      <c r="E189" s="34">
        <v>2.0200129917472301E+17</v>
      </c>
      <c r="F189" s="34" t="s">
        <v>182</v>
      </c>
      <c r="G189" s="34" t="s">
        <v>1275</v>
      </c>
      <c r="H189" s="34">
        <v>1378435</v>
      </c>
      <c r="I189" s="34"/>
      <c r="J189" s="34" t="s">
        <v>180</v>
      </c>
      <c r="K189" s="34" t="s">
        <v>179</v>
      </c>
      <c r="L189" s="34" t="s">
        <v>1104</v>
      </c>
      <c r="M189" s="34"/>
      <c r="N189" s="34" t="s">
        <v>905</v>
      </c>
      <c r="O189" s="34" t="s">
        <v>297</v>
      </c>
      <c r="P189" s="34"/>
      <c r="Q189" s="34" t="s">
        <v>296</v>
      </c>
      <c r="R189" s="34" t="s">
        <v>906</v>
      </c>
      <c r="S189" s="34"/>
      <c r="T189" s="34" t="s">
        <v>907</v>
      </c>
      <c r="U189" s="34"/>
      <c r="V189" s="34" t="s">
        <v>949</v>
      </c>
      <c r="W189" s="34"/>
      <c r="X189" s="34" t="s">
        <v>909</v>
      </c>
      <c r="Y189" s="34" t="s">
        <v>47</v>
      </c>
      <c r="Z189" s="34">
        <v>2142</v>
      </c>
      <c r="AA189" s="34" t="s">
        <v>393</v>
      </c>
      <c r="AB189" s="34" t="s">
        <v>393</v>
      </c>
      <c r="AC189" s="34" t="s">
        <v>1104</v>
      </c>
      <c r="AD189" s="34" t="s">
        <v>383</v>
      </c>
      <c r="AE189" s="34" t="s">
        <v>382</v>
      </c>
      <c r="AF189" s="34" t="s">
        <v>377</v>
      </c>
      <c r="AG189" s="34"/>
      <c r="AH189" s="34"/>
      <c r="AI189" s="34">
        <v>43715</v>
      </c>
      <c r="AJ189" s="34">
        <v>100</v>
      </c>
      <c r="AK189" s="34">
        <v>400</v>
      </c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 t="s">
        <v>363</v>
      </c>
      <c r="BG189" s="34"/>
      <c r="BH189" s="34"/>
      <c r="BI189" s="34"/>
      <c r="BJ189" s="34"/>
      <c r="BK189" s="34" t="s">
        <v>50</v>
      </c>
      <c r="BL189" s="34" t="s">
        <v>167</v>
      </c>
      <c r="BM189" s="34" t="s">
        <v>166</v>
      </c>
      <c r="BN189" s="34">
        <v>43894.534868541668</v>
      </c>
      <c r="BO189" s="34"/>
      <c r="BP189" s="34"/>
      <c r="BQ189" s="34"/>
      <c r="BR189" s="34" t="s">
        <v>165</v>
      </c>
      <c r="BS189" s="34">
        <v>4.02012020168638E+18</v>
      </c>
      <c r="BT189" s="34" t="s">
        <v>164</v>
      </c>
      <c r="BU189" s="34" t="s">
        <v>1105</v>
      </c>
      <c r="BV189" s="34">
        <v>2020</v>
      </c>
      <c r="BW189" s="34" t="s">
        <v>163</v>
      </c>
      <c r="BX189" s="34"/>
      <c r="BY189" s="34">
        <v>4.0302202012249001E+18</v>
      </c>
      <c r="BZ189" s="34" t="s">
        <v>1276</v>
      </c>
      <c r="CA189" s="34" t="s">
        <v>161</v>
      </c>
    </row>
    <row r="190" spans="1:79" x14ac:dyDescent="0.25">
      <c r="A190" s="34" t="s">
        <v>374</v>
      </c>
      <c r="B190" s="34" t="s">
        <v>287</v>
      </c>
      <c r="C190" s="34">
        <v>2019</v>
      </c>
      <c r="D190" s="34" t="s">
        <v>422</v>
      </c>
      <c r="E190" s="34">
        <v>2.0200129917472301E+17</v>
      </c>
      <c r="F190" s="34" t="s">
        <v>182</v>
      </c>
      <c r="G190" s="34" t="s">
        <v>1277</v>
      </c>
      <c r="H190" s="34">
        <v>1378435</v>
      </c>
      <c r="I190" s="34"/>
      <c r="J190" s="34" t="s">
        <v>180</v>
      </c>
      <c r="K190" s="34" t="s">
        <v>179</v>
      </c>
      <c r="L190" s="34"/>
      <c r="M190" s="34"/>
      <c r="N190" s="34" t="s">
        <v>905</v>
      </c>
      <c r="O190" s="34" t="s">
        <v>297</v>
      </c>
      <c r="P190" s="34"/>
      <c r="Q190" s="34" t="s">
        <v>296</v>
      </c>
      <c r="R190" s="34" t="s">
        <v>906</v>
      </c>
      <c r="S190" s="34"/>
      <c r="T190" s="34" t="s">
        <v>907</v>
      </c>
      <c r="U190" s="34"/>
      <c r="V190" s="34" t="s">
        <v>949</v>
      </c>
      <c r="W190" s="34"/>
      <c r="X190" s="34" t="s">
        <v>909</v>
      </c>
      <c r="Y190" s="34" t="s">
        <v>47</v>
      </c>
      <c r="Z190" s="34">
        <v>2142</v>
      </c>
      <c r="AA190" s="34" t="s">
        <v>393</v>
      </c>
      <c r="AB190" s="34" t="s">
        <v>393</v>
      </c>
      <c r="AC190" s="34"/>
      <c r="AD190" s="34">
        <v>15</v>
      </c>
      <c r="AE190" s="34" t="s">
        <v>169</v>
      </c>
      <c r="AF190" s="34" t="s">
        <v>364</v>
      </c>
      <c r="AG190" s="34"/>
      <c r="AH190" s="34"/>
      <c r="AI190" s="34">
        <v>43818</v>
      </c>
      <c r="AJ190" s="34">
        <v>10</v>
      </c>
      <c r="AK190" s="34">
        <v>367.62</v>
      </c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 t="s">
        <v>363</v>
      </c>
      <c r="BG190" s="34"/>
      <c r="BH190" s="34"/>
      <c r="BI190" s="34"/>
      <c r="BJ190" s="34"/>
      <c r="BK190" s="34" t="s">
        <v>50</v>
      </c>
      <c r="BL190" s="34" t="s">
        <v>167</v>
      </c>
      <c r="BM190" s="34" t="s">
        <v>166</v>
      </c>
      <c r="BN190" s="34">
        <v>43894.534952465277</v>
      </c>
      <c r="BO190" s="34"/>
      <c r="BP190" s="34"/>
      <c r="BQ190" s="34"/>
      <c r="BR190" s="34" t="s">
        <v>165</v>
      </c>
      <c r="BS190" s="34">
        <v>4.02012020168638E+18</v>
      </c>
      <c r="BT190" s="34" t="s">
        <v>164</v>
      </c>
      <c r="BU190" s="34" t="s">
        <v>362</v>
      </c>
      <c r="BV190" s="34">
        <v>2020</v>
      </c>
      <c r="BW190" s="34" t="s">
        <v>163</v>
      </c>
      <c r="BX190" s="34"/>
      <c r="BY190" s="34">
        <v>4.03022020122355E+18</v>
      </c>
      <c r="BZ190" s="34" t="s">
        <v>1216</v>
      </c>
      <c r="CA190" s="34" t="s">
        <v>161</v>
      </c>
    </row>
    <row r="191" spans="1:79" x14ac:dyDescent="0.25">
      <c r="A191" s="34" t="s">
        <v>374</v>
      </c>
      <c r="B191" s="34" t="s">
        <v>287</v>
      </c>
      <c r="C191" s="34">
        <v>2019</v>
      </c>
      <c r="D191" s="34" t="s">
        <v>422</v>
      </c>
      <c r="E191" s="34">
        <v>2.0200129917472301E+17</v>
      </c>
      <c r="F191" s="34" t="s">
        <v>182</v>
      </c>
      <c r="G191" s="34" t="s">
        <v>1278</v>
      </c>
      <c r="H191" s="34">
        <v>1378435</v>
      </c>
      <c r="I191" s="34"/>
      <c r="J191" s="34" t="s">
        <v>180</v>
      </c>
      <c r="K191" s="34" t="s">
        <v>179</v>
      </c>
      <c r="L191" s="34" t="s">
        <v>1025</v>
      </c>
      <c r="M191" s="34"/>
      <c r="N191" s="34" t="s">
        <v>905</v>
      </c>
      <c r="O191" s="34" t="s">
        <v>297</v>
      </c>
      <c r="P191" s="34"/>
      <c r="Q191" s="34" t="s">
        <v>296</v>
      </c>
      <c r="R191" s="34" t="s">
        <v>906</v>
      </c>
      <c r="S191" s="34"/>
      <c r="T191" s="34" t="s">
        <v>907</v>
      </c>
      <c r="U191" s="34"/>
      <c r="V191" s="34" t="s">
        <v>949</v>
      </c>
      <c r="W191" s="34"/>
      <c r="X191" s="34" t="s">
        <v>909</v>
      </c>
      <c r="Y191" s="34" t="s">
        <v>47</v>
      </c>
      <c r="Z191" s="34">
        <v>2142</v>
      </c>
      <c r="AA191" s="34" t="s">
        <v>393</v>
      </c>
      <c r="AB191" s="34" t="s">
        <v>393</v>
      </c>
      <c r="AC191" s="34" t="s">
        <v>1025</v>
      </c>
      <c r="AD191" s="34" t="s">
        <v>383</v>
      </c>
      <c r="AE191" s="34" t="s">
        <v>382</v>
      </c>
      <c r="AF191" s="34" t="s">
        <v>377</v>
      </c>
      <c r="AG191" s="34"/>
      <c r="AH191" s="34"/>
      <c r="AI191" s="34">
        <v>43770</v>
      </c>
      <c r="AJ191" s="34">
        <v>50</v>
      </c>
      <c r="AK191" s="34">
        <v>600</v>
      </c>
      <c r="AL191" s="34" t="s">
        <v>1098</v>
      </c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 t="s">
        <v>363</v>
      </c>
      <c r="BG191" s="34"/>
      <c r="BH191" s="34"/>
      <c r="BI191" s="34"/>
      <c r="BJ191" s="34"/>
      <c r="BK191" s="34" t="s">
        <v>50</v>
      </c>
      <c r="BL191" s="34" t="s">
        <v>167</v>
      </c>
      <c r="BM191" s="34" t="s">
        <v>166</v>
      </c>
      <c r="BN191" s="34">
        <v>43894.535314687499</v>
      </c>
      <c r="BO191" s="34"/>
      <c r="BP191" s="34"/>
      <c r="BQ191" s="34"/>
      <c r="BR191" s="34" t="s">
        <v>165</v>
      </c>
      <c r="BS191" s="34">
        <v>4.02012020168638E+18</v>
      </c>
      <c r="BT191" s="34" t="s">
        <v>164</v>
      </c>
      <c r="BU191" s="34" t="s">
        <v>1099</v>
      </c>
      <c r="BV191" s="34">
        <v>2020</v>
      </c>
      <c r="BW191" s="34" t="s">
        <v>163</v>
      </c>
      <c r="BX191" s="34"/>
      <c r="BY191" s="34">
        <v>4.0302202012227599E+18</v>
      </c>
      <c r="BZ191" s="34" t="s">
        <v>1134</v>
      </c>
      <c r="CA191" s="34" t="s">
        <v>161</v>
      </c>
    </row>
    <row r="192" spans="1:79" x14ac:dyDescent="0.25">
      <c r="A192" s="34" t="s">
        <v>374</v>
      </c>
      <c r="B192" s="34" t="s">
        <v>287</v>
      </c>
      <c r="C192" s="34">
        <v>2019</v>
      </c>
      <c r="D192" s="34" t="s">
        <v>422</v>
      </c>
      <c r="E192" s="34">
        <v>2.0200129917472301E+17</v>
      </c>
      <c r="F192" s="34" t="s">
        <v>182</v>
      </c>
      <c r="G192" s="34" t="s">
        <v>1279</v>
      </c>
      <c r="H192" s="34">
        <v>1378435</v>
      </c>
      <c r="I192" s="34"/>
      <c r="J192" s="34" t="s">
        <v>180</v>
      </c>
      <c r="K192" s="34" t="s">
        <v>179</v>
      </c>
      <c r="L192" s="34"/>
      <c r="M192" s="34"/>
      <c r="N192" s="34" t="s">
        <v>905</v>
      </c>
      <c r="O192" s="34" t="s">
        <v>297</v>
      </c>
      <c r="P192" s="34"/>
      <c r="Q192" s="34" t="s">
        <v>296</v>
      </c>
      <c r="R192" s="34" t="s">
        <v>906</v>
      </c>
      <c r="S192" s="34"/>
      <c r="T192" s="34" t="s">
        <v>907</v>
      </c>
      <c r="U192" s="34"/>
      <c r="V192" s="34" t="s">
        <v>949</v>
      </c>
      <c r="W192" s="34"/>
      <c r="X192" s="34" t="s">
        <v>909</v>
      </c>
      <c r="Y192" s="34" t="s">
        <v>47</v>
      </c>
      <c r="Z192" s="34">
        <v>2142</v>
      </c>
      <c r="AA192" s="34" t="s">
        <v>393</v>
      </c>
      <c r="AB192" s="34" t="s">
        <v>393</v>
      </c>
      <c r="AC192" s="34"/>
      <c r="AD192" s="34"/>
      <c r="AE192" s="34"/>
      <c r="AF192" s="34" t="s">
        <v>377</v>
      </c>
      <c r="AG192" s="34"/>
      <c r="AH192" s="34"/>
      <c r="AI192" s="34">
        <v>43662</v>
      </c>
      <c r="AJ192" s="34">
        <v>25</v>
      </c>
      <c r="AK192" s="34">
        <v>25</v>
      </c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 t="s">
        <v>363</v>
      </c>
      <c r="BG192" s="34"/>
      <c r="BH192" s="34"/>
      <c r="BI192" s="34"/>
      <c r="BJ192" s="34"/>
      <c r="BK192" s="34" t="s">
        <v>50</v>
      </c>
      <c r="BL192" s="34" t="s">
        <v>167</v>
      </c>
      <c r="BM192" s="34" t="s">
        <v>166</v>
      </c>
      <c r="BN192" s="34">
        <v>43894.53695883102</v>
      </c>
      <c r="BO192" s="34"/>
      <c r="BP192" s="34"/>
      <c r="BQ192" s="34"/>
      <c r="BR192" s="34" t="s">
        <v>165</v>
      </c>
      <c r="BS192" s="34">
        <v>4.02012020168638E+18</v>
      </c>
      <c r="BT192" s="34" t="s">
        <v>164</v>
      </c>
      <c r="BU192" s="34" t="s">
        <v>1280</v>
      </c>
      <c r="BV192" s="34">
        <v>2020</v>
      </c>
      <c r="BW192" s="34" t="s">
        <v>163</v>
      </c>
      <c r="BX192" s="34"/>
      <c r="BY192" s="34">
        <v>4.0302202012240599E+18</v>
      </c>
      <c r="BZ192" s="34" t="s">
        <v>1246</v>
      </c>
      <c r="CA192" s="34" t="s">
        <v>161</v>
      </c>
    </row>
    <row r="193" spans="1:79" x14ac:dyDescent="0.25">
      <c r="A193" s="34" t="s">
        <v>374</v>
      </c>
      <c r="B193" s="34" t="s">
        <v>287</v>
      </c>
      <c r="C193" s="34">
        <v>2019</v>
      </c>
      <c r="D193" s="34" t="s">
        <v>422</v>
      </c>
      <c r="E193" s="34">
        <v>2.0200129917472301E+17</v>
      </c>
      <c r="F193" s="34" t="s">
        <v>182</v>
      </c>
      <c r="G193" s="34" t="s">
        <v>1281</v>
      </c>
      <c r="H193" s="34">
        <v>1378435</v>
      </c>
      <c r="I193" s="34"/>
      <c r="J193" s="34" t="s">
        <v>180</v>
      </c>
      <c r="K193" s="34" t="s">
        <v>179</v>
      </c>
      <c r="L193" s="34"/>
      <c r="M193" s="34"/>
      <c r="N193" s="34" t="s">
        <v>905</v>
      </c>
      <c r="O193" s="34" t="s">
        <v>297</v>
      </c>
      <c r="P193" s="34"/>
      <c r="Q193" s="34" t="s">
        <v>296</v>
      </c>
      <c r="R193" s="34" t="s">
        <v>906</v>
      </c>
      <c r="S193" s="34"/>
      <c r="T193" s="34" t="s">
        <v>907</v>
      </c>
      <c r="U193" s="34"/>
      <c r="V193" s="34" t="s">
        <v>949</v>
      </c>
      <c r="W193" s="34"/>
      <c r="X193" s="34" t="s">
        <v>909</v>
      </c>
      <c r="Y193" s="34" t="s">
        <v>47</v>
      </c>
      <c r="Z193" s="34">
        <v>2142</v>
      </c>
      <c r="AA193" s="34" t="s">
        <v>393</v>
      </c>
      <c r="AB193" s="34" t="s">
        <v>393</v>
      </c>
      <c r="AC193" s="34"/>
      <c r="AD193" s="34"/>
      <c r="AE193" s="34"/>
      <c r="AF193" s="34" t="s">
        <v>377</v>
      </c>
      <c r="AG193" s="34"/>
      <c r="AH193" s="34"/>
      <c r="AI193" s="34">
        <v>43820</v>
      </c>
      <c r="AJ193" s="34">
        <v>50</v>
      </c>
      <c r="AK193" s="34">
        <v>50</v>
      </c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 t="s">
        <v>363</v>
      </c>
      <c r="BG193" s="34"/>
      <c r="BH193" s="34"/>
      <c r="BI193" s="34"/>
      <c r="BJ193" s="34"/>
      <c r="BK193" s="34" t="s">
        <v>50</v>
      </c>
      <c r="BL193" s="34" t="s">
        <v>167</v>
      </c>
      <c r="BM193" s="34" t="s">
        <v>166</v>
      </c>
      <c r="BN193" s="34">
        <v>43894.538387754626</v>
      </c>
      <c r="BO193" s="34"/>
      <c r="BP193" s="34"/>
      <c r="BQ193" s="34"/>
      <c r="BR193" s="34" t="s">
        <v>165</v>
      </c>
      <c r="BS193" s="34">
        <v>4.02012020168638E+18</v>
      </c>
      <c r="BT193" s="34" t="s">
        <v>164</v>
      </c>
      <c r="BU193" s="34" t="s">
        <v>1282</v>
      </c>
      <c r="BV193" s="34">
        <v>2020</v>
      </c>
      <c r="BW193" s="34" t="s">
        <v>163</v>
      </c>
      <c r="BX193" s="34"/>
      <c r="BY193" s="34">
        <v>4.0302202012266798E+18</v>
      </c>
      <c r="BZ193" s="34" t="s">
        <v>1283</v>
      </c>
      <c r="CA193" s="34" t="s">
        <v>161</v>
      </c>
    </row>
    <row r="194" spans="1:79" x14ac:dyDescent="0.25">
      <c r="A194" s="34" t="s">
        <v>374</v>
      </c>
      <c r="B194" s="34" t="s">
        <v>287</v>
      </c>
      <c r="C194" s="34">
        <v>2019</v>
      </c>
      <c r="D194" s="34" t="s">
        <v>422</v>
      </c>
      <c r="E194" s="34">
        <v>2.0200129917472301E+17</v>
      </c>
      <c r="F194" s="34" t="s">
        <v>182</v>
      </c>
      <c r="G194" s="34" t="s">
        <v>1284</v>
      </c>
      <c r="H194" s="34">
        <v>1378435</v>
      </c>
      <c r="I194" s="34"/>
      <c r="J194" s="34" t="s">
        <v>180</v>
      </c>
      <c r="K194" s="34" t="s">
        <v>179</v>
      </c>
      <c r="L194" s="34"/>
      <c r="M194" s="34"/>
      <c r="N194" s="34" t="s">
        <v>905</v>
      </c>
      <c r="O194" s="34" t="s">
        <v>297</v>
      </c>
      <c r="P194" s="34"/>
      <c r="Q194" s="34" t="s">
        <v>296</v>
      </c>
      <c r="R194" s="34" t="s">
        <v>906</v>
      </c>
      <c r="S194" s="34"/>
      <c r="T194" s="34" t="s">
        <v>907</v>
      </c>
      <c r="U194" s="34"/>
      <c r="V194" s="34" t="s">
        <v>949</v>
      </c>
      <c r="W194" s="34"/>
      <c r="X194" s="34" t="s">
        <v>909</v>
      </c>
      <c r="Y194" s="34" t="s">
        <v>47</v>
      </c>
      <c r="Z194" s="34">
        <v>2142</v>
      </c>
      <c r="AA194" s="34" t="s">
        <v>393</v>
      </c>
      <c r="AB194" s="34" t="s">
        <v>393</v>
      </c>
      <c r="AC194" s="34"/>
      <c r="AD194" s="34"/>
      <c r="AE194" s="34"/>
      <c r="AF194" s="34" t="s">
        <v>377</v>
      </c>
      <c r="AG194" s="34"/>
      <c r="AH194" s="34"/>
      <c r="AI194" s="34">
        <v>43672</v>
      </c>
      <c r="AJ194" s="34">
        <v>50</v>
      </c>
      <c r="AK194" s="34">
        <v>125</v>
      </c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 t="s">
        <v>363</v>
      </c>
      <c r="BG194" s="34"/>
      <c r="BH194" s="34"/>
      <c r="BI194" s="34"/>
      <c r="BJ194" s="34"/>
      <c r="BK194" s="34" t="s">
        <v>50</v>
      </c>
      <c r="BL194" s="34" t="s">
        <v>167</v>
      </c>
      <c r="BM194" s="34" t="s">
        <v>166</v>
      </c>
      <c r="BN194" s="34">
        <v>43894.538223564814</v>
      </c>
      <c r="BO194" s="34"/>
      <c r="BP194" s="34"/>
      <c r="BQ194" s="34"/>
      <c r="BR194" s="34" t="s">
        <v>165</v>
      </c>
      <c r="BS194" s="34">
        <v>4.02012020168638E+18</v>
      </c>
      <c r="BT194" s="34" t="s">
        <v>164</v>
      </c>
      <c r="BU194" s="34" t="s">
        <v>680</v>
      </c>
      <c r="BV194" s="34">
        <v>2020</v>
      </c>
      <c r="BW194" s="34" t="s">
        <v>163</v>
      </c>
      <c r="BX194" s="34"/>
      <c r="BY194" s="34">
        <v>4.0302202012242002E+18</v>
      </c>
      <c r="BZ194" s="34" t="s">
        <v>1270</v>
      </c>
      <c r="CA194" s="34" t="s">
        <v>161</v>
      </c>
    </row>
    <row r="195" spans="1:79" x14ac:dyDescent="0.25">
      <c r="A195" s="34" t="s">
        <v>374</v>
      </c>
      <c r="B195" s="34" t="s">
        <v>287</v>
      </c>
      <c r="C195" s="34">
        <v>2019</v>
      </c>
      <c r="D195" s="34" t="s">
        <v>422</v>
      </c>
      <c r="E195" s="34">
        <v>2.0200129917472301E+17</v>
      </c>
      <c r="F195" s="34" t="s">
        <v>182</v>
      </c>
      <c r="G195" s="34" t="s">
        <v>1285</v>
      </c>
      <c r="H195" s="34">
        <v>1378435</v>
      </c>
      <c r="I195" s="34"/>
      <c r="J195" s="34" t="s">
        <v>180</v>
      </c>
      <c r="K195" s="34" t="s">
        <v>179</v>
      </c>
      <c r="L195" s="34"/>
      <c r="M195" s="34"/>
      <c r="N195" s="34" t="s">
        <v>905</v>
      </c>
      <c r="O195" s="34" t="s">
        <v>297</v>
      </c>
      <c r="P195" s="34"/>
      <c r="Q195" s="34" t="s">
        <v>296</v>
      </c>
      <c r="R195" s="34" t="s">
        <v>906</v>
      </c>
      <c r="S195" s="34"/>
      <c r="T195" s="34" t="s">
        <v>907</v>
      </c>
      <c r="U195" s="34"/>
      <c r="V195" s="34" t="s">
        <v>949</v>
      </c>
      <c r="W195" s="34"/>
      <c r="X195" s="34" t="s">
        <v>909</v>
      </c>
      <c r="Y195" s="34" t="s">
        <v>47</v>
      </c>
      <c r="Z195" s="34">
        <v>2142</v>
      </c>
      <c r="AA195" s="34" t="s">
        <v>393</v>
      </c>
      <c r="AB195" s="34" t="s">
        <v>393</v>
      </c>
      <c r="AC195" s="34"/>
      <c r="AD195" s="34">
        <v>15</v>
      </c>
      <c r="AE195" s="34" t="s">
        <v>169</v>
      </c>
      <c r="AF195" s="34" t="s">
        <v>364</v>
      </c>
      <c r="AG195" s="34"/>
      <c r="AH195" s="34"/>
      <c r="AI195" s="34">
        <v>43767</v>
      </c>
      <c r="AJ195" s="34">
        <v>10</v>
      </c>
      <c r="AK195" s="34">
        <v>367.62</v>
      </c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 t="s">
        <v>363</v>
      </c>
      <c r="BG195" s="34"/>
      <c r="BH195" s="34"/>
      <c r="BI195" s="34"/>
      <c r="BJ195" s="34"/>
      <c r="BK195" s="34" t="s">
        <v>50</v>
      </c>
      <c r="BL195" s="34" t="s">
        <v>167</v>
      </c>
      <c r="BM195" s="34" t="s">
        <v>166</v>
      </c>
      <c r="BN195" s="34">
        <v>43894.540158067131</v>
      </c>
      <c r="BO195" s="34"/>
      <c r="BP195" s="34"/>
      <c r="BQ195" s="34"/>
      <c r="BR195" s="34" t="s">
        <v>165</v>
      </c>
      <c r="BS195" s="34">
        <v>4.02012020168638E+18</v>
      </c>
      <c r="BT195" s="34" t="s">
        <v>164</v>
      </c>
      <c r="BU195" s="34" t="s">
        <v>362</v>
      </c>
      <c r="BV195" s="34">
        <v>2020</v>
      </c>
      <c r="BW195" s="34" t="s">
        <v>163</v>
      </c>
      <c r="BX195" s="34"/>
      <c r="BY195" s="34">
        <v>4.03022020122577E+18</v>
      </c>
      <c r="BZ195" s="34" t="s">
        <v>1143</v>
      </c>
      <c r="CA195" s="34" t="s">
        <v>161</v>
      </c>
    </row>
    <row r="196" spans="1:79" x14ac:dyDescent="0.25">
      <c r="A196" s="34" t="s">
        <v>374</v>
      </c>
      <c r="B196" s="34" t="s">
        <v>287</v>
      </c>
      <c r="C196" s="34">
        <v>2019</v>
      </c>
      <c r="D196" s="34" t="s">
        <v>422</v>
      </c>
      <c r="E196" s="34">
        <v>2.0200129917472301E+17</v>
      </c>
      <c r="F196" s="34" t="s">
        <v>182</v>
      </c>
      <c r="G196" s="34" t="s">
        <v>1286</v>
      </c>
      <c r="H196" s="34">
        <v>1378435</v>
      </c>
      <c r="I196" s="34"/>
      <c r="J196" s="34" t="s">
        <v>180</v>
      </c>
      <c r="K196" s="34" t="s">
        <v>179</v>
      </c>
      <c r="L196" s="34" t="s">
        <v>1061</v>
      </c>
      <c r="M196" s="34"/>
      <c r="N196" s="34" t="s">
        <v>905</v>
      </c>
      <c r="O196" s="34" t="s">
        <v>297</v>
      </c>
      <c r="P196" s="34"/>
      <c r="Q196" s="34" t="s">
        <v>296</v>
      </c>
      <c r="R196" s="34" t="s">
        <v>906</v>
      </c>
      <c r="S196" s="34"/>
      <c r="T196" s="34" t="s">
        <v>907</v>
      </c>
      <c r="U196" s="34"/>
      <c r="V196" s="34" t="s">
        <v>949</v>
      </c>
      <c r="W196" s="34"/>
      <c r="X196" s="34" t="s">
        <v>909</v>
      </c>
      <c r="Y196" s="34" t="s">
        <v>47</v>
      </c>
      <c r="Z196" s="34">
        <v>2142</v>
      </c>
      <c r="AA196" s="34" t="s">
        <v>393</v>
      </c>
      <c r="AB196" s="34" t="s">
        <v>393</v>
      </c>
      <c r="AC196" s="34" t="s">
        <v>1061</v>
      </c>
      <c r="AD196" s="34" t="s">
        <v>383</v>
      </c>
      <c r="AE196" s="34" t="s">
        <v>382</v>
      </c>
      <c r="AF196" s="34" t="s">
        <v>377</v>
      </c>
      <c r="AG196" s="34"/>
      <c r="AH196" s="34"/>
      <c r="AI196" s="34">
        <v>43762</v>
      </c>
      <c r="AJ196" s="34">
        <v>50</v>
      </c>
      <c r="AK196" s="34">
        <v>489</v>
      </c>
      <c r="AL196" s="34" t="s">
        <v>1095</v>
      </c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 t="s">
        <v>363</v>
      </c>
      <c r="BG196" s="34"/>
      <c r="BH196" s="34"/>
      <c r="BI196" s="34"/>
      <c r="BJ196" s="34"/>
      <c r="BK196" s="34" t="s">
        <v>50</v>
      </c>
      <c r="BL196" s="34" t="s">
        <v>167</v>
      </c>
      <c r="BM196" s="34" t="s">
        <v>166</v>
      </c>
      <c r="BN196" s="34">
        <v>43894.542957164354</v>
      </c>
      <c r="BO196" s="34"/>
      <c r="BP196" s="34"/>
      <c r="BQ196" s="34"/>
      <c r="BR196" s="34" t="s">
        <v>165</v>
      </c>
      <c r="BS196" s="34">
        <v>4.02012020168638E+18</v>
      </c>
      <c r="BT196" s="34" t="s">
        <v>164</v>
      </c>
      <c r="BU196" s="34" t="s">
        <v>957</v>
      </c>
      <c r="BV196" s="34">
        <v>2020</v>
      </c>
      <c r="BW196" s="34" t="s">
        <v>163</v>
      </c>
      <c r="BX196" s="34"/>
      <c r="BY196" s="34">
        <v>4.0302202012287898E+18</v>
      </c>
      <c r="BZ196" s="34" t="s">
        <v>1100</v>
      </c>
      <c r="CA196" s="34" t="s">
        <v>161</v>
      </c>
    </row>
    <row r="197" spans="1:79" x14ac:dyDescent="0.25">
      <c r="A197" s="34" t="s">
        <v>374</v>
      </c>
      <c r="B197" s="34" t="s">
        <v>287</v>
      </c>
      <c r="C197" s="34">
        <v>2019</v>
      </c>
      <c r="D197" s="34" t="s">
        <v>422</v>
      </c>
      <c r="E197" s="34">
        <v>2.0200129917472301E+17</v>
      </c>
      <c r="F197" s="34" t="s">
        <v>182</v>
      </c>
      <c r="G197" s="34" t="s">
        <v>1287</v>
      </c>
      <c r="H197" s="34">
        <v>1378435</v>
      </c>
      <c r="I197" s="34"/>
      <c r="J197" s="34" t="s">
        <v>180</v>
      </c>
      <c r="K197" s="34" t="s">
        <v>179</v>
      </c>
      <c r="L197" s="34"/>
      <c r="M197" s="34"/>
      <c r="N197" s="34" t="s">
        <v>905</v>
      </c>
      <c r="O197" s="34" t="s">
        <v>297</v>
      </c>
      <c r="P197" s="34"/>
      <c r="Q197" s="34" t="s">
        <v>296</v>
      </c>
      <c r="R197" s="34" t="s">
        <v>906</v>
      </c>
      <c r="S197" s="34"/>
      <c r="T197" s="34" t="s">
        <v>907</v>
      </c>
      <c r="U197" s="34"/>
      <c r="V197" s="34" t="s">
        <v>949</v>
      </c>
      <c r="W197" s="34"/>
      <c r="X197" s="34" t="s">
        <v>909</v>
      </c>
      <c r="Y197" s="34" t="s">
        <v>47</v>
      </c>
      <c r="Z197" s="34">
        <v>2142</v>
      </c>
      <c r="AA197" s="34" t="s">
        <v>393</v>
      </c>
      <c r="AB197" s="34" t="s">
        <v>393</v>
      </c>
      <c r="AC197" s="34"/>
      <c r="AD197" s="34">
        <v>15</v>
      </c>
      <c r="AE197" s="34" t="s">
        <v>169</v>
      </c>
      <c r="AF197" s="34" t="s">
        <v>364</v>
      </c>
      <c r="AG197" s="34"/>
      <c r="AH197" s="34"/>
      <c r="AI197" s="34">
        <v>43736</v>
      </c>
      <c r="AJ197" s="34">
        <v>5</v>
      </c>
      <c r="AK197" s="34">
        <v>367.62</v>
      </c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 t="s">
        <v>363</v>
      </c>
      <c r="BG197" s="34"/>
      <c r="BH197" s="34"/>
      <c r="BI197" s="34"/>
      <c r="BJ197" s="34"/>
      <c r="BK197" s="34" t="s">
        <v>50</v>
      </c>
      <c r="BL197" s="34" t="s">
        <v>167</v>
      </c>
      <c r="BM197" s="34" t="s">
        <v>166</v>
      </c>
      <c r="BN197" s="34">
        <v>43894.543106979167</v>
      </c>
      <c r="BO197" s="34"/>
      <c r="BP197" s="34"/>
      <c r="BQ197" s="34"/>
      <c r="BR197" s="34" t="s">
        <v>165</v>
      </c>
      <c r="BS197" s="34">
        <v>4.02012020168638E+18</v>
      </c>
      <c r="BT197" s="34" t="s">
        <v>164</v>
      </c>
      <c r="BU197" s="34" t="s">
        <v>362</v>
      </c>
      <c r="BV197" s="34">
        <v>2020</v>
      </c>
      <c r="BW197" s="34" t="s">
        <v>163</v>
      </c>
      <c r="BX197" s="34"/>
      <c r="BY197" s="34">
        <v>4.0302202012190602E+18</v>
      </c>
      <c r="BZ197" s="34" t="s">
        <v>1288</v>
      </c>
      <c r="CA197" s="34" t="s">
        <v>161</v>
      </c>
    </row>
    <row r="198" spans="1:79" x14ac:dyDescent="0.25">
      <c r="A198" s="34" t="s">
        <v>374</v>
      </c>
      <c r="B198" s="34" t="s">
        <v>287</v>
      </c>
      <c r="C198" s="34">
        <v>2019</v>
      </c>
      <c r="D198" s="34" t="s">
        <v>422</v>
      </c>
      <c r="E198" s="34">
        <v>2.0200129917472301E+17</v>
      </c>
      <c r="F198" s="34" t="s">
        <v>182</v>
      </c>
      <c r="G198" s="34" t="s">
        <v>1289</v>
      </c>
      <c r="H198" s="34">
        <v>1378435</v>
      </c>
      <c r="I198" s="34"/>
      <c r="J198" s="34" t="s">
        <v>180</v>
      </c>
      <c r="K198" s="34" t="s">
        <v>179</v>
      </c>
      <c r="L198" s="34"/>
      <c r="M198" s="34"/>
      <c r="N198" s="34" t="s">
        <v>905</v>
      </c>
      <c r="O198" s="34" t="s">
        <v>297</v>
      </c>
      <c r="P198" s="34"/>
      <c r="Q198" s="34" t="s">
        <v>296</v>
      </c>
      <c r="R198" s="34" t="s">
        <v>906</v>
      </c>
      <c r="S198" s="34"/>
      <c r="T198" s="34" t="s">
        <v>907</v>
      </c>
      <c r="U198" s="34"/>
      <c r="V198" s="34" t="s">
        <v>949</v>
      </c>
      <c r="W198" s="34"/>
      <c r="X198" s="34" t="s">
        <v>909</v>
      </c>
      <c r="Y198" s="34" t="s">
        <v>47</v>
      </c>
      <c r="Z198" s="34">
        <v>2142</v>
      </c>
      <c r="AA198" s="34" t="s">
        <v>393</v>
      </c>
      <c r="AB198" s="34" t="s">
        <v>393</v>
      </c>
      <c r="AC198" s="34"/>
      <c r="AD198" s="34">
        <v>15</v>
      </c>
      <c r="AE198" s="34" t="s">
        <v>169</v>
      </c>
      <c r="AF198" s="34" t="s">
        <v>364</v>
      </c>
      <c r="AG198" s="34"/>
      <c r="AH198" s="34"/>
      <c r="AI198" s="34">
        <v>43765</v>
      </c>
      <c r="AJ198" s="34">
        <v>10</v>
      </c>
      <c r="AK198" s="34">
        <v>367.62</v>
      </c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 t="s">
        <v>363</v>
      </c>
      <c r="BG198" s="34"/>
      <c r="BH198" s="34"/>
      <c r="BI198" s="34"/>
      <c r="BJ198" s="34"/>
      <c r="BK198" s="34" t="s">
        <v>50</v>
      </c>
      <c r="BL198" s="34" t="s">
        <v>167</v>
      </c>
      <c r="BM198" s="34" t="s">
        <v>166</v>
      </c>
      <c r="BN198" s="34">
        <v>43894.545612893518</v>
      </c>
      <c r="BO198" s="34"/>
      <c r="BP198" s="34"/>
      <c r="BQ198" s="34"/>
      <c r="BR198" s="34" t="s">
        <v>165</v>
      </c>
      <c r="BS198" s="34">
        <v>4.02012020168638E+18</v>
      </c>
      <c r="BT198" s="34" t="s">
        <v>164</v>
      </c>
      <c r="BU198" s="34" t="s">
        <v>362</v>
      </c>
      <c r="BV198" s="34">
        <v>2020</v>
      </c>
      <c r="BW198" s="34" t="s">
        <v>163</v>
      </c>
      <c r="BX198" s="34"/>
      <c r="BY198" s="34">
        <v>4.0302202012319201E+18</v>
      </c>
      <c r="BZ198" s="34" t="s">
        <v>1203</v>
      </c>
      <c r="CA198" s="34" t="s">
        <v>161</v>
      </c>
    </row>
    <row r="199" spans="1:79" x14ac:dyDescent="0.25">
      <c r="A199" s="34" t="s">
        <v>374</v>
      </c>
      <c r="B199" s="34" t="s">
        <v>287</v>
      </c>
      <c r="C199" s="34">
        <v>2019</v>
      </c>
      <c r="D199" s="34" t="s">
        <v>422</v>
      </c>
      <c r="E199" s="34">
        <v>2.0200129917472301E+17</v>
      </c>
      <c r="F199" s="34" t="s">
        <v>182</v>
      </c>
      <c r="G199" s="34" t="s">
        <v>1290</v>
      </c>
      <c r="H199" s="34">
        <v>1378435</v>
      </c>
      <c r="I199" s="34"/>
      <c r="J199" s="34" t="s">
        <v>180</v>
      </c>
      <c r="K199" s="34" t="s">
        <v>179</v>
      </c>
      <c r="L199" s="34"/>
      <c r="M199" s="34"/>
      <c r="N199" s="34" t="s">
        <v>905</v>
      </c>
      <c r="O199" s="34" t="s">
        <v>297</v>
      </c>
      <c r="P199" s="34"/>
      <c r="Q199" s="34" t="s">
        <v>296</v>
      </c>
      <c r="R199" s="34" t="s">
        <v>906</v>
      </c>
      <c r="S199" s="34"/>
      <c r="T199" s="34" t="s">
        <v>907</v>
      </c>
      <c r="U199" s="34"/>
      <c r="V199" s="34" t="s">
        <v>949</v>
      </c>
      <c r="W199" s="34"/>
      <c r="X199" s="34" t="s">
        <v>909</v>
      </c>
      <c r="Y199" s="34" t="s">
        <v>47</v>
      </c>
      <c r="Z199" s="34">
        <v>2142</v>
      </c>
      <c r="AA199" s="34" t="s">
        <v>393</v>
      </c>
      <c r="AB199" s="34" t="s">
        <v>393</v>
      </c>
      <c r="AC199" s="34"/>
      <c r="AD199" s="34"/>
      <c r="AE199" s="34"/>
      <c r="AF199" s="34" t="s">
        <v>377</v>
      </c>
      <c r="AG199" s="34"/>
      <c r="AH199" s="34"/>
      <c r="AI199" s="34">
        <v>43782</v>
      </c>
      <c r="AJ199" s="34">
        <v>25</v>
      </c>
      <c r="AK199" s="34">
        <v>25</v>
      </c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 t="s">
        <v>363</v>
      </c>
      <c r="BG199" s="34"/>
      <c r="BH199" s="34"/>
      <c r="BI199" s="34"/>
      <c r="BJ199" s="34"/>
      <c r="BK199" s="34" t="s">
        <v>50</v>
      </c>
      <c r="BL199" s="34" t="s">
        <v>167</v>
      </c>
      <c r="BM199" s="34" t="s">
        <v>166</v>
      </c>
      <c r="BN199" s="34">
        <v>43894.546855775465</v>
      </c>
      <c r="BO199" s="34"/>
      <c r="BP199" s="34"/>
      <c r="BQ199" s="34"/>
      <c r="BR199" s="34" t="s">
        <v>165</v>
      </c>
      <c r="BS199" s="34">
        <v>4.02012020168638E+18</v>
      </c>
      <c r="BT199" s="34" t="s">
        <v>164</v>
      </c>
      <c r="BU199" s="34" t="s">
        <v>1291</v>
      </c>
      <c r="BV199" s="34">
        <v>2020</v>
      </c>
      <c r="BW199" s="34" t="s">
        <v>163</v>
      </c>
      <c r="BX199" s="34"/>
      <c r="BY199" s="34">
        <v>4.03022020123219E+18</v>
      </c>
      <c r="BZ199" s="34" t="s">
        <v>1292</v>
      </c>
      <c r="CA199" s="34" t="s">
        <v>161</v>
      </c>
    </row>
    <row r="200" spans="1:79" x14ac:dyDescent="0.25">
      <c r="A200" s="34" t="s">
        <v>374</v>
      </c>
      <c r="B200" s="34" t="s">
        <v>287</v>
      </c>
      <c r="C200" s="34">
        <v>2019</v>
      </c>
      <c r="D200" s="34" t="s">
        <v>422</v>
      </c>
      <c r="E200" s="34">
        <v>2.0200129917472301E+17</v>
      </c>
      <c r="F200" s="34" t="s">
        <v>182</v>
      </c>
      <c r="G200" s="34" t="s">
        <v>1293</v>
      </c>
      <c r="H200" s="34">
        <v>1378435</v>
      </c>
      <c r="I200" s="34"/>
      <c r="J200" s="34" t="s">
        <v>180</v>
      </c>
      <c r="K200" s="34" t="s">
        <v>179</v>
      </c>
      <c r="L200" s="34"/>
      <c r="M200" s="34"/>
      <c r="N200" s="34" t="s">
        <v>905</v>
      </c>
      <c r="O200" s="34" t="s">
        <v>297</v>
      </c>
      <c r="P200" s="34"/>
      <c r="Q200" s="34" t="s">
        <v>296</v>
      </c>
      <c r="R200" s="34" t="s">
        <v>906</v>
      </c>
      <c r="S200" s="34"/>
      <c r="T200" s="34" t="s">
        <v>907</v>
      </c>
      <c r="U200" s="34"/>
      <c r="V200" s="34" t="s">
        <v>949</v>
      </c>
      <c r="W200" s="34"/>
      <c r="X200" s="34" t="s">
        <v>909</v>
      </c>
      <c r="Y200" s="34" t="s">
        <v>47</v>
      </c>
      <c r="Z200" s="34">
        <v>2142</v>
      </c>
      <c r="AA200" s="34" t="s">
        <v>393</v>
      </c>
      <c r="AB200" s="34" t="s">
        <v>393</v>
      </c>
      <c r="AC200" s="34"/>
      <c r="AD200" s="34">
        <v>15</v>
      </c>
      <c r="AE200" s="34" t="s">
        <v>169</v>
      </c>
      <c r="AF200" s="34" t="s">
        <v>364</v>
      </c>
      <c r="AG200" s="34"/>
      <c r="AH200" s="34"/>
      <c r="AI200" s="34">
        <v>43762</v>
      </c>
      <c r="AJ200" s="34">
        <v>10</v>
      </c>
      <c r="AK200" s="34">
        <v>367.62</v>
      </c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 t="s">
        <v>363</v>
      </c>
      <c r="BG200" s="34"/>
      <c r="BH200" s="34"/>
      <c r="BI200" s="34"/>
      <c r="BJ200" s="34"/>
      <c r="BK200" s="34" t="s">
        <v>50</v>
      </c>
      <c r="BL200" s="34" t="s">
        <v>167</v>
      </c>
      <c r="BM200" s="34" t="s">
        <v>166</v>
      </c>
      <c r="BN200" s="34">
        <v>43894.547426863428</v>
      </c>
      <c r="BO200" s="34"/>
      <c r="BP200" s="34"/>
      <c r="BQ200" s="34"/>
      <c r="BR200" s="34" t="s">
        <v>165</v>
      </c>
      <c r="BS200" s="34">
        <v>4.02012020168638E+18</v>
      </c>
      <c r="BT200" s="34" t="s">
        <v>164</v>
      </c>
      <c r="BU200" s="34" t="s">
        <v>362</v>
      </c>
      <c r="BV200" s="34">
        <v>2020</v>
      </c>
      <c r="BW200" s="34" t="s">
        <v>163</v>
      </c>
      <c r="BX200" s="34"/>
      <c r="BY200" s="34">
        <v>4.0302202012318802E+18</v>
      </c>
      <c r="BZ200" s="34" t="s">
        <v>1264</v>
      </c>
      <c r="CA200" s="34" t="s">
        <v>161</v>
      </c>
    </row>
    <row r="201" spans="1:79" x14ac:dyDescent="0.25">
      <c r="A201" s="34" t="s">
        <v>374</v>
      </c>
      <c r="B201" s="34" t="s">
        <v>287</v>
      </c>
      <c r="C201" s="34">
        <v>2019</v>
      </c>
      <c r="D201" s="34" t="s">
        <v>422</v>
      </c>
      <c r="E201" s="34">
        <v>2.0200129917472301E+17</v>
      </c>
      <c r="F201" s="34" t="s">
        <v>182</v>
      </c>
      <c r="G201" s="34" t="s">
        <v>1294</v>
      </c>
      <c r="H201" s="34">
        <v>1378435</v>
      </c>
      <c r="I201" s="34"/>
      <c r="J201" s="34" t="s">
        <v>180</v>
      </c>
      <c r="K201" s="34" t="s">
        <v>179</v>
      </c>
      <c r="L201" s="34"/>
      <c r="M201" s="34"/>
      <c r="N201" s="34" t="s">
        <v>905</v>
      </c>
      <c r="O201" s="34" t="s">
        <v>297</v>
      </c>
      <c r="P201" s="34"/>
      <c r="Q201" s="34" t="s">
        <v>296</v>
      </c>
      <c r="R201" s="34" t="s">
        <v>906</v>
      </c>
      <c r="S201" s="34"/>
      <c r="T201" s="34" t="s">
        <v>907</v>
      </c>
      <c r="U201" s="34"/>
      <c r="V201" s="34" t="s">
        <v>949</v>
      </c>
      <c r="W201" s="34"/>
      <c r="X201" s="34" t="s">
        <v>909</v>
      </c>
      <c r="Y201" s="34" t="s">
        <v>47</v>
      </c>
      <c r="Z201" s="34">
        <v>2142</v>
      </c>
      <c r="AA201" s="34" t="s">
        <v>393</v>
      </c>
      <c r="AB201" s="34" t="s">
        <v>393</v>
      </c>
      <c r="AC201" s="34"/>
      <c r="AD201" s="34">
        <v>15</v>
      </c>
      <c r="AE201" s="34" t="s">
        <v>169</v>
      </c>
      <c r="AF201" s="34" t="s">
        <v>364</v>
      </c>
      <c r="AG201" s="34"/>
      <c r="AH201" s="34"/>
      <c r="AI201" s="34">
        <v>43697</v>
      </c>
      <c r="AJ201" s="34">
        <v>2.5</v>
      </c>
      <c r="AK201" s="34">
        <v>367.62</v>
      </c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 t="s">
        <v>363</v>
      </c>
      <c r="BG201" s="34"/>
      <c r="BH201" s="34"/>
      <c r="BI201" s="34"/>
      <c r="BJ201" s="34"/>
      <c r="BK201" s="34" t="s">
        <v>50</v>
      </c>
      <c r="BL201" s="34" t="s">
        <v>167</v>
      </c>
      <c r="BM201" s="34" t="s">
        <v>166</v>
      </c>
      <c r="BN201" s="34">
        <v>43894.548307303237</v>
      </c>
      <c r="BO201" s="34"/>
      <c r="BP201" s="34"/>
      <c r="BQ201" s="34"/>
      <c r="BR201" s="34" t="s">
        <v>165</v>
      </c>
      <c r="BS201" s="34">
        <v>4.02012020168638E+18</v>
      </c>
      <c r="BT201" s="34" t="s">
        <v>164</v>
      </c>
      <c r="BU201" s="34" t="s">
        <v>362</v>
      </c>
      <c r="BV201" s="34">
        <v>2020</v>
      </c>
      <c r="BW201" s="34" t="s">
        <v>163</v>
      </c>
      <c r="BX201" s="34"/>
      <c r="BY201" s="34">
        <v>4.0302202012339098E+18</v>
      </c>
      <c r="BZ201" s="34" t="s">
        <v>1122</v>
      </c>
      <c r="CA201" s="34" t="s">
        <v>161</v>
      </c>
    </row>
    <row r="202" spans="1:79" x14ac:dyDescent="0.25">
      <c r="A202" s="34" t="s">
        <v>374</v>
      </c>
      <c r="B202" s="34" t="s">
        <v>287</v>
      </c>
      <c r="C202" s="34">
        <v>2019</v>
      </c>
      <c r="D202" s="34" t="s">
        <v>422</v>
      </c>
      <c r="E202" s="34">
        <v>2.0200129917472301E+17</v>
      </c>
      <c r="F202" s="34" t="s">
        <v>182</v>
      </c>
      <c r="G202" s="34" t="s">
        <v>1295</v>
      </c>
      <c r="H202" s="34">
        <v>1378435</v>
      </c>
      <c r="I202" s="34"/>
      <c r="J202" s="34" t="s">
        <v>180</v>
      </c>
      <c r="K202" s="34" t="s">
        <v>179</v>
      </c>
      <c r="L202" s="34"/>
      <c r="M202" s="34"/>
      <c r="N202" s="34" t="s">
        <v>905</v>
      </c>
      <c r="O202" s="34" t="s">
        <v>297</v>
      </c>
      <c r="P202" s="34"/>
      <c r="Q202" s="34" t="s">
        <v>296</v>
      </c>
      <c r="R202" s="34" t="s">
        <v>906</v>
      </c>
      <c r="S202" s="34"/>
      <c r="T202" s="34" t="s">
        <v>907</v>
      </c>
      <c r="U202" s="34"/>
      <c r="V202" s="34" t="s">
        <v>949</v>
      </c>
      <c r="W202" s="34"/>
      <c r="X202" s="34" t="s">
        <v>909</v>
      </c>
      <c r="Y202" s="34" t="s">
        <v>47</v>
      </c>
      <c r="Z202" s="34">
        <v>2142</v>
      </c>
      <c r="AA202" s="34" t="s">
        <v>393</v>
      </c>
      <c r="AB202" s="34" t="s">
        <v>393</v>
      </c>
      <c r="AC202" s="34"/>
      <c r="AD202" s="34"/>
      <c r="AE202" s="34"/>
      <c r="AF202" s="34" t="s">
        <v>377</v>
      </c>
      <c r="AG202" s="34"/>
      <c r="AH202" s="34"/>
      <c r="AI202" s="34">
        <v>43693</v>
      </c>
      <c r="AJ202" s="34">
        <v>35</v>
      </c>
      <c r="AK202" s="34">
        <v>130</v>
      </c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 t="s">
        <v>363</v>
      </c>
      <c r="BG202" s="34"/>
      <c r="BH202" s="34"/>
      <c r="BI202" s="34"/>
      <c r="BJ202" s="34"/>
      <c r="BK202" s="34" t="s">
        <v>50</v>
      </c>
      <c r="BL202" s="34" t="s">
        <v>167</v>
      </c>
      <c r="BM202" s="34" t="s">
        <v>166</v>
      </c>
      <c r="BN202" s="34">
        <v>43894.548992384262</v>
      </c>
      <c r="BO202" s="34"/>
      <c r="BP202" s="34"/>
      <c r="BQ202" s="34"/>
      <c r="BR202" s="34" t="s">
        <v>165</v>
      </c>
      <c r="BS202" s="34">
        <v>4.02012020168638E+18</v>
      </c>
      <c r="BT202" s="34" t="s">
        <v>164</v>
      </c>
      <c r="BU202" s="34" t="s">
        <v>1184</v>
      </c>
      <c r="BV202" s="34">
        <v>2020</v>
      </c>
      <c r="BW202" s="34" t="s">
        <v>163</v>
      </c>
      <c r="BX202" s="34"/>
      <c r="BY202" s="34">
        <v>4.0302202012369398E+18</v>
      </c>
      <c r="BZ202" s="34" t="s">
        <v>1156</v>
      </c>
      <c r="CA202" s="34" t="s">
        <v>161</v>
      </c>
    </row>
    <row r="203" spans="1:79" x14ac:dyDescent="0.25">
      <c r="A203" s="34" t="s">
        <v>374</v>
      </c>
      <c r="B203" s="34" t="s">
        <v>287</v>
      </c>
      <c r="C203" s="34">
        <v>2019</v>
      </c>
      <c r="D203" s="34" t="s">
        <v>422</v>
      </c>
      <c r="E203" s="34">
        <v>2.0200129917472301E+17</v>
      </c>
      <c r="F203" s="34" t="s">
        <v>182</v>
      </c>
      <c r="G203" s="34" t="s">
        <v>1296</v>
      </c>
      <c r="H203" s="34">
        <v>1378435</v>
      </c>
      <c r="I203" s="34"/>
      <c r="J203" s="34" t="s">
        <v>180</v>
      </c>
      <c r="K203" s="34" t="s">
        <v>179</v>
      </c>
      <c r="L203" s="34"/>
      <c r="M203" s="34"/>
      <c r="N203" s="34" t="s">
        <v>905</v>
      </c>
      <c r="O203" s="34" t="s">
        <v>297</v>
      </c>
      <c r="P203" s="34"/>
      <c r="Q203" s="34" t="s">
        <v>296</v>
      </c>
      <c r="R203" s="34" t="s">
        <v>906</v>
      </c>
      <c r="S203" s="34"/>
      <c r="T203" s="34" t="s">
        <v>907</v>
      </c>
      <c r="U203" s="34"/>
      <c r="V203" s="34" t="s">
        <v>949</v>
      </c>
      <c r="W203" s="34"/>
      <c r="X203" s="34" t="s">
        <v>909</v>
      </c>
      <c r="Y203" s="34" t="s">
        <v>47</v>
      </c>
      <c r="Z203" s="34">
        <v>2142</v>
      </c>
      <c r="AA203" s="34" t="s">
        <v>393</v>
      </c>
      <c r="AB203" s="34" t="s">
        <v>393</v>
      </c>
      <c r="AC203" s="34"/>
      <c r="AD203" s="34">
        <v>15</v>
      </c>
      <c r="AE203" s="34" t="s">
        <v>169</v>
      </c>
      <c r="AF203" s="34" t="s">
        <v>364</v>
      </c>
      <c r="AG203" s="34"/>
      <c r="AH203" s="34"/>
      <c r="AI203" s="34">
        <v>43737</v>
      </c>
      <c r="AJ203" s="34">
        <v>2</v>
      </c>
      <c r="AK203" s="34">
        <v>367.62</v>
      </c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 t="s">
        <v>363</v>
      </c>
      <c r="BG203" s="34"/>
      <c r="BH203" s="34"/>
      <c r="BI203" s="34"/>
      <c r="BJ203" s="34"/>
      <c r="BK203" s="34" t="s">
        <v>50</v>
      </c>
      <c r="BL203" s="34" t="s">
        <v>167</v>
      </c>
      <c r="BM203" s="34" t="s">
        <v>166</v>
      </c>
      <c r="BN203" s="34">
        <v>43894.550209293979</v>
      </c>
      <c r="BO203" s="34"/>
      <c r="BP203" s="34"/>
      <c r="BQ203" s="34"/>
      <c r="BR203" s="34" t="s">
        <v>165</v>
      </c>
      <c r="BS203" s="34">
        <v>4.02012020168638E+18</v>
      </c>
      <c r="BT203" s="34" t="s">
        <v>164</v>
      </c>
      <c r="BU203" s="34" t="s">
        <v>362</v>
      </c>
      <c r="BV203" s="34">
        <v>2020</v>
      </c>
      <c r="BW203" s="34" t="s">
        <v>163</v>
      </c>
      <c r="BX203" s="34"/>
      <c r="BY203" s="34">
        <v>4.0302202012376499E+18</v>
      </c>
      <c r="BZ203" s="34" t="s">
        <v>1124</v>
      </c>
      <c r="CA203" s="34" t="s">
        <v>161</v>
      </c>
    </row>
    <row r="204" spans="1:79" x14ac:dyDescent="0.25">
      <c r="A204" s="34" t="s">
        <v>374</v>
      </c>
      <c r="B204" s="34" t="s">
        <v>287</v>
      </c>
      <c r="C204" s="34">
        <v>2019</v>
      </c>
      <c r="D204" s="34" t="s">
        <v>422</v>
      </c>
      <c r="E204" s="34">
        <v>2.0200129917472301E+17</v>
      </c>
      <c r="F204" s="34" t="s">
        <v>182</v>
      </c>
      <c r="G204" s="34" t="s">
        <v>1297</v>
      </c>
      <c r="H204" s="34">
        <v>1378435</v>
      </c>
      <c r="I204" s="34"/>
      <c r="J204" s="34" t="s">
        <v>180</v>
      </c>
      <c r="K204" s="34" t="s">
        <v>179</v>
      </c>
      <c r="L204" s="34"/>
      <c r="M204" s="34"/>
      <c r="N204" s="34" t="s">
        <v>905</v>
      </c>
      <c r="O204" s="34" t="s">
        <v>297</v>
      </c>
      <c r="P204" s="34"/>
      <c r="Q204" s="34" t="s">
        <v>296</v>
      </c>
      <c r="R204" s="34" t="s">
        <v>906</v>
      </c>
      <c r="S204" s="34"/>
      <c r="T204" s="34" t="s">
        <v>907</v>
      </c>
      <c r="U204" s="34"/>
      <c r="V204" s="34" t="s">
        <v>949</v>
      </c>
      <c r="W204" s="34"/>
      <c r="X204" s="34" t="s">
        <v>909</v>
      </c>
      <c r="Y204" s="34" t="s">
        <v>47</v>
      </c>
      <c r="Z204" s="34">
        <v>2142</v>
      </c>
      <c r="AA204" s="34" t="s">
        <v>393</v>
      </c>
      <c r="AB204" s="34" t="s">
        <v>393</v>
      </c>
      <c r="AC204" s="34"/>
      <c r="AD204" s="34">
        <v>15</v>
      </c>
      <c r="AE204" s="34" t="s">
        <v>169</v>
      </c>
      <c r="AF204" s="34" t="s">
        <v>364</v>
      </c>
      <c r="AG204" s="34"/>
      <c r="AH204" s="34"/>
      <c r="AI204" s="34">
        <v>43672</v>
      </c>
      <c r="AJ204" s="34">
        <v>2.5</v>
      </c>
      <c r="AK204" s="34">
        <v>367.62</v>
      </c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 t="s">
        <v>363</v>
      </c>
      <c r="BG204" s="34"/>
      <c r="BH204" s="34"/>
      <c r="BI204" s="34"/>
      <c r="BJ204" s="34"/>
      <c r="BK204" s="34" t="s">
        <v>50</v>
      </c>
      <c r="BL204" s="34" t="s">
        <v>167</v>
      </c>
      <c r="BM204" s="34" t="s">
        <v>166</v>
      </c>
      <c r="BN204" s="34">
        <v>43894.550549328706</v>
      </c>
      <c r="BO204" s="34"/>
      <c r="BP204" s="34"/>
      <c r="BQ204" s="34"/>
      <c r="BR204" s="34" t="s">
        <v>165</v>
      </c>
      <c r="BS204" s="34">
        <v>4.02012020168638E+18</v>
      </c>
      <c r="BT204" s="34" t="s">
        <v>164</v>
      </c>
      <c r="BU204" s="34" t="s">
        <v>362</v>
      </c>
      <c r="BV204" s="34">
        <v>2020</v>
      </c>
      <c r="BW204" s="34" t="s">
        <v>163</v>
      </c>
      <c r="BX204" s="34"/>
      <c r="BY204" s="34">
        <v>4.0302202012365599E+18</v>
      </c>
      <c r="BZ204" s="34" t="s">
        <v>1182</v>
      </c>
      <c r="CA204" s="34" t="s">
        <v>161</v>
      </c>
    </row>
    <row r="205" spans="1:79" x14ac:dyDescent="0.25">
      <c r="A205" s="34" t="s">
        <v>374</v>
      </c>
      <c r="B205" s="34" t="s">
        <v>287</v>
      </c>
      <c r="C205" s="34">
        <v>2019</v>
      </c>
      <c r="D205" s="34" t="s">
        <v>422</v>
      </c>
      <c r="E205" s="34">
        <v>2.0200129917472301E+17</v>
      </c>
      <c r="F205" s="34" t="s">
        <v>182</v>
      </c>
      <c r="G205" s="34" t="s">
        <v>1298</v>
      </c>
      <c r="H205" s="34">
        <v>1378435</v>
      </c>
      <c r="I205" s="34"/>
      <c r="J205" s="34" t="s">
        <v>180</v>
      </c>
      <c r="K205" s="34" t="s">
        <v>179</v>
      </c>
      <c r="L205" s="34"/>
      <c r="M205" s="34"/>
      <c r="N205" s="34" t="s">
        <v>905</v>
      </c>
      <c r="O205" s="34" t="s">
        <v>297</v>
      </c>
      <c r="P205" s="34"/>
      <c r="Q205" s="34" t="s">
        <v>296</v>
      </c>
      <c r="R205" s="34" t="s">
        <v>906</v>
      </c>
      <c r="S205" s="34"/>
      <c r="T205" s="34" t="s">
        <v>907</v>
      </c>
      <c r="U205" s="34"/>
      <c r="V205" s="34" t="s">
        <v>949</v>
      </c>
      <c r="W205" s="34"/>
      <c r="X205" s="34" t="s">
        <v>909</v>
      </c>
      <c r="Y205" s="34" t="s">
        <v>47</v>
      </c>
      <c r="Z205" s="34">
        <v>2142</v>
      </c>
      <c r="AA205" s="34" t="s">
        <v>393</v>
      </c>
      <c r="AB205" s="34" t="s">
        <v>393</v>
      </c>
      <c r="AC205" s="34"/>
      <c r="AD205" s="34"/>
      <c r="AE205" s="34"/>
      <c r="AF205" s="34" t="s">
        <v>377</v>
      </c>
      <c r="AG205" s="34"/>
      <c r="AH205" s="34"/>
      <c r="AI205" s="34">
        <v>43762</v>
      </c>
      <c r="AJ205" s="34">
        <v>50</v>
      </c>
      <c r="AK205" s="34">
        <v>50</v>
      </c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 t="s">
        <v>363</v>
      </c>
      <c r="BG205" s="34"/>
      <c r="BH205" s="34"/>
      <c r="BI205" s="34"/>
      <c r="BJ205" s="34"/>
      <c r="BK205" s="34" t="s">
        <v>50</v>
      </c>
      <c r="BL205" s="34" t="s">
        <v>167</v>
      </c>
      <c r="BM205" s="34" t="s">
        <v>166</v>
      </c>
      <c r="BN205" s="34">
        <v>43894.550868703707</v>
      </c>
      <c r="BO205" s="34"/>
      <c r="BP205" s="34"/>
      <c r="BQ205" s="34"/>
      <c r="BR205" s="34" t="s">
        <v>165</v>
      </c>
      <c r="BS205" s="34">
        <v>4.02012020168638E+18</v>
      </c>
      <c r="BT205" s="34" t="s">
        <v>164</v>
      </c>
      <c r="BU205" s="34" t="s">
        <v>1299</v>
      </c>
      <c r="BV205" s="34">
        <v>2020</v>
      </c>
      <c r="BW205" s="34" t="s">
        <v>163</v>
      </c>
      <c r="BX205" s="34"/>
      <c r="BY205" s="34">
        <v>4.03022020123806E+18</v>
      </c>
      <c r="BZ205" s="34" t="s">
        <v>1212</v>
      </c>
      <c r="CA205" s="34" t="s">
        <v>161</v>
      </c>
    </row>
    <row r="206" spans="1:79" x14ac:dyDescent="0.25">
      <c r="A206" s="34" t="s">
        <v>374</v>
      </c>
      <c r="B206" s="34" t="s">
        <v>287</v>
      </c>
      <c r="C206" s="34">
        <v>2019</v>
      </c>
      <c r="D206" s="34" t="s">
        <v>422</v>
      </c>
      <c r="E206" s="34">
        <v>2.0200129917472301E+17</v>
      </c>
      <c r="F206" s="34" t="s">
        <v>182</v>
      </c>
      <c r="G206" s="34" t="s">
        <v>1300</v>
      </c>
      <c r="H206" s="34">
        <v>1378435</v>
      </c>
      <c r="I206" s="34"/>
      <c r="J206" s="34" t="s">
        <v>180</v>
      </c>
      <c r="K206" s="34" t="s">
        <v>179</v>
      </c>
      <c r="L206" s="34"/>
      <c r="M206" s="34"/>
      <c r="N206" s="34" t="s">
        <v>905</v>
      </c>
      <c r="O206" s="34" t="s">
        <v>297</v>
      </c>
      <c r="P206" s="34"/>
      <c r="Q206" s="34" t="s">
        <v>296</v>
      </c>
      <c r="R206" s="34" t="s">
        <v>906</v>
      </c>
      <c r="S206" s="34"/>
      <c r="T206" s="34" t="s">
        <v>907</v>
      </c>
      <c r="U206" s="34"/>
      <c r="V206" s="34" t="s">
        <v>949</v>
      </c>
      <c r="W206" s="34"/>
      <c r="X206" s="34" t="s">
        <v>909</v>
      </c>
      <c r="Y206" s="34" t="s">
        <v>47</v>
      </c>
      <c r="Z206" s="34">
        <v>2142</v>
      </c>
      <c r="AA206" s="34" t="s">
        <v>393</v>
      </c>
      <c r="AB206" s="34" t="s">
        <v>393</v>
      </c>
      <c r="AC206" s="34"/>
      <c r="AD206" s="34"/>
      <c r="AE206" s="34"/>
      <c r="AF206" s="34" t="s">
        <v>377</v>
      </c>
      <c r="AG206" s="34"/>
      <c r="AH206" s="34"/>
      <c r="AI206" s="34">
        <v>43662</v>
      </c>
      <c r="AJ206" s="34">
        <v>25</v>
      </c>
      <c r="AK206" s="34">
        <v>142</v>
      </c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 t="s">
        <v>363</v>
      </c>
      <c r="BG206" s="34"/>
      <c r="BH206" s="34"/>
      <c r="BI206" s="34"/>
      <c r="BJ206" s="34"/>
      <c r="BK206" s="34" t="s">
        <v>50</v>
      </c>
      <c r="BL206" s="34" t="s">
        <v>167</v>
      </c>
      <c r="BM206" s="34" t="s">
        <v>166</v>
      </c>
      <c r="BN206" s="34">
        <v>43894.553090787034</v>
      </c>
      <c r="BO206" s="34"/>
      <c r="BP206" s="34"/>
      <c r="BQ206" s="34"/>
      <c r="BR206" s="34" t="s">
        <v>165</v>
      </c>
      <c r="BS206" s="34">
        <v>4.02012020168638E+18</v>
      </c>
      <c r="BT206" s="34" t="s">
        <v>164</v>
      </c>
      <c r="BU206" s="34" t="s">
        <v>1115</v>
      </c>
      <c r="BV206" s="34">
        <v>2020</v>
      </c>
      <c r="BW206" s="34" t="s">
        <v>163</v>
      </c>
      <c r="BX206" s="34"/>
      <c r="BY206" s="34">
        <v>4.03022020121615E+18</v>
      </c>
      <c r="BZ206" s="34" t="s">
        <v>1246</v>
      </c>
      <c r="CA206" s="34" t="s">
        <v>161</v>
      </c>
    </row>
    <row r="207" spans="1:79" x14ac:dyDescent="0.25">
      <c r="A207" s="34" t="s">
        <v>374</v>
      </c>
      <c r="B207" s="34" t="s">
        <v>287</v>
      </c>
      <c r="C207" s="34">
        <v>2019</v>
      </c>
      <c r="D207" s="34" t="s">
        <v>422</v>
      </c>
      <c r="E207" s="34">
        <v>2.0200129917472301E+17</v>
      </c>
      <c r="F207" s="34" t="s">
        <v>182</v>
      </c>
      <c r="G207" s="34" t="s">
        <v>1301</v>
      </c>
      <c r="H207" s="34">
        <v>1378435</v>
      </c>
      <c r="I207" s="34"/>
      <c r="J207" s="34" t="s">
        <v>180</v>
      </c>
      <c r="K207" s="34" t="s">
        <v>179</v>
      </c>
      <c r="L207" s="34"/>
      <c r="M207" s="34"/>
      <c r="N207" s="34" t="s">
        <v>905</v>
      </c>
      <c r="O207" s="34" t="s">
        <v>297</v>
      </c>
      <c r="P207" s="34"/>
      <c r="Q207" s="34" t="s">
        <v>296</v>
      </c>
      <c r="R207" s="34" t="s">
        <v>906</v>
      </c>
      <c r="S207" s="34"/>
      <c r="T207" s="34" t="s">
        <v>907</v>
      </c>
      <c r="U207" s="34"/>
      <c r="V207" s="34" t="s">
        <v>949</v>
      </c>
      <c r="W207" s="34"/>
      <c r="X207" s="34" t="s">
        <v>909</v>
      </c>
      <c r="Y207" s="34" t="s">
        <v>47</v>
      </c>
      <c r="Z207" s="34">
        <v>2142</v>
      </c>
      <c r="AA207" s="34" t="s">
        <v>393</v>
      </c>
      <c r="AB207" s="34" t="s">
        <v>393</v>
      </c>
      <c r="AC207" s="34"/>
      <c r="AD207" s="34">
        <v>15</v>
      </c>
      <c r="AE207" s="34" t="s">
        <v>169</v>
      </c>
      <c r="AF207" s="34" t="s">
        <v>364</v>
      </c>
      <c r="AG207" s="34"/>
      <c r="AH207" s="34"/>
      <c r="AI207" s="34">
        <v>43738</v>
      </c>
      <c r="AJ207" s="34">
        <v>2.5</v>
      </c>
      <c r="AK207" s="34">
        <v>367.62</v>
      </c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 t="s">
        <v>363</v>
      </c>
      <c r="BG207" s="34"/>
      <c r="BH207" s="34"/>
      <c r="BI207" s="34"/>
      <c r="BJ207" s="34"/>
      <c r="BK207" s="34" t="s">
        <v>50</v>
      </c>
      <c r="BL207" s="34" t="s">
        <v>167</v>
      </c>
      <c r="BM207" s="34" t="s">
        <v>166</v>
      </c>
      <c r="BN207" s="34">
        <v>43894.567199143516</v>
      </c>
      <c r="BO207" s="34"/>
      <c r="BP207" s="34"/>
      <c r="BQ207" s="34"/>
      <c r="BR207" s="34" t="s">
        <v>165</v>
      </c>
      <c r="BS207" s="34">
        <v>4.02012020168638E+18</v>
      </c>
      <c r="BT207" s="34" t="s">
        <v>164</v>
      </c>
      <c r="BU207" s="34" t="s">
        <v>362</v>
      </c>
      <c r="BV207" s="34">
        <v>2020</v>
      </c>
      <c r="BW207" s="34" t="s">
        <v>163</v>
      </c>
      <c r="BX207" s="34"/>
      <c r="BY207" s="34">
        <v>4.0302202012376699E+18</v>
      </c>
      <c r="BZ207" s="34" t="s">
        <v>1302</v>
      </c>
      <c r="CA207" s="34" t="s">
        <v>161</v>
      </c>
    </row>
    <row r="208" spans="1:79" x14ac:dyDescent="0.25">
      <c r="A208" s="34" t="s">
        <v>374</v>
      </c>
      <c r="B208" s="34" t="s">
        <v>287</v>
      </c>
      <c r="C208" s="34">
        <v>2019</v>
      </c>
      <c r="D208" s="34" t="s">
        <v>422</v>
      </c>
      <c r="E208" s="34">
        <v>2.0200129917472301E+17</v>
      </c>
      <c r="F208" s="34" t="s">
        <v>182</v>
      </c>
      <c r="G208" s="34" t="s">
        <v>1303</v>
      </c>
      <c r="H208" s="34">
        <v>1378435</v>
      </c>
      <c r="I208" s="34"/>
      <c r="J208" s="34" t="s">
        <v>180</v>
      </c>
      <c r="K208" s="34" t="s">
        <v>179</v>
      </c>
      <c r="L208" s="34"/>
      <c r="M208" s="34"/>
      <c r="N208" s="34" t="s">
        <v>905</v>
      </c>
      <c r="O208" s="34" t="s">
        <v>297</v>
      </c>
      <c r="P208" s="34"/>
      <c r="Q208" s="34" t="s">
        <v>296</v>
      </c>
      <c r="R208" s="34" t="s">
        <v>906</v>
      </c>
      <c r="S208" s="34"/>
      <c r="T208" s="34" t="s">
        <v>907</v>
      </c>
      <c r="U208" s="34"/>
      <c r="V208" s="34" t="s">
        <v>949</v>
      </c>
      <c r="W208" s="34"/>
      <c r="X208" s="34" t="s">
        <v>909</v>
      </c>
      <c r="Y208" s="34" t="s">
        <v>47</v>
      </c>
      <c r="Z208" s="34">
        <v>2142</v>
      </c>
      <c r="AA208" s="34" t="s">
        <v>393</v>
      </c>
      <c r="AB208" s="34" t="s">
        <v>393</v>
      </c>
      <c r="AC208" s="34"/>
      <c r="AD208" s="34">
        <v>15</v>
      </c>
      <c r="AE208" s="34" t="s">
        <v>169</v>
      </c>
      <c r="AF208" s="34" t="s">
        <v>364</v>
      </c>
      <c r="AG208" s="34"/>
      <c r="AH208" s="34"/>
      <c r="AI208" s="34">
        <v>43735</v>
      </c>
      <c r="AJ208" s="34">
        <v>2.7</v>
      </c>
      <c r="AK208" s="34">
        <v>367.62</v>
      </c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 t="s">
        <v>363</v>
      </c>
      <c r="BG208" s="34"/>
      <c r="BH208" s="34"/>
      <c r="BI208" s="34"/>
      <c r="BJ208" s="34"/>
      <c r="BK208" s="34" t="s">
        <v>50</v>
      </c>
      <c r="BL208" s="34" t="s">
        <v>167</v>
      </c>
      <c r="BM208" s="34" t="s">
        <v>166</v>
      </c>
      <c r="BN208" s="34">
        <v>43894.562341249999</v>
      </c>
      <c r="BO208" s="34"/>
      <c r="BP208" s="34"/>
      <c r="BQ208" s="34"/>
      <c r="BR208" s="34" t="s">
        <v>165</v>
      </c>
      <c r="BS208" s="34">
        <v>4.02012020168638E+18</v>
      </c>
      <c r="BT208" s="34" t="s">
        <v>164</v>
      </c>
      <c r="BU208" s="34" t="s">
        <v>362</v>
      </c>
      <c r="BV208" s="34">
        <v>2020</v>
      </c>
      <c r="BW208" s="34" t="s">
        <v>163</v>
      </c>
      <c r="BX208" s="34"/>
      <c r="BY208" s="34">
        <v>4.0302202012221199E+18</v>
      </c>
      <c r="BZ208" s="34" t="s">
        <v>1248</v>
      </c>
      <c r="CA208" s="34" t="s">
        <v>161</v>
      </c>
    </row>
    <row r="209" spans="1:79" x14ac:dyDescent="0.25">
      <c r="A209" s="34" t="s">
        <v>374</v>
      </c>
      <c r="B209" s="34" t="s">
        <v>287</v>
      </c>
      <c r="C209" s="34">
        <v>2019</v>
      </c>
      <c r="D209" s="34" t="s">
        <v>422</v>
      </c>
      <c r="E209" s="34">
        <v>2.0200129917472301E+17</v>
      </c>
      <c r="F209" s="34" t="s">
        <v>182</v>
      </c>
      <c r="G209" s="34" t="s">
        <v>1304</v>
      </c>
      <c r="H209" s="34">
        <v>1378435</v>
      </c>
      <c r="I209" s="34"/>
      <c r="J209" s="34" t="s">
        <v>180</v>
      </c>
      <c r="K209" s="34" t="s">
        <v>179</v>
      </c>
      <c r="L209" s="34" t="s">
        <v>903</v>
      </c>
      <c r="M209" s="34"/>
      <c r="N209" s="34" t="s">
        <v>905</v>
      </c>
      <c r="O209" s="34" t="s">
        <v>297</v>
      </c>
      <c r="P209" s="34"/>
      <c r="Q209" s="34" t="s">
        <v>296</v>
      </c>
      <c r="R209" s="34" t="s">
        <v>906</v>
      </c>
      <c r="S209" s="34"/>
      <c r="T209" s="34" t="s">
        <v>907</v>
      </c>
      <c r="U209" s="34"/>
      <c r="V209" s="34" t="s">
        <v>949</v>
      </c>
      <c r="W209" s="34"/>
      <c r="X209" s="34" t="s">
        <v>909</v>
      </c>
      <c r="Y209" s="34" t="s">
        <v>47</v>
      </c>
      <c r="Z209" s="34">
        <v>2142</v>
      </c>
      <c r="AA209" s="34" t="s">
        <v>393</v>
      </c>
      <c r="AB209" s="34" t="s">
        <v>393</v>
      </c>
      <c r="AC209" s="34" t="s">
        <v>903</v>
      </c>
      <c r="AD209" s="34" t="s">
        <v>383</v>
      </c>
      <c r="AE209" s="34" t="s">
        <v>382</v>
      </c>
      <c r="AF209" s="34" t="s">
        <v>377</v>
      </c>
      <c r="AG209" s="34"/>
      <c r="AH209" s="34"/>
      <c r="AI209" s="34">
        <v>43692</v>
      </c>
      <c r="AJ209" s="34">
        <v>50</v>
      </c>
      <c r="AK209" s="34">
        <v>710</v>
      </c>
      <c r="AL209" s="34" t="s">
        <v>973</v>
      </c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 t="s">
        <v>363</v>
      </c>
      <c r="BG209" s="34"/>
      <c r="BH209" s="34"/>
      <c r="BI209" s="34"/>
      <c r="BJ209" s="34"/>
      <c r="BK209" s="34" t="s">
        <v>50</v>
      </c>
      <c r="BL209" s="34" t="s">
        <v>167</v>
      </c>
      <c r="BM209" s="34" t="s">
        <v>166</v>
      </c>
      <c r="BN209" s="34">
        <v>43894.569301307871</v>
      </c>
      <c r="BO209" s="34"/>
      <c r="BP209" s="34"/>
      <c r="BQ209" s="34"/>
      <c r="BR209" s="34" t="s">
        <v>165</v>
      </c>
      <c r="BS209" s="34">
        <v>4.02012020168638E+18</v>
      </c>
      <c r="BT209" s="34" t="s">
        <v>164</v>
      </c>
      <c r="BU209" s="34" t="s">
        <v>974</v>
      </c>
      <c r="BV209" s="34">
        <v>2020</v>
      </c>
      <c r="BW209" s="34" t="s">
        <v>163</v>
      </c>
      <c r="BX209" s="34"/>
      <c r="BY209" s="34">
        <v>4.03022020122765E+18</v>
      </c>
      <c r="BZ209" s="34" t="s">
        <v>1268</v>
      </c>
      <c r="CA209" s="34" t="s">
        <v>161</v>
      </c>
    </row>
    <row r="210" spans="1:79" x14ac:dyDescent="0.25">
      <c r="A210" s="34" t="s">
        <v>374</v>
      </c>
      <c r="B210" s="34" t="s">
        <v>287</v>
      </c>
      <c r="C210" s="34">
        <v>2019</v>
      </c>
      <c r="D210" s="34" t="s">
        <v>422</v>
      </c>
      <c r="E210" s="34">
        <v>2.0200129917472301E+17</v>
      </c>
      <c r="F210" s="34" t="s">
        <v>182</v>
      </c>
      <c r="G210" s="34" t="s">
        <v>1305</v>
      </c>
      <c r="H210" s="34">
        <v>1378435</v>
      </c>
      <c r="I210" s="34"/>
      <c r="J210" s="34" t="s">
        <v>180</v>
      </c>
      <c r="K210" s="34" t="s">
        <v>179</v>
      </c>
      <c r="L210" s="34" t="s">
        <v>903</v>
      </c>
      <c r="M210" s="34"/>
      <c r="N210" s="34" t="s">
        <v>905</v>
      </c>
      <c r="O210" s="34" t="s">
        <v>297</v>
      </c>
      <c r="P210" s="34"/>
      <c r="Q210" s="34" t="s">
        <v>296</v>
      </c>
      <c r="R210" s="34" t="s">
        <v>906</v>
      </c>
      <c r="S210" s="34"/>
      <c r="T210" s="34" t="s">
        <v>907</v>
      </c>
      <c r="U210" s="34"/>
      <c r="V210" s="34" t="s">
        <v>949</v>
      </c>
      <c r="W210" s="34"/>
      <c r="X210" s="34" t="s">
        <v>909</v>
      </c>
      <c r="Y210" s="34" t="s">
        <v>47</v>
      </c>
      <c r="Z210" s="34">
        <v>2142</v>
      </c>
      <c r="AA210" s="34" t="s">
        <v>393</v>
      </c>
      <c r="AB210" s="34" t="s">
        <v>393</v>
      </c>
      <c r="AC210" s="34" t="s">
        <v>903</v>
      </c>
      <c r="AD210" s="34" t="s">
        <v>383</v>
      </c>
      <c r="AE210" s="34" t="s">
        <v>382</v>
      </c>
      <c r="AF210" s="34" t="s">
        <v>377</v>
      </c>
      <c r="AG210" s="34"/>
      <c r="AH210" s="34"/>
      <c r="AI210" s="34">
        <v>43789</v>
      </c>
      <c r="AJ210" s="34">
        <v>50</v>
      </c>
      <c r="AK210" s="34">
        <v>710</v>
      </c>
      <c r="AL210" s="34" t="s">
        <v>973</v>
      </c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 t="s">
        <v>363</v>
      </c>
      <c r="BG210" s="34"/>
      <c r="BH210" s="34"/>
      <c r="BI210" s="34"/>
      <c r="BJ210" s="34"/>
      <c r="BK210" s="34" t="s">
        <v>50</v>
      </c>
      <c r="BL210" s="34" t="s">
        <v>167</v>
      </c>
      <c r="BM210" s="34" t="s">
        <v>166</v>
      </c>
      <c r="BN210" s="34">
        <v>43894.570414780093</v>
      </c>
      <c r="BO210" s="34"/>
      <c r="BP210" s="34"/>
      <c r="BQ210" s="34"/>
      <c r="BR210" s="34" t="s">
        <v>165</v>
      </c>
      <c r="BS210" s="34">
        <v>4.02012020168638E+18</v>
      </c>
      <c r="BT210" s="34" t="s">
        <v>164</v>
      </c>
      <c r="BU210" s="34" t="s">
        <v>974</v>
      </c>
      <c r="BV210" s="34">
        <v>2020</v>
      </c>
      <c r="BW210" s="34" t="s">
        <v>163</v>
      </c>
      <c r="BX210" s="34"/>
      <c r="BY210" s="34">
        <v>4.0302202012261402E+18</v>
      </c>
      <c r="BZ210" s="34" t="s">
        <v>1171</v>
      </c>
      <c r="CA210" s="34" t="s">
        <v>161</v>
      </c>
    </row>
    <row r="211" spans="1:79" x14ac:dyDescent="0.25">
      <c r="A211" s="34" t="s">
        <v>374</v>
      </c>
      <c r="B211" s="34" t="s">
        <v>287</v>
      </c>
      <c r="C211" s="34">
        <v>2019</v>
      </c>
      <c r="D211" s="34" t="s">
        <v>422</v>
      </c>
      <c r="E211" s="34">
        <v>2.0200129917472301E+17</v>
      </c>
      <c r="F211" s="34" t="s">
        <v>182</v>
      </c>
      <c r="G211" s="34" t="s">
        <v>1306</v>
      </c>
      <c r="H211" s="34">
        <v>1378435</v>
      </c>
      <c r="I211" s="34"/>
      <c r="J211" s="34" t="s">
        <v>180</v>
      </c>
      <c r="K211" s="34" t="s">
        <v>179</v>
      </c>
      <c r="L211" s="34" t="s">
        <v>1061</v>
      </c>
      <c r="M211" s="34"/>
      <c r="N211" s="34" t="s">
        <v>905</v>
      </c>
      <c r="O211" s="34" t="s">
        <v>297</v>
      </c>
      <c r="P211" s="34"/>
      <c r="Q211" s="34" t="s">
        <v>296</v>
      </c>
      <c r="R211" s="34" t="s">
        <v>906</v>
      </c>
      <c r="S211" s="34"/>
      <c r="T211" s="34" t="s">
        <v>907</v>
      </c>
      <c r="U211" s="34"/>
      <c r="V211" s="34" t="s">
        <v>949</v>
      </c>
      <c r="W211" s="34"/>
      <c r="X211" s="34" t="s">
        <v>909</v>
      </c>
      <c r="Y211" s="34" t="s">
        <v>47</v>
      </c>
      <c r="Z211" s="34">
        <v>2142</v>
      </c>
      <c r="AA211" s="34" t="s">
        <v>393</v>
      </c>
      <c r="AB211" s="34" t="s">
        <v>393</v>
      </c>
      <c r="AC211" s="34" t="s">
        <v>1061</v>
      </c>
      <c r="AD211" s="34" t="s">
        <v>383</v>
      </c>
      <c r="AE211" s="34" t="s">
        <v>382</v>
      </c>
      <c r="AF211" s="34" t="s">
        <v>377</v>
      </c>
      <c r="AG211" s="34"/>
      <c r="AH211" s="34"/>
      <c r="AI211" s="34">
        <v>43673</v>
      </c>
      <c r="AJ211" s="34">
        <v>27</v>
      </c>
      <c r="AK211" s="34">
        <v>489</v>
      </c>
      <c r="AL211" s="34" t="s">
        <v>1095</v>
      </c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 t="s">
        <v>363</v>
      </c>
      <c r="BG211" s="34"/>
      <c r="BH211" s="34"/>
      <c r="BI211" s="34"/>
      <c r="BJ211" s="34"/>
      <c r="BK211" s="34" t="s">
        <v>50</v>
      </c>
      <c r="BL211" s="34" t="s">
        <v>167</v>
      </c>
      <c r="BM211" s="34" t="s">
        <v>166</v>
      </c>
      <c r="BN211" s="34">
        <v>43894.57116068287</v>
      </c>
      <c r="BO211" s="34"/>
      <c r="BP211" s="34"/>
      <c r="BQ211" s="34"/>
      <c r="BR211" s="34" t="s">
        <v>165</v>
      </c>
      <c r="BS211" s="34">
        <v>4.02012020168638E+18</v>
      </c>
      <c r="BT211" s="34" t="s">
        <v>164</v>
      </c>
      <c r="BU211" s="34" t="s">
        <v>957</v>
      </c>
      <c r="BV211" s="34">
        <v>2020</v>
      </c>
      <c r="BW211" s="34" t="s">
        <v>163</v>
      </c>
      <c r="BX211" s="34"/>
      <c r="BY211" s="34">
        <v>4.0302202012272901E+18</v>
      </c>
      <c r="BZ211" s="34" t="s">
        <v>1167</v>
      </c>
      <c r="CA211" s="34" t="s">
        <v>161</v>
      </c>
    </row>
    <row r="212" spans="1:79" x14ac:dyDescent="0.25">
      <c r="A212" s="34" t="s">
        <v>374</v>
      </c>
      <c r="B212" s="34" t="s">
        <v>287</v>
      </c>
      <c r="C212" s="34">
        <v>2019</v>
      </c>
      <c r="D212" s="34" t="s">
        <v>422</v>
      </c>
      <c r="E212" s="34">
        <v>2.0200129917472301E+17</v>
      </c>
      <c r="F212" s="34" t="s">
        <v>182</v>
      </c>
      <c r="G212" s="34" t="s">
        <v>1307</v>
      </c>
      <c r="H212" s="34">
        <v>1378435</v>
      </c>
      <c r="I212" s="34"/>
      <c r="J212" s="34" t="s">
        <v>180</v>
      </c>
      <c r="K212" s="34" t="s">
        <v>179</v>
      </c>
      <c r="L212" s="34"/>
      <c r="M212" s="34"/>
      <c r="N212" s="34" t="s">
        <v>905</v>
      </c>
      <c r="O212" s="34" t="s">
        <v>297</v>
      </c>
      <c r="P212" s="34"/>
      <c r="Q212" s="34" t="s">
        <v>296</v>
      </c>
      <c r="R212" s="34" t="s">
        <v>906</v>
      </c>
      <c r="S212" s="34"/>
      <c r="T212" s="34" t="s">
        <v>907</v>
      </c>
      <c r="U212" s="34"/>
      <c r="V212" s="34" t="s">
        <v>949</v>
      </c>
      <c r="W212" s="34"/>
      <c r="X212" s="34" t="s">
        <v>909</v>
      </c>
      <c r="Y212" s="34" t="s">
        <v>47</v>
      </c>
      <c r="Z212" s="34">
        <v>2142</v>
      </c>
      <c r="AA212" s="34" t="s">
        <v>393</v>
      </c>
      <c r="AB212" s="34" t="s">
        <v>393</v>
      </c>
      <c r="AC212" s="34"/>
      <c r="AD212" s="34">
        <v>15</v>
      </c>
      <c r="AE212" s="34" t="s">
        <v>169</v>
      </c>
      <c r="AF212" s="34" t="s">
        <v>364</v>
      </c>
      <c r="AG212" s="34"/>
      <c r="AH212" s="34"/>
      <c r="AI212" s="34">
        <v>43674</v>
      </c>
      <c r="AJ212" s="34">
        <v>5</v>
      </c>
      <c r="AK212" s="34">
        <v>367.62</v>
      </c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 t="s">
        <v>363</v>
      </c>
      <c r="BG212" s="34"/>
      <c r="BH212" s="34"/>
      <c r="BI212" s="34"/>
      <c r="BJ212" s="34"/>
      <c r="BK212" s="34" t="s">
        <v>50</v>
      </c>
      <c r="BL212" s="34" t="s">
        <v>167</v>
      </c>
      <c r="BM212" s="34" t="s">
        <v>166</v>
      </c>
      <c r="BN212" s="34">
        <v>43894.571459618055</v>
      </c>
      <c r="BO212" s="34"/>
      <c r="BP212" s="34"/>
      <c r="BQ212" s="34"/>
      <c r="BR212" s="34" t="s">
        <v>165</v>
      </c>
      <c r="BS212" s="34">
        <v>4.02012020168638E+18</v>
      </c>
      <c r="BT212" s="34" t="s">
        <v>164</v>
      </c>
      <c r="BU212" s="34" t="s">
        <v>362</v>
      </c>
      <c r="BV212" s="34">
        <v>2020</v>
      </c>
      <c r="BW212" s="34" t="s">
        <v>163</v>
      </c>
      <c r="BX212" s="34"/>
      <c r="BY212" s="34">
        <v>4.0302202012273198E+18</v>
      </c>
      <c r="BZ212" s="34" t="s">
        <v>1136</v>
      </c>
      <c r="CA212" s="34" t="s">
        <v>161</v>
      </c>
    </row>
    <row r="213" spans="1:79" x14ac:dyDescent="0.25">
      <c r="A213" s="34" t="s">
        <v>374</v>
      </c>
      <c r="B213" s="34" t="s">
        <v>287</v>
      </c>
      <c r="C213" s="34">
        <v>2019</v>
      </c>
      <c r="D213" s="34" t="s">
        <v>422</v>
      </c>
      <c r="E213" s="34">
        <v>2.0200129917472301E+17</v>
      </c>
      <c r="F213" s="34" t="s">
        <v>182</v>
      </c>
      <c r="G213" s="34" t="s">
        <v>1308</v>
      </c>
      <c r="H213" s="34">
        <v>1378435</v>
      </c>
      <c r="I213" s="34"/>
      <c r="J213" s="34" t="s">
        <v>180</v>
      </c>
      <c r="K213" s="34" t="s">
        <v>179</v>
      </c>
      <c r="L213" s="34"/>
      <c r="M213" s="34"/>
      <c r="N213" s="34" t="s">
        <v>905</v>
      </c>
      <c r="O213" s="34" t="s">
        <v>297</v>
      </c>
      <c r="P213" s="34"/>
      <c r="Q213" s="34" t="s">
        <v>296</v>
      </c>
      <c r="R213" s="34" t="s">
        <v>906</v>
      </c>
      <c r="S213" s="34"/>
      <c r="T213" s="34" t="s">
        <v>907</v>
      </c>
      <c r="U213" s="34"/>
      <c r="V213" s="34" t="s">
        <v>949</v>
      </c>
      <c r="W213" s="34"/>
      <c r="X213" s="34" t="s">
        <v>909</v>
      </c>
      <c r="Y213" s="34" t="s">
        <v>47</v>
      </c>
      <c r="Z213" s="34">
        <v>2142</v>
      </c>
      <c r="AA213" s="34" t="s">
        <v>393</v>
      </c>
      <c r="AB213" s="34" t="s">
        <v>393</v>
      </c>
      <c r="AC213" s="34"/>
      <c r="AD213" s="34"/>
      <c r="AE213" s="34"/>
      <c r="AF213" s="34" t="s">
        <v>377</v>
      </c>
      <c r="AG213" s="34"/>
      <c r="AH213" s="34"/>
      <c r="AI213" s="34">
        <v>43738</v>
      </c>
      <c r="AJ213" s="34">
        <v>25</v>
      </c>
      <c r="AK213" s="34">
        <v>175</v>
      </c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 t="s">
        <v>363</v>
      </c>
      <c r="BG213" s="34"/>
      <c r="BH213" s="34"/>
      <c r="BI213" s="34"/>
      <c r="BJ213" s="34"/>
      <c r="BK213" s="34" t="s">
        <v>50</v>
      </c>
      <c r="BL213" s="34" t="s">
        <v>167</v>
      </c>
      <c r="BM213" s="34" t="s">
        <v>166</v>
      </c>
      <c r="BN213" s="34">
        <v>43894.571112546299</v>
      </c>
      <c r="BO213" s="34"/>
      <c r="BP213" s="34"/>
      <c r="BQ213" s="34"/>
      <c r="BR213" s="34" t="s">
        <v>165</v>
      </c>
      <c r="BS213" s="34">
        <v>4.02012020168638E+18</v>
      </c>
      <c r="BT213" s="34" t="s">
        <v>164</v>
      </c>
      <c r="BU213" s="34" t="s">
        <v>806</v>
      </c>
      <c r="BV213" s="34">
        <v>2020</v>
      </c>
      <c r="BW213" s="34" t="s">
        <v>163</v>
      </c>
      <c r="BX213" s="34"/>
      <c r="BY213" s="34">
        <v>4.0302202012176399E+18</v>
      </c>
      <c r="BZ213" s="34" t="s">
        <v>1309</v>
      </c>
      <c r="CA213" s="34" t="s">
        <v>161</v>
      </c>
    </row>
    <row r="214" spans="1:79" x14ac:dyDescent="0.25">
      <c r="A214" s="34" t="s">
        <v>374</v>
      </c>
      <c r="B214" s="34" t="s">
        <v>287</v>
      </c>
      <c r="C214" s="34">
        <v>2019</v>
      </c>
      <c r="D214" s="34" t="s">
        <v>422</v>
      </c>
      <c r="E214" s="34">
        <v>2.0200129917472301E+17</v>
      </c>
      <c r="F214" s="34" t="s">
        <v>182</v>
      </c>
      <c r="G214" s="34" t="s">
        <v>1310</v>
      </c>
      <c r="H214" s="34">
        <v>1378435</v>
      </c>
      <c r="I214" s="34"/>
      <c r="J214" s="34" t="s">
        <v>180</v>
      </c>
      <c r="K214" s="34" t="s">
        <v>179</v>
      </c>
      <c r="L214" s="34"/>
      <c r="M214" s="34"/>
      <c r="N214" s="34" t="s">
        <v>905</v>
      </c>
      <c r="O214" s="34" t="s">
        <v>297</v>
      </c>
      <c r="P214" s="34"/>
      <c r="Q214" s="34" t="s">
        <v>296</v>
      </c>
      <c r="R214" s="34" t="s">
        <v>906</v>
      </c>
      <c r="S214" s="34"/>
      <c r="T214" s="34" t="s">
        <v>907</v>
      </c>
      <c r="U214" s="34"/>
      <c r="V214" s="34" t="s">
        <v>949</v>
      </c>
      <c r="W214" s="34"/>
      <c r="X214" s="34" t="s">
        <v>909</v>
      </c>
      <c r="Y214" s="34" t="s">
        <v>47</v>
      </c>
      <c r="Z214" s="34">
        <v>2142</v>
      </c>
      <c r="AA214" s="34" t="s">
        <v>393</v>
      </c>
      <c r="AB214" s="34" t="s">
        <v>393</v>
      </c>
      <c r="AC214" s="34"/>
      <c r="AD214" s="34"/>
      <c r="AE214" s="34"/>
      <c r="AF214" s="34" t="s">
        <v>377</v>
      </c>
      <c r="AG214" s="34"/>
      <c r="AH214" s="34"/>
      <c r="AI214" s="34">
        <v>43677</v>
      </c>
      <c r="AJ214" s="34">
        <v>12.5</v>
      </c>
      <c r="AK214" s="34">
        <v>37.5</v>
      </c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 t="s">
        <v>363</v>
      </c>
      <c r="BG214" s="34"/>
      <c r="BH214" s="34"/>
      <c r="BI214" s="34"/>
      <c r="BJ214" s="34"/>
      <c r="BK214" s="34" t="s">
        <v>50</v>
      </c>
      <c r="BL214" s="34" t="s">
        <v>167</v>
      </c>
      <c r="BM214" s="34" t="s">
        <v>166</v>
      </c>
      <c r="BN214" s="34">
        <v>43894.572733263885</v>
      </c>
      <c r="BO214" s="34"/>
      <c r="BP214" s="34"/>
      <c r="BQ214" s="34"/>
      <c r="BR214" s="34" t="s">
        <v>165</v>
      </c>
      <c r="BS214" s="34">
        <v>4.02012020168638E+18</v>
      </c>
      <c r="BT214" s="34" t="s">
        <v>164</v>
      </c>
      <c r="BU214" s="34" t="s">
        <v>684</v>
      </c>
      <c r="BV214" s="34">
        <v>2020</v>
      </c>
      <c r="BW214" s="34" t="s">
        <v>163</v>
      </c>
      <c r="BX214" s="34"/>
      <c r="BY214" s="34">
        <v>4.03022020122739E+18</v>
      </c>
      <c r="BZ214" s="34" t="s">
        <v>1175</v>
      </c>
      <c r="CA214" s="34" t="s">
        <v>161</v>
      </c>
    </row>
    <row r="215" spans="1:79" x14ac:dyDescent="0.25">
      <c r="A215" s="34" t="s">
        <v>374</v>
      </c>
      <c r="B215" s="34" t="s">
        <v>287</v>
      </c>
      <c r="C215" s="34">
        <v>2019</v>
      </c>
      <c r="D215" s="34" t="s">
        <v>422</v>
      </c>
      <c r="E215" s="34">
        <v>2.0200129917472301E+17</v>
      </c>
      <c r="F215" s="34" t="s">
        <v>182</v>
      </c>
      <c r="G215" s="34" t="s">
        <v>1311</v>
      </c>
      <c r="H215" s="34">
        <v>1378435</v>
      </c>
      <c r="I215" s="34"/>
      <c r="J215" s="34" t="s">
        <v>180</v>
      </c>
      <c r="K215" s="34" t="s">
        <v>179</v>
      </c>
      <c r="L215" s="34"/>
      <c r="M215" s="34"/>
      <c r="N215" s="34" t="s">
        <v>905</v>
      </c>
      <c r="O215" s="34" t="s">
        <v>297</v>
      </c>
      <c r="P215" s="34"/>
      <c r="Q215" s="34" t="s">
        <v>296</v>
      </c>
      <c r="R215" s="34" t="s">
        <v>906</v>
      </c>
      <c r="S215" s="34"/>
      <c r="T215" s="34" t="s">
        <v>907</v>
      </c>
      <c r="U215" s="34"/>
      <c r="V215" s="34" t="s">
        <v>949</v>
      </c>
      <c r="W215" s="34"/>
      <c r="X215" s="34" t="s">
        <v>909</v>
      </c>
      <c r="Y215" s="34" t="s">
        <v>47</v>
      </c>
      <c r="Z215" s="34">
        <v>2142</v>
      </c>
      <c r="AA215" s="34" t="s">
        <v>393</v>
      </c>
      <c r="AB215" s="34" t="s">
        <v>393</v>
      </c>
      <c r="AC215" s="34"/>
      <c r="AD215" s="34"/>
      <c r="AE215" s="34"/>
      <c r="AF215" s="34" t="s">
        <v>377</v>
      </c>
      <c r="AG215" s="34"/>
      <c r="AH215" s="34"/>
      <c r="AI215" s="34">
        <v>43737</v>
      </c>
      <c r="AJ215" s="34">
        <v>20</v>
      </c>
      <c r="AK215" s="34">
        <v>20</v>
      </c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 t="s">
        <v>363</v>
      </c>
      <c r="BG215" s="34"/>
      <c r="BH215" s="34"/>
      <c r="BI215" s="34"/>
      <c r="BJ215" s="34"/>
      <c r="BK215" s="34" t="s">
        <v>50</v>
      </c>
      <c r="BL215" s="34" t="s">
        <v>167</v>
      </c>
      <c r="BM215" s="34" t="s">
        <v>166</v>
      </c>
      <c r="BN215" s="34">
        <v>43894.581505937502</v>
      </c>
      <c r="BO215" s="34"/>
      <c r="BP215" s="34"/>
      <c r="BQ215" s="34"/>
      <c r="BR215" s="34" t="s">
        <v>165</v>
      </c>
      <c r="BS215" s="34">
        <v>4.02012020168638E+18</v>
      </c>
      <c r="BT215" s="34" t="s">
        <v>164</v>
      </c>
      <c r="BU215" s="34" t="s">
        <v>676</v>
      </c>
      <c r="BV215" s="34">
        <v>2020</v>
      </c>
      <c r="BW215" s="34" t="s">
        <v>163</v>
      </c>
      <c r="BX215" s="34"/>
      <c r="BY215" s="34">
        <v>4.03022020122528E+18</v>
      </c>
      <c r="BZ215" s="34" t="s">
        <v>1312</v>
      </c>
      <c r="CA215" s="34" t="s">
        <v>161</v>
      </c>
    </row>
    <row r="216" spans="1:79" x14ac:dyDescent="0.25">
      <c r="A216" s="34" t="s">
        <v>374</v>
      </c>
      <c r="B216" s="34" t="s">
        <v>287</v>
      </c>
      <c r="C216" s="34">
        <v>2019</v>
      </c>
      <c r="D216" s="34" t="s">
        <v>422</v>
      </c>
      <c r="E216" s="34">
        <v>2.0200129917472301E+17</v>
      </c>
      <c r="F216" s="34" t="s">
        <v>182</v>
      </c>
      <c r="G216" s="34" t="s">
        <v>1313</v>
      </c>
      <c r="H216" s="34">
        <v>1378435</v>
      </c>
      <c r="I216" s="34"/>
      <c r="J216" s="34" t="s">
        <v>180</v>
      </c>
      <c r="K216" s="34" t="s">
        <v>179</v>
      </c>
      <c r="L216" s="34"/>
      <c r="M216" s="34"/>
      <c r="N216" s="34" t="s">
        <v>905</v>
      </c>
      <c r="O216" s="34" t="s">
        <v>297</v>
      </c>
      <c r="P216" s="34"/>
      <c r="Q216" s="34" t="s">
        <v>296</v>
      </c>
      <c r="R216" s="34" t="s">
        <v>906</v>
      </c>
      <c r="S216" s="34"/>
      <c r="T216" s="34" t="s">
        <v>907</v>
      </c>
      <c r="U216" s="34"/>
      <c r="V216" s="34" t="s">
        <v>949</v>
      </c>
      <c r="W216" s="34"/>
      <c r="X216" s="34" t="s">
        <v>909</v>
      </c>
      <c r="Y216" s="34" t="s">
        <v>47</v>
      </c>
      <c r="Z216" s="34">
        <v>2142</v>
      </c>
      <c r="AA216" s="34" t="s">
        <v>393</v>
      </c>
      <c r="AB216" s="34" t="s">
        <v>393</v>
      </c>
      <c r="AC216" s="34"/>
      <c r="AD216" s="34">
        <v>15</v>
      </c>
      <c r="AE216" s="34" t="s">
        <v>169</v>
      </c>
      <c r="AF216" s="34" t="s">
        <v>364</v>
      </c>
      <c r="AG216" s="34"/>
      <c r="AH216" s="34"/>
      <c r="AI216" s="34">
        <v>43693</v>
      </c>
      <c r="AJ216" s="34">
        <v>2.5</v>
      </c>
      <c r="AK216" s="34">
        <v>367.62</v>
      </c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 t="s">
        <v>363</v>
      </c>
      <c r="BG216" s="34"/>
      <c r="BH216" s="34"/>
      <c r="BI216" s="34"/>
      <c r="BJ216" s="34"/>
      <c r="BK216" s="34" t="s">
        <v>50</v>
      </c>
      <c r="BL216" s="34" t="s">
        <v>167</v>
      </c>
      <c r="BM216" s="34" t="s">
        <v>166</v>
      </c>
      <c r="BN216" s="34">
        <v>43894.581789965276</v>
      </c>
      <c r="BO216" s="34"/>
      <c r="BP216" s="34"/>
      <c r="BQ216" s="34"/>
      <c r="BR216" s="34" t="s">
        <v>165</v>
      </c>
      <c r="BS216" s="34">
        <v>4.02012020168638E+18</v>
      </c>
      <c r="BT216" s="34" t="s">
        <v>164</v>
      </c>
      <c r="BU216" s="34" t="s">
        <v>362</v>
      </c>
      <c r="BV216" s="34">
        <v>2020</v>
      </c>
      <c r="BW216" s="34" t="s">
        <v>163</v>
      </c>
      <c r="BX216" s="34"/>
      <c r="BY216" s="34">
        <v>4.0302202012369398E+18</v>
      </c>
      <c r="BZ216" s="34" t="s">
        <v>1195</v>
      </c>
      <c r="CA216" s="34" t="s">
        <v>161</v>
      </c>
    </row>
    <row r="217" spans="1:79" x14ac:dyDescent="0.25">
      <c r="A217" s="34" t="s">
        <v>374</v>
      </c>
      <c r="B217" s="34" t="s">
        <v>287</v>
      </c>
      <c r="C217" s="34">
        <v>2019</v>
      </c>
      <c r="D217" s="34" t="s">
        <v>422</v>
      </c>
      <c r="E217" s="34">
        <v>2.0200129917472301E+17</v>
      </c>
      <c r="F217" s="34" t="s">
        <v>182</v>
      </c>
      <c r="G217" s="34" t="s">
        <v>1314</v>
      </c>
      <c r="H217" s="34">
        <v>1378435</v>
      </c>
      <c r="I217" s="34"/>
      <c r="J217" s="34" t="s">
        <v>180</v>
      </c>
      <c r="K217" s="34" t="s">
        <v>179</v>
      </c>
      <c r="L217" s="34"/>
      <c r="M217" s="34"/>
      <c r="N217" s="34" t="s">
        <v>905</v>
      </c>
      <c r="O217" s="34" t="s">
        <v>297</v>
      </c>
      <c r="P217" s="34"/>
      <c r="Q217" s="34" t="s">
        <v>296</v>
      </c>
      <c r="R217" s="34" t="s">
        <v>906</v>
      </c>
      <c r="S217" s="34"/>
      <c r="T217" s="34" t="s">
        <v>907</v>
      </c>
      <c r="U217" s="34"/>
      <c r="V217" s="34" t="s">
        <v>949</v>
      </c>
      <c r="W217" s="34"/>
      <c r="X217" s="34" t="s">
        <v>909</v>
      </c>
      <c r="Y217" s="34" t="s">
        <v>47</v>
      </c>
      <c r="Z217" s="34">
        <v>2142</v>
      </c>
      <c r="AA217" s="34" t="s">
        <v>393</v>
      </c>
      <c r="AB217" s="34" t="s">
        <v>393</v>
      </c>
      <c r="AC217" s="34"/>
      <c r="AD217" s="34">
        <v>15</v>
      </c>
      <c r="AE217" s="34" t="s">
        <v>169</v>
      </c>
      <c r="AF217" s="34" t="s">
        <v>364</v>
      </c>
      <c r="AG217" s="34"/>
      <c r="AH217" s="34"/>
      <c r="AI217" s="34">
        <v>43820</v>
      </c>
      <c r="AJ217" s="34">
        <v>5</v>
      </c>
      <c r="AK217" s="34">
        <v>367.62</v>
      </c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 t="s">
        <v>363</v>
      </c>
      <c r="BG217" s="34"/>
      <c r="BH217" s="34"/>
      <c r="BI217" s="34"/>
      <c r="BJ217" s="34"/>
      <c r="BK217" s="34" t="s">
        <v>50</v>
      </c>
      <c r="BL217" s="34" t="s">
        <v>167</v>
      </c>
      <c r="BM217" s="34" t="s">
        <v>166</v>
      </c>
      <c r="BN217" s="34">
        <v>43894.582374432874</v>
      </c>
      <c r="BO217" s="34"/>
      <c r="BP217" s="34"/>
      <c r="BQ217" s="34"/>
      <c r="BR217" s="34" t="s">
        <v>165</v>
      </c>
      <c r="BS217" s="34">
        <v>4.02012020168638E+18</v>
      </c>
      <c r="BT217" s="34" t="s">
        <v>164</v>
      </c>
      <c r="BU217" s="34" t="s">
        <v>362</v>
      </c>
      <c r="BV217" s="34">
        <v>2020</v>
      </c>
      <c r="BW217" s="34" t="s">
        <v>163</v>
      </c>
      <c r="BX217" s="34"/>
      <c r="BY217" s="34">
        <v>4.0302202012236001E+18</v>
      </c>
      <c r="BZ217" s="34" t="s">
        <v>1283</v>
      </c>
      <c r="CA217" s="34" t="s">
        <v>161</v>
      </c>
    </row>
    <row r="218" spans="1:79" x14ac:dyDescent="0.25">
      <c r="A218" s="34" t="s">
        <v>374</v>
      </c>
      <c r="B218" s="34" t="s">
        <v>287</v>
      </c>
      <c r="C218" s="34">
        <v>2019</v>
      </c>
      <c r="D218" s="34" t="s">
        <v>422</v>
      </c>
      <c r="E218" s="34">
        <v>2.0200129917472301E+17</v>
      </c>
      <c r="F218" s="34" t="s">
        <v>182</v>
      </c>
      <c r="G218" s="34" t="s">
        <v>1315</v>
      </c>
      <c r="H218" s="34">
        <v>1378435</v>
      </c>
      <c r="I218" s="34"/>
      <c r="J218" s="34" t="s">
        <v>180</v>
      </c>
      <c r="K218" s="34" t="s">
        <v>179</v>
      </c>
      <c r="L218" s="34" t="s">
        <v>903</v>
      </c>
      <c r="M218" s="34"/>
      <c r="N218" s="34" t="s">
        <v>905</v>
      </c>
      <c r="O218" s="34" t="s">
        <v>297</v>
      </c>
      <c r="P218" s="34"/>
      <c r="Q218" s="34" t="s">
        <v>296</v>
      </c>
      <c r="R218" s="34" t="s">
        <v>906</v>
      </c>
      <c r="S218" s="34"/>
      <c r="T218" s="34" t="s">
        <v>907</v>
      </c>
      <c r="U218" s="34"/>
      <c r="V218" s="34" t="s">
        <v>949</v>
      </c>
      <c r="W218" s="34"/>
      <c r="X218" s="34" t="s">
        <v>909</v>
      </c>
      <c r="Y218" s="34" t="s">
        <v>47</v>
      </c>
      <c r="Z218" s="34">
        <v>2142</v>
      </c>
      <c r="AA218" s="34" t="s">
        <v>393</v>
      </c>
      <c r="AB218" s="34" t="s">
        <v>393</v>
      </c>
      <c r="AC218" s="34" t="s">
        <v>903</v>
      </c>
      <c r="AD218" s="34" t="s">
        <v>383</v>
      </c>
      <c r="AE218" s="34" t="s">
        <v>382</v>
      </c>
      <c r="AF218" s="34" t="s">
        <v>377</v>
      </c>
      <c r="AG218" s="34"/>
      <c r="AH218" s="34"/>
      <c r="AI218" s="34">
        <v>43703</v>
      </c>
      <c r="AJ218" s="34">
        <v>50</v>
      </c>
      <c r="AK218" s="34">
        <v>710</v>
      </c>
      <c r="AL218" s="34" t="s">
        <v>973</v>
      </c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 t="s">
        <v>363</v>
      </c>
      <c r="BG218" s="34"/>
      <c r="BH218" s="34"/>
      <c r="BI218" s="34"/>
      <c r="BJ218" s="34"/>
      <c r="BK218" s="34" t="s">
        <v>50</v>
      </c>
      <c r="BL218" s="34" t="s">
        <v>167</v>
      </c>
      <c r="BM218" s="34" t="s">
        <v>166</v>
      </c>
      <c r="BN218" s="34">
        <v>43894.58599644676</v>
      </c>
      <c r="BO218" s="34"/>
      <c r="BP218" s="34"/>
      <c r="BQ218" s="34"/>
      <c r="BR218" s="34" t="s">
        <v>165</v>
      </c>
      <c r="BS218" s="34">
        <v>4.02012020168638E+18</v>
      </c>
      <c r="BT218" s="34" t="s">
        <v>164</v>
      </c>
      <c r="BU218" s="34" t="s">
        <v>974</v>
      </c>
      <c r="BV218" s="34">
        <v>2020</v>
      </c>
      <c r="BW218" s="34" t="s">
        <v>163</v>
      </c>
      <c r="BX218" s="34"/>
      <c r="BY218" s="34">
        <v>4.0302202012370898E+18</v>
      </c>
      <c r="BZ218" s="34" t="s">
        <v>1091</v>
      </c>
      <c r="CA218" s="34" t="s">
        <v>161</v>
      </c>
    </row>
    <row r="219" spans="1:79" x14ac:dyDescent="0.25">
      <c r="A219" s="34" t="s">
        <v>374</v>
      </c>
      <c r="B219" s="34" t="s">
        <v>287</v>
      </c>
      <c r="C219" s="34">
        <v>2019</v>
      </c>
      <c r="D219" s="34" t="s">
        <v>422</v>
      </c>
      <c r="E219" s="34">
        <v>2.0200129917472301E+17</v>
      </c>
      <c r="F219" s="34" t="s">
        <v>182</v>
      </c>
      <c r="G219" s="34" t="s">
        <v>1316</v>
      </c>
      <c r="H219" s="34">
        <v>1378435</v>
      </c>
      <c r="I219" s="34"/>
      <c r="J219" s="34" t="s">
        <v>180</v>
      </c>
      <c r="K219" s="34" t="s">
        <v>179</v>
      </c>
      <c r="L219" s="34" t="s">
        <v>1104</v>
      </c>
      <c r="M219" s="34"/>
      <c r="N219" s="34" t="s">
        <v>905</v>
      </c>
      <c r="O219" s="34" t="s">
        <v>297</v>
      </c>
      <c r="P219" s="34"/>
      <c r="Q219" s="34" t="s">
        <v>296</v>
      </c>
      <c r="R219" s="34" t="s">
        <v>906</v>
      </c>
      <c r="S219" s="34"/>
      <c r="T219" s="34" t="s">
        <v>907</v>
      </c>
      <c r="U219" s="34"/>
      <c r="V219" s="34" t="s">
        <v>949</v>
      </c>
      <c r="W219" s="34"/>
      <c r="X219" s="34" t="s">
        <v>909</v>
      </c>
      <c r="Y219" s="34" t="s">
        <v>47</v>
      </c>
      <c r="Z219" s="34">
        <v>2142</v>
      </c>
      <c r="AA219" s="34" t="s">
        <v>393</v>
      </c>
      <c r="AB219" s="34" t="s">
        <v>393</v>
      </c>
      <c r="AC219" s="34" t="s">
        <v>1104</v>
      </c>
      <c r="AD219" s="34" t="s">
        <v>383</v>
      </c>
      <c r="AE219" s="34" t="s">
        <v>382</v>
      </c>
      <c r="AF219" s="34" t="s">
        <v>377</v>
      </c>
      <c r="AG219" s="34"/>
      <c r="AH219" s="34"/>
      <c r="AI219" s="34">
        <v>43736</v>
      </c>
      <c r="AJ219" s="34">
        <v>50</v>
      </c>
      <c r="AK219" s="34">
        <v>400</v>
      </c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 t="s">
        <v>363</v>
      </c>
      <c r="BG219" s="34"/>
      <c r="BH219" s="34"/>
      <c r="BI219" s="34"/>
      <c r="BJ219" s="34"/>
      <c r="BK219" s="34" t="s">
        <v>50</v>
      </c>
      <c r="BL219" s="34" t="s">
        <v>167</v>
      </c>
      <c r="BM219" s="34" t="s">
        <v>166</v>
      </c>
      <c r="BN219" s="34">
        <v>43894.587415138885</v>
      </c>
      <c r="BO219" s="34"/>
      <c r="BP219" s="34"/>
      <c r="BQ219" s="34"/>
      <c r="BR219" s="34" t="s">
        <v>165</v>
      </c>
      <c r="BS219" s="34">
        <v>4.02012020168638E+18</v>
      </c>
      <c r="BT219" s="34" t="s">
        <v>164</v>
      </c>
      <c r="BU219" s="34" t="s">
        <v>1105</v>
      </c>
      <c r="BV219" s="34">
        <v>2020</v>
      </c>
      <c r="BW219" s="34" t="s">
        <v>163</v>
      </c>
      <c r="BX219" s="34"/>
      <c r="BY219" s="34">
        <v>4.0302202012314199E+18</v>
      </c>
      <c r="BZ219" s="34" t="s">
        <v>1312</v>
      </c>
      <c r="CA219" s="34" t="s">
        <v>161</v>
      </c>
    </row>
    <row r="220" spans="1:79" x14ac:dyDescent="0.25">
      <c r="A220" s="34" t="s">
        <v>374</v>
      </c>
      <c r="B220" s="34" t="s">
        <v>287</v>
      </c>
      <c r="C220" s="34">
        <v>2019</v>
      </c>
      <c r="D220" s="34" t="s">
        <v>422</v>
      </c>
      <c r="E220" s="34">
        <v>2.0200129917472301E+17</v>
      </c>
      <c r="F220" s="34" t="s">
        <v>182</v>
      </c>
      <c r="G220" s="34" t="s">
        <v>1317</v>
      </c>
      <c r="H220" s="34">
        <v>1378435</v>
      </c>
      <c r="I220" s="34"/>
      <c r="J220" s="34" t="s">
        <v>180</v>
      </c>
      <c r="K220" s="34" t="s">
        <v>179</v>
      </c>
      <c r="L220" s="34" t="s">
        <v>1118</v>
      </c>
      <c r="M220" s="34"/>
      <c r="N220" s="34" t="s">
        <v>905</v>
      </c>
      <c r="O220" s="34" t="s">
        <v>297</v>
      </c>
      <c r="P220" s="34"/>
      <c r="Q220" s="34" t="s">
        <v>296</v>
      </c>
      <c r="R220" s="34" t="s">
        <v>906</v>
      </c>
      <c r="S220" s="34"/>
      <c r="T220" s="34" t="s">
        <v>907</v>
      </c>
      <c r="U220" s="34"/>
      <c r="V220" s="34" t="s">
        <v>949</v>
      </c>
      <c r="W220" s="34"/>
      <c r="X220" s="34" t="s">
        <v>909</v>
      </c>
      <c r="Y220" s="34" t="s">
        <v>47</v>
      </c>
      <c r="Z220" s="34">
        <v>2142</v>
      </c>
      <c r="AA220" s="34" t="s">
        <v>393</v>
      </c>
      <c r="AB220" s="34" t="s">
        <v>393</v>
      </c>
      <c r="AC220" s="34" t="s">
        <v>1118</v>
      </c>
      <c r="AD220" s="34" t="s">
        <v>383</v>
      </c>
      <c r="AE220" s="34" t="s">
        <v>382</v>
      </c>
      <c r="AF220" s="34" t="s">
        <v>377</v>
      </c>
      <c r="AG220" s="34"/>
      <c r="AH220" s="34"/>
      <c r="AI220" s="34">
        <v>43799</v>
      </c>
      <c r="AJ220" s="34">
        <v>100</v>
      </c>
      <c r="AK220" s="34">
        <v>350</v>
      </c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 t="s">
        <v>363</v>
      </c>
      <c r="BG220" s="34"/>
      <c r="BH220" s="34"/>
      <c r="BI220" s="34"/>
      <c r="BJ220" s="34"/>
      <c r="BK220" s="34" t="s">
        <v>50</v>
      </c>
      <c r="BL220" s="34" t="s">
        <v>167</v>
      </c>
      <c r="BM220" s="34" t="s">
        <v>166</v>
      </c>
      <c r="BN220" s="34">
        <v>43894.587595682868</v>
      </c>
      <c r="BO220" s="34"/>
      <c r="BP220" s="34"/>
      <c r="BQ220" s="34"/>
      <c r="BR220" s="34" t="s">
        <v>165</v>
      </c>
      <c r="BS220" s="34">
        <v>4.02012020168638E+18</v>
      </c>
      <c r="BT220" s="34" t="s">
        <v>164</v>
      </c>
      <c r="BU220" s="34" t="s">
        <v>1119</v>
      </c>
      <c r="BV220" s="34">
        <v>2020</v>
      </c>
      <c r="BW220" s="34" t="s">
        <v>163</v>
      </c>
      <c r="BX220" s="34"/>
      <c r="BY220" s="34">
        <v>4.0302202012293898E+18</v>
      </c>
      <c r="BZ220" s="34" t="s">
        <v>1318</v>
      </c>
      <c r="CA220" s="34" t="s">
        <v>161</v>
      </c>
    </row>
    <row r="221" spans="1:79" x14ac:dyDescent="0.25">
      <c r="A221" s="34" t="s">
        <v>374</v>
      </c>
      <c r="B221" s="34" t="s">
        <v>287</v>
      </c>
      <c r="C221" s="34">
        <v>2019</v>
      </c>
      <c r="D221" s="34" t="s">
        <v>422</v>
      </c>
      <c r="E221" s="34">
        <v>2.0200129917472301E+17</v>
      </c>
      <c r="F221" s="34" t="s">
        <v>182</v>
      </c>
      <c r="G221" s="34" t="s">
        <v>1319</v>
      </c>
      <c r="H221" s="34">
        <v>1378435</v>
      </c>
      <c r="I221" s="34"/>
      <c r="J221" s="34" t="s">
        <v>180</v>
      </c>
      <c r="K221" s="34" t="s">
        <v>179</v>
      </c>
      <c r="L221" s="34"/>
      <c r="M221" s="34"/>
      <c r="N221" s="34" t="s">
        <v>905</v>
      </c>
      <c r="O221" s="34" t="s">
        <v>297</v>
      </c>
      <c r="P221" s="34"/>
      <c r="Q221" s="34" t="s">
        <v>296</v>
      </c>
      <c r="R221" s="34" t="s">
        <v>906</v>
      </c>
      <c r="S221" s="34"/>
      <c r="T221" s="34" t="s">
        <v>907</v>
      </c>
      <c r="U221" s="34"/>
      <c r="V221" s="34" t="s">
        <v>949</v>
      </c>
      <c r="W221" s="34"/>
      <c r="X221" s="34" t="s">
        <v>909</v>
      </c>
      <c r="Y221" s="34" t="s">
        <v>47</v>
      </c>
      <c r="Z221" s="34">
        <v>2142</v>
      </c>
      <c r="AA221" s="34" t="s">
        <v>393</v>
      </c>
      <c r="AB221" s="34" t="s">
        <v>393</v>
      </c>
      <c r="AC221" s="34"/>
      <c r="AD221" s="34"/>
      <c r="AE221" s="34"/>
      <c r="AF221" s="34" t="s">
        <v>377</v>
      </c>
      <c r="AG221" s="34"/>
      <c r="AH221" s="34"/>
      <c r="AI221" s="34">
        <v>43753</v>
      </c>
      <c r="AJ221" s="34">
        <v>10</v>
      </c>
      <c r="AK221" s="34">
        <v>142</v>
      </c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 t="s">
        <v>363</v>
      </c>
      <c r="BG221" s="34"/>
      <c r="BH221" s="34"/>
      <c r="BI221" s="34"/>
      <c r="BJ221" s="34"/>
      <c r="BK221" s="34" t="s">
        <v>50</v>
      </c>
      <c r="BL221" s="34" t="s">
        <v>167</v>
      </c>
      <c r="BM221" s="34" t="s">
        <v>166</v>
      </c>
      <c r="BN221" s="34">
        <v>43894.590777094905</v>
      </c>
      <c r="BO221" s="34"/>
      <c r="BP221" s="34"/>
      <c r="BQ221" s="34"/>
      <c r="BR221" s="34" t="s">
        <v>165</v>
      </c>
      <c r="BS221" s="34">
        <v>4.02012020168638E+18</v>
      </c>
      <c r="BT221" s="34" t="s">
        <v>164</v>
      </c>
      <c r="BU221" s="34" t="s">
        <v>1115</v>
      </c>
      <c r="BV221" s="34">
        <v>2020</v>
      </c>
      <c r="BW221" s="34" t="s">
        <v>163</v>
      </c>
      <c r="BX221" s="34"/>
      <c r="BY221" s="34">
        <v>4.0302202012348099E+18</v>
      </c>
      <c r="BZ221" s="34" t="s">
        <v>1320</v>
      </c>
      <c r="CA221" s="34" t="s">
        <v>161</v>
      </c>
    </row>
    <row r="222" spans="1:79" x14ac:dyDescent="0.25">
      <c r="A222" s="34" t="s">
        <v>374</v>
      </c>
      <c r="B222" s="34" t="s">
        <v>287</v>
      </c>
      <c r="C222" s="34">
        <v>2019</v>
      </c>
      <c r="D222" s="34" t="s">
        <v>422</v>
      </c>
      <c r="E222" s="34">
        <v>2.0200129917472301E+17</v>
      </c>
      <c r="F222" s="34" t="s">
        <v>182</v>
      </c>
      <c r="G222" s="34" t="s">
        <v>1321</v>
      </c>
      <c r="H222" s="34">
        <v>1378435</v>
      </c>
      <c r="I222" s="34"/>
      <c r="J222" s="34" t="s">
        <v>180</v>
      </c>
      <c r="K222" s="34" t="s">
        <v>179</v>
      </c>
      <c r="L222" s="34"/>
      <c r="M222" s="34"/>
      <c r="N222" s="34" t="s">
        <v>905</v>
      </c>
      <c r="O222" s="34" t="s">
        <v>297</v>
      </c>
      <c r="P222" s="34"/>
      <c r="Q222" s="34" t="s">
        <v>296</v>
      </c>
      <c r="R222" s="34" t="s">
        <v>906</v>
      </c>
      <c r="S222" s="34"/>
      <c r="T222" s="34" t="s">
        <v>907</v>
      </c>
      <c r="U222" s="34"/>
      <c r="V222" s="34" t="s">
        <v>949</v>
      </c>
      <c r="W222" s="34"/>
      <c r="X222" s="34" t="s">
        <v>909</v>
      </c>
      <c r="Y222" s="34" t="s">
        <v>47</v>
      </c>
      <c r="Z222" s="34">
        <v>2142</v>
      </c>
      <c r="AA222" s="34" t="s">
        <v>393</v>
      </c>
      <c r="AB222" s="34" t="s">
        <v>393</v>
      </c>
      <c r="AC222" s="34"/>
      <c r="AD222" s="34"/>
      <c r="AE222" s="34"/>
      <c r="AF222" s="34" t="s">
        <v>377</v>
      </c>
      <c r="AG222" s="34"/>
      <c r="AH222" s="34"/>
      <c r="AI222" s="34">
        <v>43693</v>
      </c>
      <c r="AJ222" s="34">
        <v>12.5</v>
      </c>
      <c r="AK222" s="34">
        <v>52.5</v>
      </c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 t="s">
        <v>363</v>
      </c>
      <c r="BG222" s="34"/>
      <c r="BH222" s="34"/>
      <c r="BI222" s="34"/>
      <c r="BJ222" s="34"/>
      <c r="BK222" s="34" t="s">
        <v>50</v>
      </c>
      <c r="BL222" s="34" t="s">
        <v>167</v>
      </c>
      <c r="BM222" s="34" t="s">
        <v>166</v>
      </c>
      <c r="BN222" s="34">
        <v>43894.590701064815</v>
      </c>
      <c r="BO222" s="34"/>
      <c r="BP222" s="34"/>
      <c r="BQ222" s="34"/>
      <c r="BR222" s="34" t="s">
        <v>165</v>
      </c>
      <c r="BS222" s="34">
        <v>4.02012020168638E+18</v>
      </c>
      <c r="BT222" s="34" t="s">
        <v>164</v>
      </c>
      <c r="BU222" s="34" t="s">
        <v>650</v>
      </c>
      <c r="BV222" s="34">
        <v>2020</v>
      </c>
      <c r="BW222" s="34" t="s">
        <v>163</v>
      </c>
      <c r="BX222" s="34"/>
      <c r="BY222" s="34">
        <v>4.0302202012338601E+18</v>
      </c>
      <c r="BZ222" s="34" t="s">
        <v>1268</v>
      </c>
      <c r="CA222" s="34" t="s">
        <v>161</v>
      </c>
    </row>
    <row r="223" spans="1:79" x14ac:dyDescent="0.25">
      <c r="A223" s="34" t="s">
        <v>903</v>
      </c>
      <c r="B223" s="34" t="s">
        <v>904</v>
      </c>
      <c r="C223" s="34">
        <v>2020</v>
      </c>
      <c r="D223" s="34" t="s">
        <v>793</v>
      </c>
      <c r="E223" s="34">
        <v>2.0200220918715699E+17</v>
      </c>
      <c r="F223" s="34" t="s">
        <v>450</v>
      </c>
      <c r="G223" s="34">
        <v>5572783</v>
      </c>
      <c r="H223" s="34">
        <v>1385191</v>
      </c>
      <c r="I223" s="34"/>
      <c r="J223" s="34" t="s">
        <v>180</v>
      </c>
      <c r="K223" s="34" t="s">
        <v>179</v>
      </c>
      <c r="L223" s="34" t="s">
        <v>374</v>
      </c>
      <c r="M223" s="34"/>
      <c r="N223" s="34" t="s">
        <v>905</v>
      </c>
      <c r="O223" s="34" t="s">
        <v>28</v>
      </c>
      <c r="P223" s="34"/>
      <c r="Q223" s="34" t="s">
        <v>28</v>
      </c>
      <c r="R223" s="34" t="s">
        <v>906</v>
      </c>
      <c r="S223" s="34"/>
      <c r="T223" s="34" t="s">
        <v>907</v>
      </c>
      <c r="U223" s="34"/>
      <c r="V223" s="34" t="s">
        <v>908</v>
      </c>
      <c r="W223" s="34"/>
      <c r="X223" s="34" t="s">
        <v>909</v>
      </c>
      <c r="Y223" s="34" t="s">
        <v>47</v>
      </c>
      <c r="Z223" s="34">
        <v>21421229</v>
      </c>
      <c r="AA223" s="34" t="s">
        <v>910</v>
      </c>
      <c r="AB223" s="34" t="s">
        <v>393</v>
      </c>
      <c r="AC223" s="34" t="s">
        <v>374</v>
      </c>
      <c r="AD223" s="34" t="s">
        <v>345</v>
      </c>
      <c r="AE223" s="34" t="s">
        <v>344</v>
      </c>
      <c r="AF223" s="34"/>
      <c r="AG223" s="34"/>
      <c r="AH223" s="34"/>
      <c r="AI223" s="34">
        <v>43845</v>
      </c>
      <c r="AJ223" s="34">
        <v>50</v>
      </c>
      <c r="AK223" s="34">
        <v>760</v>
      </c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 t="s">
        <v>446</v>
      </c>
      <c r="BH223" s="34"/>
      <c r="BI223" s="34" t="s">
        <v>168</v>
      </c>
      <c r="BJ223" s="34">
        <v>2020</v>
      </c>
      <c r="BK223" s="34" t="s">
        <v>50</v>
      </c>
      <c r="BL223" s="34" t="s">
        <v>167</v>
      </c>
      <c r="BM223" s="34" t="s">
        <v>166</v>
      </c>
      <c r="BN223" s="34">
        <v>43895.491953101853</v>
      </c>
      <c r="BO223" s="34"/>
      <c r="BP223" s="34" t="s">
        <v>1322</v>
      </c>
      <c r="BQ223" s="34" t="s">
        <v>877</v>
      </c>
      <c r="BR223" s="34" t="s">
        <v>445</v>
      </c>
      <c r="BS223" s="34">
        <v>4.02212020169344E+18</v>
      </c>
      <c r="BT223" s="34" t="s">
        <v>164</v>
      </c>
      <c r="BU223" s="34" t="s">
        <v>512</v>
      </c>
      <c r="BV223" s="34">
        <v>2020</v>
      </c>
      <c r="BW223" s="34" t="s">
        <v>163</v>
      </c>
      <c r="BX223" s="34"/>
      <c r="BY223" s="34">
        <v>4.0304202017014298E+18</v>
      </c>
      <c r="BZ223" s="34" t="s">
        <v>1323</v>
      </c>
      <c r="CA223" s="34" t="s">
        <v>161</v>
      </c>
    </row>
    <row r="224" spans="1:79" x14ac:dyDescent="0.25">
      <c r="A224" s="34" t="s">
        <v>374</v>
      </c>
      <c r="B224" s="34" t="s">
        <v>287</v>
      </c>
      <c r="C224" s="34">
        <v>2020</v>
      </c>
      <c r="D224" s="34" t="s">
        <v>793</v>
      </c>
      <c r="E224" s="34">
        <v>2.0200221920164701E+17</v>
      </c>
      <c r="F224" s="34" t="s">
        <v>182</v>
      </c>
      <c r="G224" s="34" t="s">
        <v>1324</v>
      </c>
      <c r="H224" s="34">
        <v>1385527</v>
      </c>
      <c r="I224" s="34"/>
      <c r="J224" s="34" t="s">
        <v>180</v>
      </c>
      <c r="K224" s="34" t="s">
        <v>179</v>
      </c>
      <c r="L224" s="34"/>
      <c r="M224" s="34"/>
      <c r="N224" s="34" t="s">
        <v>905</v>
      </c>
      <c r="O224" s="34" t="s">
        <v>297</v>
      </c>
      <c r="P224" s="34"/>
      <c r="Q224" s="34" t="s">
        <v>296</v>
      </c>
      <c r="R224" s="34" t="s">
        <v>906</v>
      </c>
      <c r="S224" s="34"/>
      <c r="T224" s="34" t="s">
        <v>907</v>
      </c>
      <c r="U224" s="34"/>
      <c r="V224" s="34" t="s">
        <v>949</v>
      </c>
      <c r="W224" s="34"/>
      <c r="X224" s="34" t="s">
        <v>909</v>
      </c>
      <c r="Y224" s="34" t="s">
        <v>47</v>
      </c>
      <c r="Z224" s="34">
        <v>2142</v>
      </c>
      <c r="AA224" s="34" t="s">
        <v>393</v>
      </c>
      <c r="AB224" s="34" t="s">
        <v>393</v>
      </c>
      <c r="AC224" s="34"/>
      <c r="AD224" s="34"/>
      <c r="AE224" s="34"/>
      <c r="AF224" s="34" t="s">
        <v>377</v>
      </c>
      <c r="AG224" s="34"/>
      <c r="AH224" s="34"/>
      <c r="AI224" s="34">
        <v>43835</v>
      </c>
      <c r="AJ224" s="34">
        <v>25</v>
      </c>
      <c r="AK224" s="34">
        <v>75</v>
      </c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 t="s">
        <v>50</v>
      </c>
      <c r="BL224" s="34" t="s">
        <v>167</v>
      </c>
      <c r="BM224" s="34" t="s">
        <v>166</v>
      </c>
      <c r="BN224" s="34">
        <v>43915.265317476849</v>
      </c>
      <c r="BO224" s="34"/>
      <c r="BP224" s="34"/>
      <c r="BQ224" s="34"/>
      <c r="BR224" s="34" t="s">
        <v>165</v>
      </c>
      <c r="BS224" s="34">
        <v>4.02212020169344E+18</v>
      </c>
      <c r="BT224" s="34" t="s">
        <v>164</v>
      </c>
      <c r="BU224" s="34" t="s">
        <v>1119</v>
      </c>
      <c r="BV224" s="34">
        <v>2020</v>
      </c>
      <c r="BW224" s="34" t="s">
        <v>163</v>
      </c>
      <c r="BX224" s="34"/>
      <c r="BY224" s="34">
        <v>4.0324202017135099E+18</v>
      </c>
      <c r="BZ224" s="34" t="s">
        <v>1325</v>
      </c>
      <c r="CA224" s="34" t="s">
        <v>161</v>
      </c>
    </row>
    <row r="225" spans="1:79" x14ac:dyDescent="0.25">
      <c r="A225" s="34" t="s">
        <v>374</v>
      </c>
      <c r="B225" s="34" t="s">
        <v>287</v>
      </c>
      <c r="C225" s="34">
        <v>2020</v>
      </c>
      <c r="D225" s="34" t="s">
        <v>793</v>
      </c>
      <c r="E225" s="34">
        <v>2.0200221920164701E+17</v>
      </c>
      <c r="F225" s="34" t="s">
        <v>182</v>
      </c>
      <c r="G225" s="34" t="s">
        <v>1326</v>
      </c>
      <c r="H225" s="34">
        <v>1385527</v>
      </c>
      <c r="I225" s="34"/>
      <c r="J225" s="34" t="s">
        <v>180</v>
      </c>
      <c r="K225" s="34" t="s">
        <v>179</v>
      </c>
      <c r="L225" s="34"/>
      <c r="M225" s="34"/>
      <c r="N225" s="34" t="s">
        <v>905</v>
      </c>
      <c r="O225" s="34" t="s">
        <v>297</v>
      </c>
      <c r="P225" s="34"/>
      <c r="Q225" s="34" t="s">
        <v>296</v>
      </c>
      <c r="R225" s="34" t="s">
        <v>906</v>
      </c>
      <c r="S225" s="34"/>
      <c r="T225" s="34" t="s">
        <v>907</v>
      </c>
      <c r="U225" s="34"/>
      <c r="V225" s="34" t="s">
        <v>949</v>
      </c>
      <c r="W225" s="34"/>
      <c r="X225" s="34" t="s">
        <v>909</v>
      </c>
      <c r="Y225" s="34" t="s">
        <v>47</v>
      </c>
      <c r="Z225" s="34">
        <v>2142</v>
      </c>
      <c r="AA225" s="34" t="s">
        <v>393</v>
      </c>
      <c r="AB225" s="34" t="s">
        <v>393</v>
      </c>
      <c r="AC225" s="34"/>
      <c r="AD225" s="34"/>
      <c r="AE225" s="34"/>
      <c r="AF225" s="34" t="s">
        <v>364</v>
      </c>
      <c r="AG225" s="34"/>
      <c r="AH225" s="34"/>
      <c r="AI225" s="34">
        <v>43835</v>
      </c>
      <c r="AJ225" s="34">
        <v>2.5</v>
      </c>
      <c r="AK225" s="34">
        <v>46</v>
      </c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 t="s">
        <v>50</v>
      </c>
      <c r="BL225" s="34" t="s">
        <v>167</v>
      </c>
      <c r="BM225" s="34" t="s">
        <v>166</v>
      </c>
      <c r="BN225" s="34">
        <v>43915.265317488425</v>
      </c>
      <c r="BO225" s="34"/>
      <c r="BP225" s="34"/>
      <c r="BQ225" s="34"/>
      <c r="BR225" s="34" t="s">
        <v>165</v>
      </c>
      <c r="BS225" s="34">
        <v>4.02212020169344E+18</v>
      </c>
      <c r="BT225" s="34" t="s">
        <v>164</v>
      </c>
      <c r="BU225" s="34" t="s">
        <v>362</v>
      </c>
      <c r="BV225" s="34">
        <v>2020</v>
      </c>
      <c r="BW225" s="34" t="s">
        <v>163</v>
      </c>
      <c r="BX225" s="34"/>
      <c r="BY225" s="34">
        <v>4.0324202017135099E+18</v>
      </c>
      <c r="BZ225" s="34" t="s">
        <v>1327</v>
      </c>
      <c r="CA225" s="34" t="s">
        <v>161</v>
      </c>
    </row>
    <row r="226" spans="1:79" x14ac:dyDescent="0.25">
      <c r="A226" s="34" t="s">
        <v>374</v>
      </c>
      <c r="B226" s="34" t="s">
        <v>287</v>
      </c>
      <c r="C226" s="34">
        <v>2020</v>
      </c>
      <c r="D226" s="34" t="s">
        <v>793</v>
      </c>
      <c r="E226" s="34">
        <v>2.0200221920164701E+17</v>
      </c>
      <c r="F226" s="34" t="s">
        <v>182</v>
      </c>
      <c r="G226" s="34" t="s">
        <v>1328</v>
      </c>
      <c r="H226" s="34">
        <v>1385527</v>
      </c>
      <c r="I226" s="34"/>
      <c r="J226" s="34" t="s">
        <v>180</v>
      </c>
      <c r="K226" s="34" t="s">
        <v>179</v>
      </c>
      <c r="L226" s="34"/>
      <c r="M226" s="34"/>
      <c r="N226" s="34" t="s">
        <v>905</v>
      </c>
      <c r="O226" s="34" t="s">
        <v>297</v>
      </c>
      <c r="P226" s="34"/>
      <c r="Q226" s="34" t="s">
        <v>296</v>
      </c>
      <c r="R226" s="34" t="s">
        <v>906</v>
      </c>
      <c r="S226" s="34"/>
      <c r="T226" s="34" t="s">
        <v>907</v>
      </c>
      <c r="U226" s="34"/>
      <c r="V226" s="34" t="s">
        <v>949</v>
      </c>
      <c r="W226" s="34"/>
      <c r="X226" s="34" t="s">
        <v>909</v>
      </c>
      <c r="Y226" s="34" t="s">
        <v>47</v>
      </c>
      <c r="Z226" s="34">
        <v>2142</v>
      </c>
      <c r="AA226" s="34" t="s">
        <v>393</v>
      </c>
      <c r="AB226" s="34" t="s">
        <v>393</v>
      </c>
      <c r="AC226" s="34"/>
      <c r="AD226" s="34"/>
      <c r="AE226" s="34"/>
      <c r="AF226" s="34" t="s">
        <v>364</v>
      </c>
      <c r="AG226" s="34"/>
      <c r="AH226" s="34"/>
      <c r="AI226" s="34">
        <v>43853</v>
      </c>
      <c r="AJ226" s="34">
        <v>10</v>
      </c>
      <c r="AK226" s="34">
        <v>46</v>
      </c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 t="s">
        <v>50</v>
      </c>
      <c r="BL226" s="34" t="s">
        <v>167</v>
      </c>
      <c r="BM226" s="34" t="s">
        <v>166</v>
      </c>
      <c r="BN226" s="34">
        <v>43915.265317488425</v>
      </c>
      <c r="BO226" s="34"/>
      <c r="BP226" s="34"/>
      <c r="BQ226" s="34"/>
      <c r="BR226" s="34" t="s">
        <v>165</v>
      </c>
      <c r="BS226" s="34">
        <v>4.02212020169344E+18</v>
      </c>
      <c r="BT226" s="34" t="s">
        <v>164</v>
      </c>
      <c r="BU226" s="34" t="s">
        <v>362</v>
      </c>
      <c r="BV226" s="34">
        <v>2020</v>
      </c>
      <c r="BW226" s="34" t="s">
        <v>163</v>
      </c>
      <c r="BX226" s="34"/>
      <c r="BY226" s="34">
        <v>4.0324202017135099E+18</v>
      </c>
      <c r="BZ226" s="34" t="s">
        <v>1329</v>
      </c>
      <c r="CA226" s="34" t="s">
        <v>161</v>
      </c>
    </row>
    <row r="227" spans="1:79" x14ac:dyDescent="0.25">
      <c r="A227" s="34" t="s">
        <v>374</v>
      </c>
      <c r="B227" s="34" t="s">
        <v>287</v>
      </c>
      <c r="C227" s="34">
        <v>2020</v>
      </c>
      <c r="D227" s="34" t="s">
        <v>793</v>
      </c>
      <c r="E227" s="34">
        <v>2.0200221920164701E+17</v>
      </c>
      <c r="F227" s="34" t="s">
        <v>182</v>
      </c>
      <c r="G227" s="34" t="s">
        <v>1330</v>
      </c>
      <c r="H227" s="34">
        <v>1385527</v>
      </c>
      <c r="I227" s="34"/>
      <c r="J227" s="34" t="s">
        <v>180</v>
      </c>
      <c r="K227" s="34" t="s">
        <v>179</v>
      </c>
      <c r="L227" s="34"/>
      <c r="M227" s="34"/>
      <c r="N227" s="34" t="s">
        <v>905</v>
      </c>
      <c r="O227" s="34" t="s">
        <v>297</v>
      </c>
      <c r="P227" s="34"/>
      <c r="Q227" s="34" t="s">
        <v>296</v>
      </c>
      <c r="R227" s="34" t="s">
        <v>906</v>
      </c>
      <c r="S227" s="34"/>
      <c r="T227" s="34" t="s">
        <v>907</v>
      </c>
      <c r="U227" s="34"/>
      <c r="V227" s="34" t="s">
        <v>949</v>
      </c>
      <c r="W227" s="34"/>
      <c r="X227" s="34" t="s">
        <v>909</v>
      </c>
      <c r="Y227" s="34" t="s">
        <v>47</v>
      </c>
      <c r="Z227" s="34">
        <v>2142</v>
      </c>
      <c r="AA227" s="34" t="s">
        <v>393</v>
      </c>
      <c r="AB227" s="34" t="s">
        <v>393</v>
      </c>
      <c r="AC227" s="34"/>
      <c r="AD227" s="34"/>
      <c r="AE227" s="34"/>
      <c r="AF227" s="34" t="s">
        <v>377</v>
      </c>
      <c r="AG227" s="34"/>
      <c r="AH227" s="34"/>
      <c r="AI227" s="34">
        <v>43852</v>
      </c>
      <c r="AJ227" s="34">
        <v>50</v>
      </c>
      <c r="AK227" s="34">
        <v>100</v>
      </c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 t="s">
        <v>50</v>
      </c>
      <c r="BL227" s="34" t="s">
        <v>167</v>
      </c>
      <c r="BM227" s="34" t="s">
        <v>166</v>
      </c>
      <c r="BN227" s="34">
        <v>43915.265317488425</v>
      </c>
      <c r="BO227" s="34"/>
      <c r="BP227" s="34"/>
      <c r="BQ227" s="34"/>
      <c r="BR227" s="34" t="s">
        <v>165</v>
      </c>
      <c r="BS227" s="34">
        <v>4.02212020169344E+18</v>
      </c>
      <c r="BT227" s="34" t="s">
        <v>164</v>
      </c>
      <c r="BU227" s="34" t="s">
        <v>1291</v>
      </c>
      <c r="BV227" s="34">
        <v>2020</v>
      </c>
      <c r="BW227" s="34" t="s">
        <v>163</v>
      </c>
      <c r="BX227" s="34"/>
      <c r="BY227" s="34">
        <v>4.0324202017135099E+18</v>
      </c>
      <c r="BZ227" s="34" t="s">
        <v>1329</v>
      </c>
      <c r="CA227" s="34" t="s">
        <v>161</v>
      </c>
    </row>
    <row r="228" spans="1:79" x14ac:dyDescent="0.25">
      <c r="A228" s="34" t="s">
        <v>374</v>
      </c>
      <c r="B228" s="34" t="s">
        <v>287</v>
      </c>
      <c r="C228" s="34">
        <v>2020</v>
      </c>
      <c r="D228" s="34" t="s">
        <v>793</v>
      </c>
      <c r="E228" s="34">
        <v>2.0200221920164701E+17</v>
      </c>
      <c r="F228" s="34" t="s">
        <v>182</v>
      </c>
      <c r="G228" s="34" t="s">
        <v>1331</v>
      </c>
      <c r="H228" s="34">
        <v>1385527</v>
      </c>
      <c r="I228" s="34"/>
      <c r="J228" s="34" t="s">
        <v>180</v>
      </c>
      <c r="K228" s="34" t="s">
        <v>179</v>
      </c>
      <c r="L228" s="34"/>
      <c r="M228" s="34"/>
      <c r="N228" s="34" t="s">
        <v>905</v>
      </c>
      <c r="O228" s="34" t="s">
        <v>297</v>
      </c>
      <c r="P228" s="34"/>
      <c r="Q228" s="34" t="s">
        <v>296</v>
      </c>
      <c r="R228" s="34" t="s">
        <v>906</v>
      </c>
      <c r="S228" s="34"/>
      <c r="T228" s="34" t="s">
        <v>907</v>
      </c>
      <c r="U228" s="34"/>
      <c r="V228" s="34" t="s">
        <v>949</v>
      </c>
      <c r="W228" s="34"/>
      <c r="X228" s="34" t="s">
        <v>909</v>
      </c>
      <c r="Y228" s="34" t="s">
        <v>47</v>
      </c>
      <c r="Z228" s="34">
        <v>2142</v>
      </c>
      <c r="AA228" s="34" t="s">
        <v>393</v>
      </c>
      <c r="AB228" s="34" t="s">
        <v>393</v>
      </c>
      <c r="AC228" s="34"/>
      <c r="AD228" s="34"/>
      <c r="AE228" s="34"/>
      <c r="AF228" s="34" t="s">
        <v>377</v>
      </c>
      <c r="AG228" s="34"/>
      <c r="AH228" s="34"/>
      <c r="AI228" s="34">
        <v>43843</v>
      </c>
      <c r="AJ228" s="34">
        <v>50</v>
      </c>
      <c r="AK228" s="34">
        <v>75</v>
      </c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 t="s">
        <v>50</v>
      </c>
      <c r="BL228" s="34" t="s">
        <v>167</v>
      </c>
      <c r="BM228" s="34" t="s">
        <v>166</v>
      </c>
      <c r="BN228" s="34">
        <v>43915.276154479165</v>
      </c>
      <c r="BO228" s="34"/>
      <c r="BP228" s="34"/>
      <c r="BQ228" s="34"/>
      <c r="BR228" s="34" t="s">
        <v>165</v>
      </c>
      <c r="BS228" s="34">
        <v>4.02212020169344E+18</v>
      </c>
      <c r="BT228" s="34" t="s">
        <v>164</v>
      </c>
      <c r="BU228" s="34" t="s">
        <v>1099</v>
      </c>
      <c r="BV228" s="34">
        <v>2020</v>
      </c>
      <c r="BW228" s="34" t="s">
        <v>163</v>
      </c>
      <c r="BX228" s="34"/>
      <c r="BY228" s="34">
        <v>4.0324202017135099E+18</v>
      </c>
      <c r="BZ228" s="34" t="s">
        <v>1332</v>
      </c>
      <c r="CA228" s="34" t="s">
        <v>161</v>
      </c>
    </row>
    <row r="229" spans="1:79" x14ac:dyDescent="0.25">
      <c r="A229" s="34" t="s">
        <v>374</v>
      </c>
      <c r="B229" s="34" t="s">
        <v>287</v>
      </c>
      <c r="C229" s="34">
        <v>2020</v>
      </c>
      <c r="D229" s="34" t="s">
        <v>793</v>
      </c>
      <c r="E229" s="34">
        <v>2.0200221920164701E+17</v>
      </c>
      <c r="F229" s="34" t="s">
        <v>182</v>
      </c>
      <c r="G229" s="34" t="s">
        <v>1333</v>
      </c>
      <c r="H229" s="34">
        <v>1385527</v>
      </c>
      <c r="I229" s="34"/>
      <c r="J229" s="34" t="s">
        <v>180</v>
      </c>
      <c r="K229" s="34" t="s">
        <v>179</v>
      </c>
      <c r="L229" s="34"/>
      <c r="M229" s="34"/>
      <c r="N229" s="34" t="s">
        <v>905</v>
      </c>
      <c r="O229" s="34" t="s">
        <v>297</v>
      </c>
      <c r="P229" s="34"/>
      <c r="Q229" s="34" t="s">
        <v>296</v>
      </c>
      <c r="R229" s="34" t="s">
        <v>906</v>
      </c>
      <c r="S229" s="34"/>
      <c r="T229" s="34" t="s">
        <v>907</v>
      </c>
      <c r="U229" s="34"/>
      <c r="V229" s="34" t="s">
        <v>949</v>
      </c>
      <c r="W229" s="34"/>
      <c r="X229" s="34" t="s">
        <v>909</v>
      </c>
      <c r="Y229" s="34" t="s">
        <v>47</v>
      </c>
      <c r="Z229" s="34">
        <v>2142</v>
      </c>
      <c r="AA229" s="34" t="s">
        <v>393</v>
      </c>
      <c r="AB229" s="34" t="s">
        <v>393</v>
      </c>
      <c r="AC229" s="34"/>
      <c r="AD229" s="34"/>
      <c r="AE229" s="34"/>
      <c r="AF229" s="34" t="s">
        <v>364</v>
      </c>
      <c r="AG229" s="34"/>
      <c r="AH229" s="34"/>
      <c r="AI229" s="34">
        <v>43861</v>
      </c>
      <c r="AJ229" s="34">
        <v>5</v>
      </c>
      <c r="AK229" s="34">
        <v>46</v>
      </c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 t="s">
        <v>50</v>
      </c>
      <c r="BL229" s="34" t="s">
        <v>167</v>
      </c>
      <c r="BM229" s="34" t="s">
        <v>166</v>
      </c>
      <c r="BN229" s="34">
        <v>43915.276154502317</v>
      </c>
      <c r="BO229" s="34"/>
      <c r="BP229" s="34"/>
      <c r="BQ229" s="34"/>
      <c r="BR229" s="34" t="s">
        <v>165</v>
      </c>
      <c r="BS229" s="34">
        <v>4.02212020169344E+18</v>
      </c>
      <c r="BT229" s="34" t="s">
        <v>164</v>
      </c>
      <c r="BU229" s="34" t="s">
        <v>362</v>
      </c>
      <c r="BV229" s="34">
        <v>2020</v>
      </c>
      <c r="BW229" s="34" t="s">
        <v>163</v>
      </c>
      <c r="BX229" s="34"/>
      <c r="BY229" s="34">
        <v>4.0324202017135099E+18</v>
      </c>
      <c r="BZ229" s="34" t="s">
        <v>1334</v>
      </c>
      <c r="CA229" s="34" t="s">
        <v>161</v>
      </c>
    </row>
    <row r="230" spans="1:79" x14ac:dyDescent="0.25">
      <c r="A230" s="34" t="s">
        <v>374</v>
      </c>
      <c r="B230" s="34" t="s">
        <v>287</v>
      </c>
      <c r="C230" s="34">
        <v>2020</v>
      </c>
      <c r="D230" s="34" t="s">
        <v>793</v>
      </c>
      <c r="E230" s="34">
        <v>2.0200221920164701E+17</v>
      </c>
      <c r="F230" s="34" t="s">
        <v>182</v>
      </c>
      <c r="G230" s="34" t="s">
        <v>1335</v>
      </c>
      <c r="H230" s="34">
        <v>1385527</v>
      </c>
      <c r="I230" s="34"/>
      <c r="J230" s="34" t="s">
        <v>180</v>
      </c>
      <c r="K230" s="34" t="s">
        <v>179</v>
      </c>
      <c r="L230" s="34"/>
      <c r="M230" s="34"/>
      <c r="N230" s="34" t="s">
        <v>905</v>
      </c>
      <c r="O230" s="34" t="s">
        <v>297</v>
      </c>
      <c r="P230" s="34"/>
      <c r="Q230" s="34" t="s">
        <v>296</v>
      </c>
      <c r="R230" s="34" t="s">
        <v>906</v>
      </c>
      <c r="S230" s="34"/>
      <c r="T230" s="34" t="s">
        <v>907</v>
      </c>
      <c r="U230" s="34"/>
      <c r="V230" s="34" t="s">
        <v>949</v>
      </c>
      <c r="W230" s="34"/>
      <c r="X230" s="34" t="s">
        <v>909</v>
      </c>
      <c r="Y230" s="34" t="s">
        <v>47</v>
      </c>
      <c r="Z230" s="34">
        <v>2142</v>
      </c>
      <c r="AA230" s="34" t="s">
        <v>393</v>
      </c>
      <c r="AB230" s="34" t="s">
        <v>393</v>
      </c>
      <c r="AC230" s="34"/>
      <c r="AD230" s="34"/>
      <c r="AE230" s="34"/>
      <c r="AF230" s="34" t="s">
        <v>364</v>
      </c>
      <c r="AG230" s="34"/>
      <c r="AH230" s="34"/>
      <c r="AI230" s="34">
        <v>43852</v>
      </c>
      <c r="AJ230" s="34">
        <v>5</v>
      </c>
      <c r="AK230" s="34">
        <v>46</v>
      </c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 t="s">
        <v>50</v>
      </c>
      <c r="BL230" s="34" t="s">
        <v>167</v>
      </c>
      <c r="BM230" s="34" t="s">
        <v>166</v>
      </c>
      <c r="BN230" s="34">
        <v>43915.276154479165</v>
      </c>
      <c r="BO230" s="34"/>
      <c r="BP230" s="34"/>
      <c r="BQ230" s="34"/>
      <c r="BR230" s="34" t="s">
        <v>165</v>
      </c>
      <c r="BS230" s="34">
        <v>4.02212020169344E+18</v>
      </c>
      <c r="BT230" s="34" t="s">
        <v>164</v>
      </c>
      <c r="BU230" s="34" t="s">
        <v>362</v>
      </c>
      <c r="BV230" s="34">
        <v>2020</v>
      </c>
      <c r="BW230" s="34" t="s">
        <v>163</v>
      </c>
      <c r="BX230" s="34"/>
      <c r="BY230" s="34">
        <v>4.0324202017135099E+18</v>
      </c>
      <c r="BZ230" s="34" t="s">
        <v>1336</v>
      </c>
      <c r="CA230" s="34" t="s">
        <v>161</v>
      </c>
    </row>
    <row r="231" spans="1:79" x14ac:dyDescent="0.25">
      <c r="A231" s="34" t="s">
        <v>374</v>
      </c>
      <c r="B231" s="34" t="s">
        <v>287</v>
      </c>
      <c r="C231" s="34">
        <v>2020</v>
      </c>
      <c r="D231" s="34" t="s">
        <v>793</v>
      </c>
      <c r="E231" s="34">
        <v>2.0200221920164701E+17</v>
      </c>
      <c r="F231" s="34" t="s">
        <v>182</v>
      </c>
      <c r="G231" s="34" t="s">
        <v>1337</v>
      </c>
      <c r="H231" s="34">
        <v>1385527</v>
      </c>
      <c r="I231" s="34"/>
      <c r="J231" s="34" t="s">
        <v>180</v>
      </c>
      <c r="K231" s="34" t="s">
        <v>179</v>
      </c>
      <c r="L231" s="34"/>
      <c r="M231" s="34"/>
      <c r="N231" s="34" t="s">
        <v>905</v>
      </c>
      <c r="O231" s="34" t="s">
        <v>297</v>
      </c>
      <c r="P231" s="34"/>
      <c r="Q231" s="34" t="s">
        <v>296</v>
      </c>
      <c r="R231" s="34" t="s">
        <v>906</v>
      </c>
      <c r="S231" s="34"/>
      <c r="T231" s="34" t="s">
        <v>907</v>
      </c>
      <c r="U231" s="34"/>
      <c r="V231" s="34" t="s">
        <v>949</v>
      </c>
      <c r="W231" s="34"/>
      <c r="X231" s="34" t="s">
        <v>909</v>
      </c>
      <c r="Y231" s="34" t="s">
        <v>47</v>
      </c>
      <c r="Z231" s="34">
        <v>2142</v>
      </c>
      <c r="AA231" s="34" t="s">
        <v>393</v>
      </c>
      <c r="AB231" s="34" t="s">
        <v>393</v>
      </c>
      <c r="AC231" s="34"/>
      <c r="AD231" s="34"/>
      <c r="AE231" s="34"/>
      <c r="AF231" s="34" t="s">
        <v>364</v>
      </c>
      <c r="AG231" s="34"/>
      <c r="AH231" s="34"/>
      <c r="AI231" s="34">
        <v>43843</v>
      </c>
      <c r="AJ231" s="34">
        <v>5</v>
      </c>
      <c r="AK231" s="34">
        <v>46</v>
      </c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 t="s">
        <v>50</v>
      </c>
      <c r="BL231" s="34" t="s">
        <v>167</v>
      </c>
      <c r="BM231" s="34" t="s">
        <v>166</v>
      </c>
      <c r="BN231" s="34">
        <v>43915.298600497685</v>
      </c>
      <c r="BO231" s="34"/>
      <c r="BP231" s="34"/>
      <c r="BQ231" s="34"/>
      <c r="BR231" s="34" t="s">
        <v>165</v>
      </c>
      <c r="BS231" s="34">
        <v>4.02212020169344E+18</v>
      </c>
      <c r="BT231" s="34" t="s">
        <v>164</v>
      </c>
      <c r="BU231" s="34" t="s">
        <v>362</v>
      </c>
      <c r="BV231" s="34">
        <v>2020</v>
      </c>
      <c r="BW231" s="34" t="s">
        <v>163</v>
      </c>
      <c r="BX231" s="34"/>
      <c r="BY231" s="34">
        <v>4.0324202017135099E+18</v>
      </c>
      <c r="BZ231" s="34" t="s">
        <v>1338</v>
      </c>
      <c r="CA231" s="34" t="s">
        <v>161</v>
      </c>
    </row>
    <row r="232" spans="1:79" x14ac:dyDescent="0.25">
      <c r="A232" s="34" t="s">
        <v>374</v>
      </c>
      <c r="B232" s="34" t="s">
        <v>287</v>
      </c>
      <c r="C232" s="34">
        <v>2020</v>
      </c>
      <c r="D232" s="34" t="s">
        <v>793</v>
      </c>
      <c r="E232" s="34">
        <v>2.0200221920164701E+17</v>
      </c>
      <c r="F232" s="34" t="s">
        <v>182</v>
      </c>
      <c r="G232" s="34" t="s">
        <v>1339</v>
      </c>
      <c r="H232" s="34">
        <v>1385527</v>
      </c>
      <c r="I232" s="34"/>
      <c r="J232" s="34" t="s">
        <v>180</v>
      </c>
      <c r="K232" s="34" t="s">
        <v>179</v>
      </c>
      <c r="L232" s="34"/>
      <c r="M232" s="34"/>
      <c r="N232" s="34" t="s">
        <v>905</v>
      </c>
      <c r="O232" s="34" t="s">
        <v>297</v>
      </c>
      <c r="P232" s="34"/>
      <c r="Q232" s="34" t="s">
        <v>296</v>
      </c>
      <c r="R232" s="34" t="s">
        <v>906</v>
      </c>
      <c r="S232" s="34"/>
      <c r="T232" s="34" t="s">
        <v>907</v>
      </c>
      <c r="U232" s="34"/>
      <c r="V232" s="34" t="s">
        <v>949</v>
      </c>
      <c r="W232" s="34"/>
      <c r="X232" s="34" t="s">
        <v>909</v>
      </c>
      <c r="Y232" s="34" t="s">
        <v>47</v>
      </c>
      <c r="Z232" s="34">
        <v>2142</v>
      </c>
      <c r="AA232" s="34" t="s">
        <v>393</v>
      </c>
      <c r="AB232" s="34" t="s">
        <v>393</v>
      </c>
      <c r="AC232" s="34"/>
      <c r="AD232" s="34"/>
      <c r="AE232" s="34"/>
      <c r="AF232" s="34" t="s">
        <v>377</v>
      </c>
      <c r="AG232" s="34"/>
      <c r="AH232" s="34"/>
      <c r="AI232" s="34">
        <v>43853</v>
      </c>
      <c r="AJ232" s="34">
        <v>50</v>
      </c>
      <c r="AK232" s="34">
        <v>100</v>
      </c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 t="s">
        <v>50</v>
      </c>
      <c r="BL232" s="34" t="s">
        <v>167</v>
      </c>
      <c r="BM232" s="34" t="s">
        <v>166</v>
      </c>
      <c r="BN232" s="34">
        <v>43915.298600497685</v>
      </c>
      <c r="BO232" s="34"/>
      <c r="BP232" s="34"/>
      <c r="BQ232" s="34"/>
      <c r="BR232" s="34" t="s">
        <v>165</v>
      </c>
      <c r="BS232" s="34">
        <v>4.02212020169344E+18</v>
      </c>
      <c r="BT232" s="34" t="s">
        <v>164</v>
      </c>
      <c r="BU232" s="34" t="s">
        <v>1253</v>
      </c>
      <c r="BV232" s="34">
        <v>2020</v>
      </c>
      <c r="BW232" s="34" t="s">
        <v>163</v>
      </c>
      <c r="BX232" s="34"/>
      <c r="BY232" s="34">
        <v>4.0324202017135099E+18</v>
      </c>
      <c r="BZ232" s="34" t="s">
        <v>1340</v>
      </c>
      <c r="CA232" s="34" t="s">
        <v>161</v>
      </c>
    </row>
    <row r="233" spans="1:79" x14ac:dyDescent="0.25">
      <c r="A233" s="34" t="s">
        <v>374</v>
      </c>
      <c r="B233" s="34" t="s">
        <v>287</v>
      </c>
      <c r="C233" s="34">
        <v>2020</v>
      </c>
      <c r="D233" s="34" t="s">
        <v>793</v>
      </c>
      <c r="E233" s="34">
        <v>2.0200221920164701E+17</v>
      </c>
      <c r="F233" s="34" t="s">
        <v>182</v>
      </c>
      <c r="G233" s="34" t="s">
        <v>1341</v>
      </c>
      <c r="H233" s="34">
        <v>1385527</v>
      </c>
      <c r="I233" s="34"/>
      <c r="J233" s="34" t="s">
        <v>180</v>
      </c>
      <c r="K233" s="34" t="s">
        <v>179</v>
      </c>
      <c r="L233" s="34"/>
      <c r="M233" s="34"/>
      <c r="N233" s="34" t="s">
        <v>905</v>
      </c>
      <c r="O233" s="34" t="s">
        <v>297</v>
      </c>
      <c r="P233" s="34"/>
      <c r="Q233" s="34" t="s">
        <v>296</v>
      </c>
      <c r="R233" s="34" t="s">
        <v>906</v>
      </c>
      <c r="S233" s="34"/>
      <c r="T233" s="34" t="s">
        <v>907</v>
      </c>
      <c r="U233" s="34"/>
      <c r="V233" s="34" t="s">
        <v>949</v>
      </c>
      <c r="W233" s="34"/>
      <c r="X233" s="34" t="s">
        <v>909</v>
      </c>
      <c r="Y233" s="34" t="s">
        <v>47</v>
      </c>
      <c r="Z233" s="34">
        <v>2142</v>
      </c>
      <c r="AA233" s="34" t="s">
        <v>393</v>
      </c>
      <c r="AB233" s="34" t="s">
        <v>393</v>
      </c>
      <c r="AC233" s="34"/>
      <c r="AD233" s="34"/>
      <c r="AE233" s="34"/>
      <c r="AF233" s="34" t="s">
        <v>377</v>
      </c>
      <c r="AG233" s="34"/>
      <c r="AH233" s="34"/>
      <c r="AI233" s="34">
        <v>43854</v>
      </c>
      <c r="AJ233" s="34">
        <v>50</v>
      </c>
      <c r="AK233" s="34">
        <v>100</v>
      </c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 t="s">
        <v>50</v>
      </c>
      <c r="BL233" s="34" t="s">
        <v>167</v>
      </c>
      <c r="BM233" s="34" t="s">
        <v>166</v>
      </c>
      <c r="BN233" s="34">
        <v>43915.298600509261</v>
      </c>
      <c r="BO233" s="34"/>
      <c r="BP233" s="34"/>
      <c r="BQ233" s="34"/>
      <c r="BR233" s="34" t="s">
        <v>165</v>
      </c>
      <c r="BS233" s="34">
        <v>4.02212020169344E+18</v>
      </c>
      <c r="BT233" s="34" t="s">
        <v>164</v>
      </c>
      <c r="BU233" s="34" t="s">
        <v>1291</v>
      </c>
      <c r="BV233" s="34">
        <v>2020</v>
      </c>
      <c r="BW233" s="34" t="s">
        <v>163</v>
      </c>
      <c r="BX233" s="34"/>
      <c r="BY233" s="34">
        <v>4.0324202017135099E+18</v>
      </c>
      <c r="BZ233" s="34" t="s">
        <v>1342</v>
      </c>
      <c r="CA233" s="34" t="s">
        <v>161</v>
      </c>
    </row>
    <row r="234" spans="1:79" x14ac:dyDescent="0.25">
      <c r="A234" s="34" t="s">
        <v>374</v>
      </c>
      <c r="B234" s="34" t="s">
        <v>287</v>
      </c>
      <c r="C234" s="34">
        <v>2020</v>
      </c>
      <c r="D234" s="34" t="s">
        <v>793</v>
      </c>
      <c r="E234" s="34">
        <v>2.0200221920164701E+17</v>
      </c>
      <c r="F234" s="34" t="s">
        <v>182</v>
      </c>
      <c r="G234" s="34" t="s">
        <v>1343</v>
      </c>
      <c r="H234" s="34">
        <v>1385527</v>
      </c>
      <c r="I234" s="34"/>
      <c r="J234" s="34" t="s">
        <v>180</v>
      </c>
      <c r="K234" s="34" t="s">
        <v>179</v>
      </c>
      <c r="L234" s="34"/>
      <c r="M234" s="34"/>
      <c r="N234" s="34" t="s">
        <v>905</v>
      </c>
      <c r="O234" s="34" t="s">
        <v>297</v>
      </c>
      <c r="P234" s="34"/>
      <c r="Q234" s="34" t="s">
        <v>296</v>
      </c>
      <c r="R234" s="34" t="s">
        <v>906</v>
      </c>
      <c r="S234" s="34"/>
      <c r="T234" s="34" t="s">
        <v>907</v>
      </c>
      <c r="U234" s="34"/>
      <c r="V234" s="34" t="s">
        <v>949</v>
      </c>
      <c r="W234" s="34"/>
      <c r="X234" s="34" t="s">
        <v>909</v>
      </c>
      <c r="Y234" s="34" t="s">
        <v>47</v>
      </c>
      <c r="Z234" s="34">
        <v>2142</v>
      </c>
      <c r="AA234" s="34" t="s">
        <v>393</v>
      </c>
      <c r="AB234" s="34" t="s">
        <v>393</v>
      </c>
      <c r="AC234" s="34"/>
      <c r="AD234" s="34"/>
      <c r="AE234" s="34"/>
      <c r="AF234" s="34" t="s">
        <v>377</v>
      </c>
      <c r="AG234" s="34"/>
      <c r="AH234" s="34"/>
      <c r="AI234" s="34">
        <v>43835</v>
      </c>
      <c r="AJ234" s="34">
        <v>25</v>
      </c>
      <c r="AK234" s="34">
        <v>75</v>
      </c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 t="s">
        <v>50</v>
      </c>
      <c r="BL234" s="34" t="s">
        <v>167</v>
      </c>
      <c r="BM234" s="34" t="s">
        <v>166</v>
      </c>
      <c r="BN234" s="34">
        <v>43915.312792395831</v>
      </c>
      <c r="BO234" s="34"/>
      <c r="BP234" s="34"/>
      <c r="BQ234" s="34"/>
      <c r="BR234" s="34" t="s">
        <v>165</v>
      </c>
      <c r="BS234" s="34">
        <v>4.02212020169344E+18</v>
      </c>
      <c r="BT234" s="34" t="s">
        <v>164</v>
      </c>
      <c r="BU234" s="34" t="s">
        <v>1099</v>
      </c>
      <c r="BV234" s="34">
        <v>2020</v>
      </c>
      <c r="BW234" s="34" t="s">
        <v>163</v>
      </c>
      <c r="BX234" s="34"/>
      <c r="BY234" s="34">
        <v>4.0324202017135099E+18</v>
      </c>
      <c r="BZ234" s="34" t="s">
        <v>1325</v>
      </c>
      <c r="CA234" s="34" t="s">
        <v>161</v>
      </c>
    </row>
    <row r="235" spans="1:79" x14ac:dyDescent="0.25">
      <c r="A235" s="34" t="s">
        <v>374</v>
      </c>
      <c r="B235" s="34" t="s">
        <v>287</v>
      </c>
      <c r="C235" s="34">
        <v>2020</v>
      </c>
      <c r="D235" s="34" t="s">
        <v>793</v>
      </c>
      <c r="E235" s="34">
        <v>2.0200221920164701E+17</v>
      </c>
      <c r="F235" s="34" t="s">
        <v>182</v>
      </c>
      <c r="G235" s="34" t="s">
        <v>1344</v>
      </c>
      <c r="H235" s="34">
        <v>1385527</v>
      </c>
      <c r="I235" s="34"/>
      <c r="J235" s="34" t="s">
        <v>180</v>
      </c>
      <c r="K235" s="34" t="s">
        <v>179</v>
      </c>
      <c r="L235" s="34"/>
      <c r="M235" s="34"/>
      <c r="N235" s="34" t="s">
        <v>905</v>
      </c>
      <c r="O235" s="34" t="s">
        <v>297</v>
      </c>
      <c r="P235" s="34"/>
      <c r="Q235" s="34" t="s">
        <v>296</v>
      </c>
      <c r="R235" s="34" t="s">
        <v>906</v>
      </c>
      <c r="S235" s="34"/>
      <c r="T235" s="34" t="s">
        <v>907</v>
      </c>
      <c r="U235" s="34"/>
      <c r="V235" s="34" t="s">
        <v>949</v>
      </c>
      <c r="W235" s="34"/>
      <c r="X235" s="34" t="s">
        <v>909</v>
      </c>
      <c r="Y235" s="34" t="s">
        <v>47</v>
      </c>
      <c r="Z235" s="34">
        <v>2142</v>
      </c>
      <c r="AA235" s="34" t="s">
        <v>393</v>
      </c>
      <c r="AB235" s="34" t="s">
        <v>393</v>
      </c>
      <c r="AC235" s="34"/>
      <c r="AD235" s="34"/>
      <c r="AE235" s="34"/>
      <c r="AF235" s="34" t="s">
        <v>364</v>
      </c>
      <c r="AG235" s="34"/>
      <c r="AH235" s="34"/>
      <c r="AI235" s="34">
        <v>43845</v>
      </c>
      <c r="AJ235" s="34">
        <v>5</v>
      </c>
      <c r="AK235" s="34">
        <v>46</v>
      </c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 t="s">
        <v>50</v>
      </c>
      <c r="BL235" s="34" t="s">
        <v>167</v>
      </c>
      <c r="BM235" s="34" t="s">
        <v>166</v>
      </c>
      <c r="BN235" s="34">
        <v>43915.312792395831</v>
      </c>
      <c r="BO235" s="34"/>
      <c r="BP235" s="34"/>
      <c r="BQ235" s="34"/>
      <c r="BR235" s="34" t="s">
        <v>165</v>
      </c>
      <c r="BS235" s="34">
        <v>4.02212020169344E+18</v>
      </c>
      <c r="BT235" s="34" t="s">
        <v>164</v>
      </c>
      <c r="BU235" s="34" t="s">
        <v>362</v>
      </c>
      <c r="BV235" s="34">
        <v>2020</v>
      </c>
      <c r="BW235" s="34" t="s">
        <v>163</v>
      </c>
      <c r="BX235" s="34"/>
      <c r="BY235" s="34">
        <v>4.0324202017135099E+18</v>
      </c>
      <c r="BZ235" s="34" t="s">
        <v>1345</v>
      </c>
      <c r="CA235" s="34" t="s">
        <v>161</v>
      </c>
    </row>
    <row r="236" spans="1:79" x14ac:dyDescent="0.25">
      <c r="A236" s="34" t="s">
        <v>374</v>
      </c>
      <c r="B236" s="34" t="s">
        <v>287</v>
      </c>
      <c r="C236" s="34">
        <v>2020</v>
      </c>
      <c r="D236" s="34" t="s">
        <v>793</v>
      </c>
      <c r="E236" s="34">
        <v>2.0200221920164701E+17</v>
      </c>
      <c r="F236" s="34" t="s">
        <v>182</v>
      </c>
      <c r="G236" s="34" t="s">
        <v>1346</v>
      </c>
      <c r="H236" s="34">
        <v>1385527</v>
      </c>
      <c r="I236" s="34"/>
      <c r="J236" s="34" t="s">
        <v>180</v>
      </c>
      <c r="K236" s="34" t="s">
        <v>179</v>
      </c>
      <c r="L236" s="34"/>
      <c r="M236" s="34"/>
      <c r="N236" s="34" t="s">
        <v>905</v>
      </c>
      <c r="O236" s="34" t="s">
        <v>297</v>
      </c>
      <c r="P236" s="34"/>
      <c r="Q236" s="34" t="s">
        <v>296</v>
      </c>
      <c r="R236" s="34" t="s">
        <v>906</v>
      </c>
      <c r="S236" s="34"/>
      <c r="T236" s="34" t="s">
        <v>907</v>
      </c>
      <c r="U236" s="34"/>
      <c r="V236" s="34" t="s">
        <v>949</v>
      </c>
      <c r="W236" s="34"/>
      <c r="X236" s="34" t="s">
        <v>909</v>
      </c>
      <c r="Y236" s="34" t="s">
        <v>47</v>
      </c>
      <c r="Z236" s="34">
        <v>2142</v>
      </c>
      <c r="AA236" s="34" t="s">
        <v>393</v>
      </c>
      <c r="AB236" s="34" t="s">
        <v>393</v>
      </c>
      <c r="AC236" s="34"/>
      <c r="AD236" s="34"/>
      <c r="AE236" s="34"/>
      <c r="AF236" s="34" t="s">
        <v>364</v>
      </c>
      <c r="AG236" s="34"/>
      <c r="AH236" s="34"/>
      <c r="AI236" s="34">
        <v>43845</v>
      </c>
      <c r="AJ236" s="34">
        <v>1</v>
      </c>
      <c r="AK236" s="34">
        <v>46</v>
      </c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 t="s">
        <v>50</v>
      </c>
      <c r="BL236" s="34" t="s">
        <v>167</v>
      </c>
      <c r="BM236" s="34" t="s">
        <v>166</v>
      </c>
      <c r="BN236" s="34">
        <v>43915.312792395831</v>
      </c>
      <c r="BO236" s="34"/>
      <c r="BP236" s="34"/>
      <c r="BQ236" s="34"/>
      <c r="BR236" s="34" t="s">
        <v>165</v>
      </c>
      <c r="BS236" s="34">
        <v>4.02212020169344E+18</v>
      </c>
      <c r="BT236" s="34" t="s">
        <v>164</v>
      </c>
      <c r="BU236" s="34" t="s">
        <v>362</v>
      </c>
      <c r="BV236" s="34">
        <v>2020</v>
      </c>
      <c r="BW236" s="34" t="s">
        <v>163</v>
      </c>
      <c r="BX236" s="34"/>
      <c r="BY236" s="34">
        <v>4.0324202017135099E+18</v>
      </c>
      <c r="BZ236" s="34" t="s">
        <v>1345</v>
      </c>
      <c r="CA236" s="34" t="s">
        <v>161</v>
      </c>
    </row>
    <row r="237" spans="1:79" x14ac:dyDescent="0.25">
      <c r="A237" s="34" t="s">
        <v>374</v>
      </c>
      <c r="B237" s="34" t="s">
        <v>287</v>
      </c>
      <c r="C237" s="34">
        <v>2020</v>
      </c>
      <c r="D237" s="34" t="s">
        <v>793</v>
      </c>
      <c r="E237" s="34">
        <v>2.0200221920164701E+17</v>
      </c>
      <c r="F237" s="34" t="s">
        <v>182</v>
      </c>
      <c r="G237" s="34" t="s">
        <v>1347</v>
      </c>
      <c r="H237" s="34">
        <v>1385527</v>
      </c>
      <c r="I237" s="34"/>
      <c r="J237" s="34" t="s">
        <v>180</v>
      </c>
      <c r="K237" s="34" t="s">
        <v>179</v>
      </c>
      <c r="L237" s="34"/>
      <c r="M237" s="34"/>
      <c r="N237" s="34" t="s">
        <v>905</v>
      </c>
      <c r="O237" s="34" t="s">
        <v>297</v>
      </c>
      <c r="P237" s="34"/>
      <c r="Q237" s="34" t="s">
        <v>296</v>
      </c>
      <c r="R237" s="34" t="s">
        <v>906</v>
      </c>
      <c r="S237" s="34"/>
      <c r="T237" s="34" t="s">
        <v>907</v>
      </c>
      <c r="U237" s="34"/>
      <c r="V237" s="34" t="s">
        <v>949</v>
      </c>
      <c r="W237" s="34"/>
      <c r="X237" s="34" t="s">
        <v>909</v>
      </c>
      <c r="Y237" s="34" t="s">
        <v>47</v>
      </c>
      <c r="Z237" s="34">
        <v>2142</v>
      </c>
      <c r="AA237" s="34" t="s">
        <v>393</v>
      </c>
      <c r="AB237" s="34" t="s">
        <v>393</v>
      </c>
      <c r="AC237" s="34"/>
      <c r="AD237" s="34"/>
      <c r="AE237" s="34"/>
      <c r="AF237" s="34" t="s">
        <v>364</v>
      </c>
      <c r="AG237" s="34"/>
      <c r="AH237" s="34"/>
      <c r="AI237" s="34">
        <v>43854</v>
      </c>
      <c r="AJ237" s="34">
        <v>5</v>
      </c>
      <c r="AK237" s="34">
        <v>46</v>
      </c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 t="s">
        <v>50</v>
      </c>
      <c r="BL237" s="34" t="s">
        <v>167</v>
      </c>
      <c r="BM237" s="34" t="s">
        <v>166</v>
      </c>
      <c r="BN237" s="34">
        <v>43915.312792395831</v>
      </c>
      <c r="BO237" s="34"/>
      <c r="BP237" s="34"/>
      <c r="BQ237" s="34"/>
      <c r="BR237" s="34" t="s">
        <v>165</v>
      </c>
      <c r="BS237" s="34">
        <v>4.02212020169344E+18</v>
      </c>
      <c r="BT237" s="34" t="s">
        <v>164</v>
      </c>
      <c r="BU237" s="34" t="s">
        <v>362</v>
      </c>
      <c r="BV237" s="34">
        <v>2020</v>
      </c>
      <c r="BW237" s="34" t="s">
        <v>163</v>
      </c>
      <c r="BX237" s="34"/>
      <c r="BY237" s="34">
        <v>4.0324202017135099E+18</v>
      </c>
      <c r="BZ237" s="34" t="s">
        <v>1342</v>
      </c>
      <c r="CA237" s="34" t="s">
        <v>161</v>
      </c>
    </row>
    <row r="238" spans="1:79" x14ac:dyDescent="0.25">
      <c r="A238" s="34" t="s">
        <v>374</v>
      </c>
      <c r="B238" s="34" t="s">
        <v>287</v>
      </c>
      <c r="C238" s="34">
        <v>2020</v>
      </c>
      <c r="D238" s="34" t="s">
        <v>793</v>
      </c>
      <c r="E238" s="34">
        <v>2.0200221920164701E+17</v>
      </c>
      <c r="F238" s="34" t="s">
        <v>182</v>
      </c>
      <c r="G238" s="34" t="s">
        <v>1348</v>
      </c>
      <c r="H238" s="34">
        <v>1385527</v>
      </c>
      <c r="I238" s="34"/>
      <c r="J238" s="34" t="s">
        <v>180</v>
      </c>
      <c r="K238" s="34" t="s">
        <v>179</v>
      </c>
      <c r="L238" s="34"/>
      <c r="M238" s="34"/>
      <c r="N238" s="34" t="s">
        <v>905</v>
      </c>
      <c r="O238" s="34" t="s">
        <v>297</v>
      </c>
      <c r="P238" s="34"/>
      <c r="Q238" s="34" t="s">
        <v>296</v>
      </c>
      <c r="R238" s="34" t="s">
        <v>906</v>
      </c>
      <c r="S238" s="34"/>
      <c r="T238" s="34" t="s">
        <v>907</v>
      </c>
      <c r="U238" s="34"/>
      <c r="V238" s="34" t="s">
        <v>949</v>
      </c>
      <c r="W238" s="34"/>
      <c r="X238" s="34" t="s">
        <v>909</v>
      </c>
      <c r="Y238" s="34" t="s">
        <v>47</v>
      </c>
      <c r="Z238" s="34">
        <v>2142</v>
      </c>
      <c r="AA238" s="34" t="s">
        <v>393</v>
      </c>
      <c r="AB238" s="34" t="s">
        <v>393</v>
      </c>
      <c r="AC238" s="34"/>
      <c r="AD238" s="34"/>
      <c r="AE238" s="34"/>
      <c r="AF238" s="34" t="s">
        <v>377</v>
      </c>
      <c r="AG238" s="34"/>
      <c r="AH238" s="34"/>
      <c r="AI238" s="34">
        <v>43845</v>
      </c>
      <c r="AJ238" s="34">
        <v>10</v>
      </c>
      <c r="AK238" s="34">
        <v>10</v>
      </c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 t="s">
        <v>50</v>
      </c>
      <c r="BL238" s="34" t="s">
        <v>167</v>
      </c>
      <c r="BM238" s="34" t="s">
        <v>166</v>
      </c>
      <c r="BN238" s="34">
        <v>43915.318905509259</v>
      </c>
      <c r="BO238" s="34"/>
      <c r="BP238" s="34"/>
      <c r="BQ238" s="34"/>
      <c r="BR238" s="34" t="s">
        <v>165</v>
      </c>
      <c r="BS238" s="34">
        <v>4.02212020169344E+18</v>
      </c>
      <c r="BT238" s="34" t="s">
        <v>164</v>
      </c>
      <c r="BU238" s="34" t="s">
        <v>1115</v>
      </c>
      <c r="BV238" s="34">
        <v>2020</v>
      </c>
      <c r="BW238" s="34" t="s">
        <v>163</v>
      </c>
      <c r="BX238" s="34"/>
      <c r="BY238" s="34">
        <v>4.0324202017135099E+18</v>
      </c>
      <c r="BZ238" s="34" t="s">
        <v>1349</v>
      </c>
      <c r="CA238" s="34" t="s">
        <v>161</v>
      </c>
    </row>
    <row r="239" spans="1:79" x14ac:dyDescent="0.25">
      <c r="A239" s="34" t="s">
        <v>374</v>
      </c>
      <c r="B239" s="34" t="s">
        <v>287</v>
      </c>
      <c r="C239" s="34">
        <v>2020</v>
      </c>
      <c r="D239" s="34" t="s">
        <v>793</v>
      </c>
      <c r="E239" s="34">
        <v>2.0200221920164701E+17</v>
      </c>
      <c r="F239" s="34" t="s">
        <v>182</v>
      </c>
      <c r="G239" s="34" t="s">
        <v>1350</v>
      </c>
      <c r="H239" s="34">
        <v>1385527</v>
      </c>
      <c r="I239" s="34"/>
      <c r="J239" s="34" t="s">
        <v>180</v>
      </c>
      <c r="K239" s="34" t="s">
        <v>179</v>
      </c>
      <c r="L239" s="34"/>
      <c r="M239" s="34"/>
      <c r="N239" s="34" t="s">
        <v>905</v>
      </c>
      <c r="O239" s="34" t="s">
        <v>297</v>
      </c>
      <c r="P239" s="34"/>
      <c r="Q239" s="34" t="s">
        <v>296</v>
      </c>
      <c r="R239" s="34" t="s">
        <v>906</v>
      </c>
      <c r="S239" s="34"/>
      <c r="T239" s="34" t="s">
        <v>907</v>
      </c>
      <c r="U239" s="34"/>
      <c r="V239" s="34" t="s">
        <v>949</v>
      </c>
      <c r="W239" s="34"/>
      <c r="X239" s="34" t="s">
        <v>909</v>
      </c>
      <c r="Y239" s="34" t="s">
        <v>47</v>
      </c>
      <c r="Z239" s="34">
        <v>2142</v>
      </c>
      <c r="AA239" s="34" t="s">
        <v>393</v>
      </c>
      <c r="AB239" s="34" t="s">
        <v>393</v>
      </c>
      <c r="AC239" s="34"/>
      <c r="AD239" s="34"/>
      <c r="AE239" s="34"/>
      <c r="AF239" s="34" t="s">
        <v>364</v>
      </c>
      <c r="AG239" s="34"/>
      <c r="AH239" s="34"/>
      <c r="AI239" s="34">
        <v>43855</v>
      </c>
      <c r="AJ239" s="34">
        <v>5</v>
      </c>
      <c r="AK239" s="34">
        <v>46</v>
      </c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 t="s">
        <v>50</v>
      </c>
      <c r="BL239" s="34" t="s">
        <v>167</v>
      </c>
      <c r="BM239" s="34" t="s">
        <v>166</v>
      </c>
      <c r="BN239" s="34">
        <v>43915.318905509259</v>
      </c>
      <c r="BO239" s="34"/>
      <c r="BP239" s="34"/>
      <c r="BQ239" s="34"/>
      <c r="BR239" s="34" t="s">
        <v>165</v>
      </c>
      <c r="BS239" s="34">
        <v>4.02212020169344E+18</v>
      </c>
      <c r="BT239" s="34" t="s">
        <v>164</v>
      </c>
      <c r="BU239" s="34" t="s">
        <v>362</v>
      </c>
      <c r="BV239" s="34">
        <v>2020</v>
      </c>
      <c r="BW239" s="34" t="s">
        <v>163</v>
      </c>
      <c r="BX239" s="34"/>
      <c r="BY239" s="34">
        <v>4.0324202017135099E+18</v>
      </c>
      <c r="BZ239" s="34" t="s">
        <v>1351</v>
      </c>
      <c r="CA239" s="34" t="s">
        <v>161</v>
      </c>
    </row>
    <row r="240" spans="1:79" x14ac:dyDescent="0.25">
      <c r="A240" s="34" t="s">
        <v>374</v>
      </c>
      <c r="B240" s="34" t="s">
        <v>287</v>
      </c>
      <c r="C240" s="34">
        <v>2020</v>
      </c>
      <c r="D240" s="34" t="s">
        <v>793</v>
      </c>
      <c r="E240" s="34">
        <v>2.0200221920164701E+17</v>
      </c>
      <c r="F240" s="34" t="s">
        <v>182</v>
      </c>
      <c r="G240" s="34" t="s">
        <v>1352</v>
      </c>
      <c r="H240" s="34">
        <v>1385527</v>
      </c>
      <c r="I240" s="34"/>
      <c r="J240" s="34" t="s">
        <v>180</v>
      </c>
      <c r="K240" s="34" t="s">
        <v>179</v>
      </c>
      <c r="L240" s="34"/>
      <c r="M240" s="34"/>
      <c r="N240" s="34" t="s">
        <v>905</v>
      </c>
      <c r="O240" s="34" t="s">
        <v>297</v>
      </c>
      <c r="P240" s="34"/>
      <c r="Q240" s="34" t="s">
        <v>296</v>
      </c>
      <c r="R240" s="34" t="s">
        <v>906</v>
      </c>
      <c r="S240" s="34"/>
      <c r="T240" s="34" t="s">
        <v>907</v>
      </c>
      <c r="U240" s="34"/>
      <c r="V240" s="34" t="s">
        <v>949</v>
      </c>
      <c r="W240" s="34"/>
      <c r="X240" s="34" t="s">
        <v>909</v>
      </c>
      <c r="Y240" s="34" t="s">
        <v>47</v>
      </c>
      <c r="Z240" s="34">
        <v>2142</v>
      </c>
      <c r="AA240" s="34" t="s">
        <v>393</v>
      </c>
      <c r="AB240" s="34" t="s">
        <v>393</v>
      </c>
      <c r="AC240" s="34"/>
      <c r="AD240" s="34"/>
      <c r="AE240" s="34"/>
      <c r="AF240" s="34" t="s">
        <v>377</v>
      </c>
      <c r="AG240" s="34"/>
      <c r="AH240" s="34"/>
      <c r="AI240" s="34">
        <v>43855</v>
      </c>
      <c r="AJ240" s="34">
        <v>50</v>
      </c>
      <c r="AK240" s="34">
        <v>100</v>
      </c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 t="s">
        <v>50</v>
      </c>
      <c r="BL240" s="34" t="s">
        <v>167</v>
      </c>
      <c r="BM240" s="34" t="s">
        <v>166</v>
      </c>
      <c r="BN240" s="34">
        <v>43915.318905532411</v>
      </c>
      <c r="BO240" s="34"/>
      <c r="BP240" s="34"/>
      <c r="BQ240" s="34"/>
      <c r="BR240" s="34" t="s">
        <v>165</v>
      </c>
      <c r="BS240" s="34">
        <v>4.02212020169344E+18</v>
      </c>
      <c r="BT240" s="34" t="s">
        <v>164</v>
      </c>
      <c r="BU240" s="34" t="s">
        <v>1253</v>
      </c>
      <c r="BV240" s="34">
        <v>2020</v>
      </c>
      <c r="BW240" s="34" t="s">
        <v>163</v>
      </c>
      <c r="BX240" s="34"/>
      <c r="BY240" s="34">
        <v>4.0324202017135099E+18</v>
      </c>
      <c r="BZ240" s="34" t="s">
        <v>1351</v>
      </c>
      <c r="CA240" s="34" t="s">
        <v>161</v>
      </c>
    </row>
    <row r="241" spans="1:79" x14ac:dyDescent="0.25">
      <c r="A241" s="34" t="s">
        <v>374</v>
      </c>
      <c r="B241" s="34" t="s">
        <v>287</v>
      </c>
      <c r="C241" s="34">
        <v>2020</v>
      </c>
      <c r="D241" s="34" t="s">
        <v>793</v>
      </c>
      <c r="E241" s="34">
        <v>2.0200221920164701E+17</v>
      </c>
      <c r="F241" s="34" t="s">
        <v>182</v>
      </c>
      <c r="G241" s="34" t="s">
        <v>1353</v>
      </c>
      <c r="H241" s="34">
        <v>1385527</v>
      </c>
      <c r="I241" s="34"/>
      <c r="J241" s="34" t="s">
        <v>180</v>
      </c>
      <c r="K241" s="34" t="s">
        <v>179</v>
      </c>
      <c r="L241" s="34"/>
      <c r="M241" s="34"/>
      <c r="N241" s="34" t="s">
        <v>905</v>
      </c>
      <c r="O241" s="34" t="s">
        <v>297</v>
      </c>
      <c r="P241" s="34"/>
      <c r="Q241" s="34" t="s">
        <v>296</v>
      </c>
      <c r="R241" s="34" t="s">
        <v>906</v>
      </c>
      <c r="S241" s="34"/>
      <c r="T241" s="34" t="s">
        <v>907</v>
      </c>
      <c r="U241" s="34"/>
      <c r="V241" s="34" t="s">
        <v>949</v>
      </c>
      <c r="W241" s="34"/>
      <c r="X241" s="34" t="s">
        <v>909</v>
      </c>
      <c r="Y241" s="34" t="s">
        <v>47</v>
      </c>
      <c r="Z241" s="34">
        <v>2142</v>
      </c>
      <c r="AA241" s="34" t="s">
        <v>393</v>
      </c>
      <c r="AB241" s="34" t="s">
        <v>393</v>
      </c>
      <c r="AC241" s="34"/>
      <c r="AD241" s="34"/>
      <c r="AE241" s="34"/>
      <c r="AF241" s="34" t="s">
        <v>377</v>
      </c>
      <c r="AG241" s="34"/>
      <c r="AH241" s="34"/>
      <c r="AI241" s="34">
        <v>43861</v>
      </c>
      <c r="AJ241" s="34">
        <v>50</v>
      </c>
      <c r="AK241" s="34">
        <v>75</v>
      </c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 t="s">
        <v>50</v>
      </c>
      <c r="BL241" s="34" t="s">
        <v>167</v>
      </c>
      <c r="BM241" s="34" t="s">
        <v>166</v>
      </c>
      <c r="BN241" s="34">
        <v>43915.318905532411</v>
      </c>
      <c r="BO241" s="34"/>
      <c r="BP241" s="34"/>
      <c r="BQ241" s="34"/>
      <c r="BR241" s="34" t="s">
        <v>165</v>
      </c>
      <c r="BS241" s="34">
        <v>4.02212020169344E+18</v>
      </c>
      <c r="BT241" s="34" t="s">
        <v>164</v>
      </c>
      <c r="BU241" s="34" t="s">
        <v>1119</v>
      </c>
      <c r="BV241" s="34">
        <v>2020</v>
      </c>
      <c r="BW241" s="34" t="s">
        <v>163</v>
      </c>
      <c r="BX241" s="34"/>
      <c r="BY241" s="34">
        <v>4.0324202017135099E+18</v>
      </c>
      <c r="BZ241" s="34" t="s">
        <v>1354</v>
      </c>
      <c r="CA241" s="34" t="s">
        <v>161</v>
      </c>
    </row>
    <row r="242" spans="1:79" x14ac:dyDescent="0.25">
      <c r="A242" s="34" t="s">
        <v>374</v>
      </c>
      <c r="B242" s="34" t="s">
        <v>287</v>
      </c>
      <c r="C242" s="34">
        <v>2020</v>
      </c>
      <c r="D242" s="34" t="s">
        <v>793</v>
      </c>
      <c r="E242" s="34">
        <v>2.0200221920164701E+17</v>
      </c>
      <c r="F242" s="34" t="s">
        <v>182</v>
      </c>
      <c r="G242" s="34" t="s">
        <v>1355</v>
      </c>
      <c r="H242" s="34">
        <v>1385527</v>
      </c>
      <c r="I242" s="34"/>
      <c r="J242" s="34" t="s">
        <v>180</v>
      </c>
      <c r="K242" s="34" t="s">
        <v>179</v>
      </c>
      <c r="L242" s="34"/>
      <c r="M242" s="34"/>
      <c r="N242" s="34" t="s">
        <v>905</v>
      </c>
      <c r="O242" s="34" t="s">
        <v>297</v>
      </c>
      <c r="P242" s="34"/>
      <c r="Q242" s="34" t="s">
        <v>296</v>
      </c>
      <c r="R242" s="34" t="s">
        <v>906</v>
      </c>
      <c r="S242" s="34"/>
      <c r="T242" s="34" t="s">
        <v>907</v>
      </c>
      <c r="U242" s="34"/>
      <c r="V242" s="34" t="s">
        <v>949</v>
      </c>
      <c r="W242" s="34"/>
      <c r="X242" s="34" t="s">
        <v>909</v>
      </c>
      <c r="Y242" s="34" t="s">
        <v>47</v>
      </c>
      <c r="Z242" s="34">
        <v>2142</v>
      </c>
      <c r="AA242" s="34" t="s">
        <v>393</v>
      </c>
      <c r="AB242" s="34" t="s">
        <v>393</v>
      </c>
      <c r="AC242" s="34"/>
      <c r="AD242" s="34"/>
      <c r="AE242" s="34"/>
      <c r="AF242" s="34" t="s">
        <v>377</v>
      </c>
      <c r="AG242" s="34"/>
      <c r="AH242" s="34"/>
      <c r="AI242" s="34">
        <v>43845</v>
      </c>
      <c r="AJ242" s="34">
        <v>50</v>
      </c>
      <c r="AK242" s="34">
        <v>50</v>
      </c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 t="s">
        <v>50</v>
      </c>
      <c r="BL242" s="34" t="s">
        <v>167</v>
      </c>
      <c r="BM242" s="34" t="s">
        <v>166</v>
      </c>
      <c r="BN242" s="34">
        <v>43915.318905509259</v>
      </c>
      <c r="BO242" s="34"/>
      <c r="BP242" s="34"/>
      <c r="BQ242" s="34"/>
      <c r="BR242" s="34" t="s">
        <v>165</v>
      </c>
      <c r="BS242" s="34">
        <v>4.02212020169344E+18</v>
      </c>
      <c r="BT242" s="34" t="s">
        <v>164</v>
      </c>
      <c r="BU242" s="34" t="s">
        <v>974</v>
      </c>
      <c r="BV242" s="34">
        <v>2020</v>
      </c>
      <c r="BW242" s="34" t="s">
        <v>163</v>
      </c>
      <c r="BX242" s="34"/>
      <c r="BY242" s="34">
        <v>4.0324202017135099E+18</v>
      </c>
      <c r="BZ242" s="34" t="s">
        <v>1349</v>
      </c>
      <c r="CA242" s="34" t="s">
        <v>161</v>
      </c>
    </row>
    <row r="243" spans="1:79" x14ac:dyDescent="0.25">
      <c r="A243" s="34" t="s">
        <v>374</v>
      </c>
      <c r="B243" s="34" t="s">
        <v>287</v>
      </c>
      <c r="C243" s="34">
        <v>2020</v>
      </c>
      <c r="D243" s="34" t="s">
        <v>793</v>
      </c>
      <c r="E243" s="34">
        <v>2.0200221920164701E+17</v>
      </c>
      <c r="F243" s="34" t="s">
        <v>182</v>
      </c>
      <c r="G243" s="34" t="s">
        <v>1356</v>
      </c>
      <c r="H243" s="34">
        <v>1385527</v>
      </c>
      <c r="I243" s="34"/>
      <c r="J243" s="34" t="s">
        <v>180</v>
      </c>
      <c r="K243" s="34" t="s">
        <v>179</v>
      </c>
      <c r="L243" s="34"/>
      <c r="M243" s="34"/>
      <c r="N243" s="34" t="s">
        <v>905</v>
      </c>
      <c r="O243" s="34" t="s">
        <v>297</v>
      </c>
      <c r="P243" s="34"/>
      <c r="Q243" s="34" t="s">
        <v>296</v>
      </c>
      <c r="R243" s="34" t="s">
        <v>906</v>
      </c>
      <c r="S243" s="34"/>
      <c r="T243" s="34" t="s">
        <v>907</v>
      </c>
      <c r="U243" s="34"/>
      <c r="V243" s="34" t="s">
        <v>949</v>
      </c>
      <c r="W243" s="34"/>
      <c r="X243" s="34" t="s">
        <v>909</v>
      </c>
      <c r="Y243" s="34" t="s">
        <v>47</v>
      </c>
      <c r="Z243" s="34">
        <v>2142</v>
      </c>
      <c r="AA243" s="34" t="s">
        <v>393</v>
      </c>
      <c r="AB243" s="34" t="s">
        <v>393</v>
      </c>
      <c r="AC243" s="34"/>
      <c r="AD243" s="34"/>
      <c r="AE243" s="34"/>
      <c r="AF243" s="34" t="s">
        <v>364</v>
      </c>
      <c r="AG243" s="34"/>
      <c r="AH243" s="34"/>
      <c r="AI243" s="34">
        <v>43835</v>
      </c>
      <c r="AJ243" s="34">
        <v>2.5</v>
      </c>
      <c r="AK243" s="34">
        <v>46</v>
      </c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 t="s">
        <v>50</v>
      </c>
      <c r="BL243" s="34" t="s">
        <v>167</v>
      </c>
      <c r="BM243" s="34" t="s">
        <v>166</v>
      </c>
      <c r="BN243" s="34">
        <v>43915.330598298613</v>
      </c>
      <c r="BO243" s="34"/>
      <c r="BP243" s="34"/>
      <c r="BQ243" s="34"/>
      <c r="BR243" s="34" t="s">
        <v>165</v>
      </c>
      <c r="BS243" s="34">
        <v>4.02212020169344E+18</v>
      </c>
      <c r="BT243" s="34" t="s">
        <v>164</v>
      </c>
      <c r="BU243" s="34" t="s">
        <v>362</v>
      </c>
      <c r="BV243" s="34">
        <v>2020</v>
      </c>
      <c r="BW243" s="34" t="s">
        <v>163</v>
      </c>
      <c r="BX243" s="34"/>
      <c r="BY243" s="34">
        <v>4.0324202017135099E+18</v>
      </c>
      <c r="BZ243" s="34" t="s">
        <v>1325</v>
      </c>
      <c r="CA243" s="34" t="s">
        <v>161</v>
      </c>
    </row>
    <row r="244" spans="1:79" x14ac:dyDescent="0.25">
      <c r="A244" s="34" t="s">
        <v>374</v>
      </c>
      <c r="B244" s="34" t="s">
        <v>287</v>
      </c>
      <c r="C244" s="34">
        <v>2020</v>
      </c>
      <c r="D244" s="34" t="s">
        <v>793</v>
      </c>
      <c r="E244" s="34">
        <v>2.0200221920164701E+17</v>
      </c>
      <c r="F244" s="34" t="s">
        <v>182</v>
      </c>
      <c r="G244" s="34" t="s">
        <v>1357</v>
      </c>
      <c r="H244" s="34">
        <v>1385527</v>
      </c>
      <c r="I244" s="34"/>
      <c r="J244" s="34" t="s">
        <v>180</v>
      </c>
      <c r="K244" s="34" t="s">
        <v>179</v>
      </c>
      <c r="L244" s="34"/>
      <c r="M244" s="34"/>
      <c r="N244" s="34" t="s">
        <v>905</v>
      </c>
      <c r="O244" s="34" t="s">
        <v>297</v>
      </c>
      <c r="P244" s="34"/>
      <c r="Q244" s="34" t="s">
        <v>296</v>
      </c>
      <c r="R244" s="34" t="s">
        <v>906</v>
      </c>
      <c r="S244" s="34"/>
      <c r="T244" s="34" t="s">
        <v>907</v>
      </c>
      <c r="U244" s="34"/>
      <c r="V244" s="34" t="s">
        <v>949</v>
      </c>
      <c r="W244" s="34"/>
      <c r="X244" s="34" t="s">
        <v>909</v>
      </c>
      <c r="Y244" s="34" t="s">
        <v>47</v>
      </c>
      <c r="Z244" s="34">
        <v>2142</v>
      </c>
      <c r="AA244" s="34" t="s">
        <v>393</v>
      </c>
      <c r="AB244" s="34" t="s">
        <v>393</v>
      </c>
      <c r="AC244" s="34"/>
      <c r="AD244" s="34"/>
      <c r="AE244" s="34"/>
      <c r="AF244" s="34" t="s">
        <v>377</v>
      </c>
      <c r="AG244" s="34"/>
      <c r="AH244" s="34"/>
      <c r="AI244" s="34">
        <v>43853</v>
      </c>
      <c r="AJ244" s="34">
        <v>50</v>
      </c>
      <c r="AK244" s="34">
        <v>50</v>
      </c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 t="s">
        <v>50</v>
      </c>
      <c r="BL244" s="34" t="s">
        <v>167</v>
      </c>
      <c r="BM244" s="34" t="s">
        <v>166</v>
      </c>
      <c r="BN244" s="34">
        <v>43915.330598298613</v>
      </c>
      <c r="BO244" s="34"/>
      <c r="BP244" s="34"/>
      <c r="BQ244" s="34"/>
      <c r="BR244" s="34" t="s">
        <v>165</v>
      </c>
      <c r="BS244" s="34">
        <v>4.02212020169344E+18</v>
      </c>
      <c r="BT244" s="34" t="s">
        <v>164</v>
      </c>
      <c r="BU244" s="34" t="s">
        <v>1358</v>
      </c>
      <c r="BV244" s="34">
        <v>2020</v>
      </c>
      <c r="BW244" s="34" t="s">
        <v>163</v>
      </c>
      <c r="BX244" s="34"/>
      <c r="BY244" s="34">
        <v>4.0324202017135099E+18</v>
      </c>
      <c r="BZ244" s="34" t="s">
        <v>1340</v>
      </c>
      <c r="CA244" s="34" t="s">
        <v>161</v>
      </c>
    </row>
    <row r="245" spans="1:79" x14ac:dyDescent="0.25">
      <c r="A245" s="34" t="s">
        <v>374</v>
      </c>
      <c r="B245" s="34" t="s">
        <v>287</v>
      </c>
      <c r="C245" s="34">
        <v>2020</v>
      </c>
      <c r="D245" s="34" t="s">
        <v>197</v>
      </c>
      <c r="E245" s="34">
        <v>2.0200320921284E+17</v>
      </c>
      <c r="F245" s="34" t="s">
        <v>182</v>
      </c>
      <c r="G245" s="34" t="s">
        <v>1359</v>
      </c>
      <c r="H245" s="34">
        <v>1391686</v>
      </c>
      <c r="I245" s="34"/>
      <c r="J245" s="34" t="s">
        <v>180</v>
      </c>
      <c r="K245" s="34" t="s">
        <v>179</v>
      </c>
      <c r="L245" s="34"/>
      <c r="M245" s="34"/>
      <c r="N245" s="34" t="s">
        <v>905</v>
      </c>
      <c r="O245" s="34" t="s">
        <v>297</v>
      </c>
      <c r="P245" s="34"/>
      <c r="Q245" s="34" t="s">
        <v>296</v>
      </c>
      <c r="R245" s="34" t="s">
        <v>906</v>
      </c>
      <c r="S245" s="34"/>
      <c r="T245" s="34" t="s">
        <v>907</v>
      </c>
      <c r="U245" s="34"/>
      <c r="V245" s="34" t="s">
        <v>949</v>
      </c>
      <c r="W245" s="34"/>
      <c r="X245" s="34" t="s">
        <v>909</v>
      </c>
      <c r="Y245" s="34" t="s">
        <v>47</v>
      </c>
      <c r="Z245" s="34">
        <v>2142</v>
      </c>
      <c r="AA245" s="34" t="s">
        <v>393</v>
      </c>
      <c r="AB245" s="34" t="s">
        <v>393</v>
      </c>
      <c r="AC245" s="34"/>
      <c r="AD245" s="34"/>
      <c r="AE245" s="34"/>
      <c r="AF245" s="34" t="s">
        <v>364</v>
      </c>
      <c r="AG245" s="34"/>
      <c r="AH245" s="34"/>
      <c r="AI245" s="34">
        <v>43874</v>
      </c>
      <c r="AJ245" s="34">
        <v>5</v>
      </c>
      <c r="AK245" s="34">
        <v>143.30000000000001</v>
      </c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 t="s">
        <v>50</v>
      </c>
      <c r="BL245" s="34" t="s">
        <v>167</v>
      </c>
      <c r="BM245" s="34" t="s">
        <v>166</v>
      </c>
      <c r="BN245" s="34">
        <v>43924.407502094909</v>
      </c>
      <c r="BO245" s="34"/>
      <c r="BP245" s="34"/>
      <c r="BQ245" s="34"/>
      <c r="BR245" s="34" t="s">
        <v>165</v>
      </c>
      <c r="BS245" s="34">
        <v>4.0323202017043999E+18</v>
      </c>
      <c r="BT245" s="34" t="s">
        <v>164</v>
      </c>
      <c r="BU245" s="34" t="s">
        <v>362</v>
      </c>
      <c r="BV245" s="34">
        <v>2020</v>
      </c>
      <c r="BW245" s="34" t="s">
        <v>163</v>
      </c>
      <c r="BX245" s="34"/>
      <c r="BY245" s="34">
        <v>4.04022020173361E+18</v>
      </c>
      <c r="BZ245" s="34" t="s">
        <v>1360</v>
      </c>
      <c r="CA245" s="34" t="s">
        <v>161</v>
      </c>
    </row>
    <row r="246" spans="1:79" x14ac:dyDescent="0.25">
      <c r="A246" s="34" t="s">
        <v>374</v>
      </c>
      <c r="B246" s="34" t="s">
        <v>287</v>
      </c>
      <c r="C246" s="34">
        <v>2020</v>
      </c>
      <c r="D246" s="34" t="s">
        <v>197</v>
      </c>
      <c r="E246" s="34">
        <v>2.0200320921284E+17</v>
      </c>
      <c r="F246" s="34" t="s">
        <v>182</v>
      </c>
      <c r="G246" s="34" t="s">
        <v>1361</v>
      </c>
      <c r="H246" s="34">
        <v>1391686</v>
      </c>
      <c r="I246" s="34"/>
      <c r="J246" s="34" t="s">
        <v>180</v>
      </c>
      <c r="K246" s="34" t="s">
        <v>179</v>
      </c>
      <c r="L246" s="34"/>
      <c r="M246" s="34"/>
      <c r="N246" s="34" t="s">
        <v>905</v>
      </c>
      <c r="O246" s="34" t="s">
        <v>297</v>
      </c>
      <c r="P246" s="34"/>
      <c r="Q246" s="34" t="s">
        <v>296</v>
      </c>
      <c r="R246" s="34" t="s">
        <v>906</v>
      </c>
      <c r="S246" s="34"/>
      <c r="T246" s="34" t="s">
        <v>907</v>
      </c>
      <c r="U246" s="34"/>
      <c r="V246" s="34" t="s">
        <v>949</v>
      </c>
      <c r="W246" s="34"/>
      <c r="X246" s="34" t="s">
        <v>909</v>
      </c>
      <c r="Y246" s="34" t="s">
        <v>47</v>
      </c>
      <c r="Z246" s="34">
        <v>2142</v>
      </c>
      <c r="AA246" s="34" t="s">
        <v>393</v>
      </c>
      <c r="AB246" s="34" t="s">
        <v>393</v>
      </c>
      <c r="AC246" s="34"/>
      <c r="AD246" s="34"/>
      <c r="AE246" s="34"/>
      <c r="AF246" s="34" t="s">
        <v>377</v>
      </c>
      <c r="AG246" s="34"/>
      <c r="AH246" s="34"/>
      <c r="AI246" s="34">
        <v>43879</v>
      </c>
      <c r="AJ246" s="34">
        <v>50</v>
      </c>
      <c r="AK246" s="34">
        <v>150</v>
      </c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 t="s">
        <v>50</v>
      </c>
      <c r="BL246" s="34" t="s">
        <v>167</v>
      </c>
      <c r="BM246" s="34" t="s">
        <v>166</v>
      </c>
      <c r="BN246" s="34">
        <v>43924.424729027778</v>
      </c>
      <c r="BO246" s="34"/>
      <c r="BP246" s="34"/>
      <c r="BQ246" s="34"/>
      <c r="BR246" s="34" t="s">
        <v>165</v>
      </c>
      <c r="BS246" s="34">
        <v>4.0323202017043999E+18</v>
      </c>
      <c r="BT246" s="34" t="s">
        <v>164</v>
      </c>
      <c r="BU246" s="34" t="s">
        <v>1291</v>
      </c>
      <c r="BV246" s="34">
        <v>2020</v>
      </c>
      <c r="BW246" s="34" t="s">
        <v>163</v>
      </c>
      <c r="BX246" s="34"/>
      <c r="BY246" s="34">
        <v>4.04022020173361E+18</v>
      </c>
      <c r="BZ246" s="34" t="s">
        <v>1362</v>
      </c>
      <c r="CA246" s="34" t="s">
        <v>161</v>
      </c>
    </row>
    <row r="247" spans="1:79" x14ac:dyDescent="0.25">
      <c r="A247" s="34" t="s">
        <v>374</v>
      </c>
      <c r="B247" s="34" t="s">
        <v>287</v>
      </c>
      <c r="C247" s="34">
        <v>2020</v>
      </c>
      <c r="D247" s="34" t="s">
        <v>197</v>
      </c>
      <c r="E247" s="34">
        <v>2.0200320921284E+17</v>
      </c>
      <c r="F247" s="34" t="s">
        <v>182</v>
      </c>
      <c r="G247" s="34" t="s">
        <v>1363</v>
      </c>
      <c r="H247" s="34">
        <v>1391686</v>
      </c>
      <c r="I247" s="34"/>
      <c r="J247" s="34" t="s">
        <v>180</v>
      </c>
      <c r="K247" s="34" t="s">
        <v>179</v>
      </c>
      <c r="L247" s="34"/>
      <c r="M247" s="34"/>
      <c r="N247" s="34" t="s">
        <v>905</v>
      </c>
      <c r="O247" s="34" t="s">
        <v>297</v>
      </c>
      <c r="P247" s="34"/>
      <c r="Q247" s="34" t="s">
        <v>296</v>
      </c>
      <c r="R247" s="34" t="s">
        <v>906</v>
      </c>
      <c r="S247" s="34"/>
      <c r="T247" s="34" t="s">
        <v>907</v>
      </c>
      <c r="U247" s="34"/>
      <c r="V247" s="34" t="s">
        <v>949</v>
      </c>
      <c r="W247" s="34"/>
      <c r="X247" s="34" t="s">
        <v>909</v>
      </c>
      <c r="Y247" s="34" t="s">
        <v>47</v>
      </c>
      <c r="Z247" s="34">
        <v>2142</v>
      </c>
      <c r="AA247" s="34" t="s">
        <v>393</v>
      </c>
      <c r="AB247" s="34" t="s">
        <v>393</v>
      </c>
      <c r="AC247" s="34"/>
      <c r="AD247" s="34"/>
      <c r="AE247" s="34"/>
      <c r="AF247" s="34" t="s">
        <v>377</v>
      </c>
      <c r="AG247" s="34"/>
      <c r="AH247" s="34"/>
      <c r="AI247" s="34">
        <v>43887</v>
      </c>
      <c r="AJ247" s="34">
        <v>50</v>
      </c>
      <c r="AK247" s="34">
        <v>50</v>
      </c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 t="s">
        <v>50</v>
      </c>
      <c r="BL247" s="34" t="s">
        <v>167</v>
      </c>
      <c r="BM247" s="34" t="s">
        <v>166</v>
      </c>
      <c r="BN247" s="34">
        <v>43924.424729050923</v>
      </c>
      <c r="BO247" s="34"/>
      <c r="BP247" s="34"/>
      <c r="BQ247" s="34"/>
      <c r="BR247" s="34" t="s">
        <v>165</v>
      </c>
      <c r="BS247" s="34">
        <v>4.0323202017043999E+18</v>
      </c>
      <c r="BT247" s="34" t="s">
        <v>164</v>
      </c>
      <c r="BU247" s="34" t="s">
        <v>1364</v>
      </c>
      <c r="BV247" s="34">
        <v>2020</v>
      </c>
      <c r="BW247" s="34" t="s">
        <v>163</v>
      </c>
      <c r="BX247" s="34"/>
      <c r="BY247" s="34">
        <v>4.04022020173361E+18</v>
      </c>
      <c r="BZ247" s="34" t="s">
        <v>1365</v>
      </c>
      <c r="CA247" s="34" t="s">
        <v>161</v>
      </c>
    </row>
    <row r="248" spans="1:79" x14ac:dyDescent="0.25">
      <c r="A248" s="34" t="s">
        <v>374</v>
      </c>
      <c r="B248" s="34" t="s">
        <v>287</v>
      </c>
      <c r="C248" s="34">
        <v>2020</v>
      </c>
      <c r="D248" s="34" t="s">
        <v>197</v>
      </c>
      <c r="E248" s="34">
        <v>2.0200320921284E+17</v>
      </c>
      <c r="F248" s="34" t="s">
        <v>182</v>
      </c>
      <c r="G248" s="34" t="s">
        <v>1366</v>
      </c>
      <c r="H248" s="34">
        <v>1391686</v>
      </c>
      <c r="I248" s="34"/>
      <c r="J248" s="34" t="s">
        <v>180</v>
      </c>
      <c r="K248" s="34" t="s">
        <v>179</v>
      </c>
      <c r="L248" s="34"/>
      <c r="M248" s="34"/>
      <c r="N248" s="34" t="s">
        <v>905</v>
      </c>
      <c r="O248" s="34" t="s">
        <v>297</v>
      </c>
      <c r="P248" s="34"/>
      <c r="Q248" s="34" t="s">
        <v>296</v>
      </c>
      <c r="R248" s="34" t="s">
        <v>906</v>
      </c>
      <c r="S248" s="34"/>
      <c r="T248" s="34" t="s">
        <v>907</v>
      </c>
      <c r="U248" s="34"/>
      <c r="V248" s="34" t="s">
        <v>949</v>
      </c>
      <c r="W248" s="34"/>
      <c r="X248" s="34" t="s">
        <v>909</v>
      </c>
      <c r="Y248" s="34" t="s">
        <v>47</v>
      </c>
      <c r="Z248" s="34">
        <v>2142</v>
      </c>
      <c r="AA248" s="34" t="s">
        <v>393</v>
      </c>
      <c r="AB248" s="34" t="s">
        <v>393</v>
      </c>
      <c r="AC248" s="34"/>
      <c r="AD248" s="34"/>
      <c r="AE248" s="34"/>
      <c r="AF248" s="34" t="s">
        <v>377</v>
      </c>
      <c r="AG248" s="34"/>
      <c r="AH248" s="34"/>
      <c r="AI248" s="34">
        <v>43867</v>
      </c>
      <c r="AJ248" s="34">
        <v>50</v>
      </c>
      <c r="AK248" s="34">
        <v>184.5</v>
      </c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 t="s">
        <v>50</v>
      </c>
      <c r="BL248" s="34" t="s">
        <v>167</v>
      </c>
      <c r="BM248" s="34" t="s">
        <v>166</v>
      </c>
      <c r="BN248" s="34">
        <v>43924.429614791668</v>
      </c>
      <c r="BO248" s="34"/>
      <c r="BP248" s="34"/>
      <c r="BQ248" s="34"/>
      <c r="BR248" s="34" t="s">
        <v>165</v>
      </c>
      <c r="BS248" s="34">
        <v>4.0323202017043999E+18</v>
      </c>
      <c r="BT248" s="34" t="s">
        <v>164</v>
      </c>
      <c r="BU248" s="34" t="s">
        <v>1253</v>
      </c>
      <c r="BV248" s="34">
        <v>2020</v>
      </c>
      <c r="BW248" s="34" t="s">
        <v>163</v>
      </c>
      <c r="BX248" s="34"/>
      <c r="BY248" s="34">
        <v>4.04022020173361E+18</v>
      </c>
      <c r="BZ248" s="34" t="s">
        <v>1367</v>
      </c>
      <c r="CA248" s="34" t="s">
        <v>161</v>
      </c>
    </row>
    <row r="249" spans="1:79" x14ac:dyDescent="0.25">
      <c r="A249" s="34" t="s">
        <v>374</v>
      </c>
      <c r="B249" s="34" t="s">
        <v>287</v>
      </c>
      <c r="C249" s="34">
        <v>2020</v>
      </c>
      <c r="D249" s="34" t="s">
        <v>197</v>
      </c>
      <c r="E249" s="34">
        <v>2.0200320921284E+17</v>
      </c>
      <c r="F249" s="34" t="s">
        <v>182</v>
      </c>
      <c r="G249" s="34" t="s">
        <v>1368</v>
      </c>
      <c r="H249" s="34">
        <v>1391686</v>
      </c>
      <c r="I249" s="34"/>
      <c r="J249" s="34" t="s">
        <v>180</v>
      </c>
      <c r="K249" s="34" t="s">
        <v>179</v>
      </c>
      <c r="L249" s="34"/>
      <c r="M249" s="34"/>
      <c r="N249" s="34" t="s">
        <v>905</v>
      </c>
      <c r="O249" s="34" t="s">
        <v>297</v>
      </c>
      <c r="P249" s="34"/>
      <c r="Q249" s="34" t="s">
        <v>296</v>
      </c>
      <c r="R249" s="34" t="s">
        <v>906</v>
      </c>
      <c r="S249" s="34"/>
      <c r="T249" s="34" t="s">
        <v>907</v>
      </c>
      <c r="U249" s="34"/>
      <c r="V249" s="34" t="s">
        <v>949</v>
      </c>
      <c r="W249" s="34"/>
      <c r="X249" s="34" t="s">
        <v>909</v>
      </c>
      <c r="Y249" s="34" t="s">
        <v>47</v>
      </c>
      <c r="Z249" s="34">
        <v>2142</v>
      </c>
      <c r="AA249" s="34" t="s">
        <v>393</v>
      </c>
      <c r="AB249" s="34" t="s">
        <v>393</v>
      </c>
      <c r="AC249" s="34"/>
      <c r="AD249" s="34"/>
      <c r="AE249" s="34"/>
      <c r="AF249" s="34" t="s">
        <v>364</v>
      </c>
      <c r="AG249" s="34"/>
      <c r="AH249" s="34"/>
      <c r="AI249" s="34">
        <v>43887</v>
      </c>
      <c r="AJ249" s="34">
        <v>5</v>
      </c>
      <c r="AK249" s="34">
        <v>143.30000000000001</v>
      </c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 t="s">
        <v>50</v>
      </c>
      <c r="BL249" s="34" t="s">
        <v>167</v>
      </c>
      <c r="BM249" s="34" t="s">
        <v>166</v>
      </c>
      <c r="BN249" s="34">
        <v>43924.443886851848</v>
      </c>
      <c r="BO249" s="34"/>
      <c r="BP249" s="34"/>
      <c r="BQ249" s="34"/>
      <c r="BR249" s="34" t="s">
        <v>165</v>
      </c>
      <c r="BS249" s="34">
        <v>4.0323202017043999E+18</v>
      </c>
      <c r="BT249" s="34" t="s">
        <v>164</v>
      </c>
      <c r="BU249" s="34" t="s">
        <v>362</v>
      </c>
      <c r="BV249" s="34">
        <v>2020</v>
      </c>
      <c r="BW249" s="34" t="s">
        <v>163</v>
      </c>
      <c r="BX249" s="34"/>
      <c r="BY249" s="34">
        <v>4.04022020173361E+18</v>
      </c>
      <c r="BZ249" s="34" t="s">
        <v>1369</v>
      </c>
      <c r="CA249" s="34" t="s">
        <v>161</v>
      </c>
    </row>
    <row r="250" spans="1:79" x14ac:dyDescent="0.25">
      <c r="A250" s="34" t="s">
        <v>374</v>
      </c>
      <c r="B250" s="34" t="s">
        <v>287</v>
      </c>
      <c r="C250" s="34">
        <v>2020</v>
      </c>
      <c r="D250" s="34" t="s">
        <v>197</v>
      </c>
      <c r="E250" s="34">
        <v>2.0200320921284E+17</v>
      </c>
      <c r="F250" s="34" t="s">
        <v>182</v>
      </c>
      <c r="G250" s="34" t="s">
        <v>1370</v>
      </c>
      <c r="H250" s="34">
        <v>1391686</v>
      </c>
      <c r="I250" s="34"/>
      <c r="J250" s="34" t="s">
        <v>180</v>
      </c>
      <c r="K250" s="34" t="s">
        <v>179</v>
      </c>
      <c r="L250" s="34"/>
      <c r="M250" s="34"/>
      <c r="N250" s="34" t="s">
        <v>905</v>
      </c>
      <c r="O250" s="34" t="s">
        <v>297</v>
      </c>
      <c r="P250" s="34"/>
      <c r="Q250" s="34" t="s">
        <v>296</v>
      </c>
      <c r="R250" s="34" t="s">
        <v>906</v>
      </c>
      <c r="S250" s="34"/>
      <c r="T250" s="34" t="s">
        <v>907</v>
      </c>
      <c r="U250" s="34"/>
      <c r="V250" s="34" t="s">
        <v>949</v>
      </c>
      <c r="W250" s="34"/>
      <c r="X250" s="34" t="s">
        <v>909</v>
      </c>
      <c r="Y250" s="34" t="s">
        <v>47</v>
      </c>
      <c r="Z250" s="34">
        <v>2142</v>
      </c>
      <c r="AA250" s="34" t="s">
        <v>393</v>
      </c>
      <c r="AB250" s="34" t="s">
        <v>393</v>
      </c>
      <c r="AC250" s="34"/>
      <c r="AD250" s="34"/>
      <c r="AE250" s="34"/>
      <c r="AF250" s="34" t="s">
        <v>377</v>
      </c>
      <c r="AG250" s="34"/>
      <c r="AH250" s="34"/>
      <c r="AI250" s="34">
        <v>43881</v>
      </c>
      <c r="AJ250" s="34">
        <v>50</v>
      </c>
      <c r="AK250" s="34">
        <v>100</v>
      </c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 t="s">
        <v>50</v>
      </c>
      <c r="BL250" s="34" t="s">
        <v>167</v>
      </c>
      <c r="BM250" s="34" t="s">
        <v>166</v>
      </c>
      <c r="BN250" s="34">
        <v>43924.443886851848</v>
      </c>
      <c r="BO250" s="34"/>
      <c r="BP250" s="34"/>
      <c r="BQ250" s="34"/>
      <c r="BR250" s="34" t="s">
        <v>165</v>
      </c>
      <c r="BS250" s="34">
        <v>4.0323202017043999E+18</v>
      </c>
      <c r="BT250" s="34" t="s">
        <v>164</v>
      </c>
      <c r="BU250" s="34" t="s">
        <v>1371</v>
      </c>
      <c r="BV250" s="34">
        <v>2020</v>
      </c>
      <c r="BW250" s="34" t="s">
        <v>163</v>
      </c>
      <c r="BX250" s="34"/>
      <c r="BY250" s="34">
        <v>4.04022020173361E+18</v>
      </c>
      <c r="BZ250" s="34" t="s">
        <v>1372</v>
      </c>
      <c r="CA250" s="34" t="s">
        <v>161</v>
      </c>
    </row>
    <row r="251" spans="1:79" x14ac:dyDescent="0.25">
      <c r="A251" s="34" t="s">
        <v>374</v>
      </c>
      <c r="B251" s="34" t="s">
        <v>287</v>
      </c>
      <c r="C251" s="34">
        <v>2020</v>
      </c>
      <c r="D251" s="34" t="s">
        <v>197</v>
      </c>
      <c r="E251" s="34">
        <v>2.0200320921284E+17</v>
      </c>
      <c r="F251" s="34" t="s">
        <v>182</v>
      </c>
      <c r="G251" s="34" t="s">
        <v>1373</v>
      </c>
      <c r="H251" s="34">
        <v>1391686</v>
      </c>
      <c r="I251" s="34"/>
      <c r="J251" s="34" t="s">
        <v>180</v>
      </c>
      <c r="K251" s="34" t="s">
        <v>179</v>
      </c>
      <c r="L251" s="34"/>
      <c r="M251" s="34"/>
      <c r="N251" s="34" t="s">
        <v>905</v>
      </c>
      <c r="O251" s="34" t="s">
        <v>297</v>
      </c>
      <c r="P251" s="34"/>
      <c r="Q251" s="34" t="s">
        <v>296</v>
      </c>
      <c r="R251" s="34" t="s">
        <v>906</v>
      </c>
      <c r="S251" s="34"/>
      <c r="T251" s="34" t="s">
        <v>907</v>
      </c>
      <c r="U251" s="34"/>
      <c r="V251" s="34" t="s">
        <v>949</v>
      </c>
      <c r="W251" s="34"/>
      <c r="X251" s="34" t="s">
        <v>909</v>
      </c>
      <c r="Y251" s="34" t="s">
        <v>47</v>
      </c>
      <c r="Z251" s="34">
        <v>2142</v>
      </c>
      <c r="AA251" s="34" t="s">
        <v>393</v>
      </c>
      <c r="AB251" s="34" t="s">
        <v>393</v>
      </c>
      <c r="AC251" s="34"/>
      <c r="AD251" s="34"/>
      <c r="AE251" s="34"/>
      <c r="AF251" s="34" t="s">
        <v>377</v>
      </c>
      <c r="AG251" s="34"/>
      <c r="AH251" s="34"/>
      <c r="AI251" s="34">
        <v>43887</v>
      </c>
      <c r="AJ251" s="34">
        <v>50</v>
      </c>
      <c r="AK251" s="34">
        <v>100</v>
      </c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 t="s">
        <v>50</v>
      </c>
      <c r="BL251" s="34" t="s">
        <v>167</v>
      </c>
      <c r="BM251" s="34" t="s">
        <v>166</v>
      </c>
      <c r="BN251" s="34">
        <v>43924.444106770832</v>
      </c>
      <c r="BO251" s="34"/>
      <c r="BP251" s="34"/>
      <c r="BQ251" s="34"/>
      <c r="BR251" s="34" t="s">
        <v>165</v>
      </c>
      <c r="BS251" s="34">
        <v>4.0323202017043999E+18</v>
      </c>
      <c r="BT251" s="34" t="s">
        <v>164</v>
      </c>
      <c r="BU251" s="34" t="s">
        <v>1371</v>
      </c>
      <c r="BV251" s="34">
        <v>2020</v>
      </c>
      <c r="BW251" s="34" t="s">
        <v>163</v>
      </c>
      <c r="BX251" s="34"/>
      <c r="BY251" s="34">
        <v>4.04022020173361E+18</v>
      </c>
      <c r="BZ251" s="34" t="s">
        <v>1369</v>
      </c>
      <c r="CA251" s="34" t="s">
        <v>161</v>
      </c>
    </row>
    <row r="252" spans="1:79" x14ac:dyDescent="0.25">
      <c r="A252" s="34" t="s">
        <v>374</v>
      </c>
      <c r="B252" s="34" t="s">
        <v>287</v>
      </c>
      <c r="C252" s="34">
        <v>2020</v>
      </c>
      <c r="D252" s="34" t="s">
        <v>197</v>
      </c>
      <c r="E252" s="34">
        <v>2.0200320921284E+17</v>
      </c>
      <c r="F252" s="34" t="s">
        <v>182</v>
      </c>
      <c r="G252" s="34" t="s">
        <v>1374</v>
      </c>
      <c r="H252" s="34">
        <v>1391686</v>
      </c>
      <c r="I252" s="34"/>
      <c r="J252" s="34" t="s">
        <v>180</v>
      </c>
      <c r="K252" s="34" t="s">
        <v>179</v>
      </c>
      <c r="L252" s="34" t="s">
        <v>903</v>
      </c>
      <c r="M252" s="34"/>
      <c r="N252" s="34" t="s">
        <v>905</v>
      </c>
      <c r="O252" s="34" t="s">
        <v>297</v>
      </c>
      <c r="P252" s="34"/>
      <c r="Q252" s="34" t="s">
        <v>296</v>
      </c>
      <c r="R252" s="34" t="s">
        <v>906</v>
      </c>
      <c r="S252" s="34"/>
      <c r="T252" s="34" t="s">
        <v>907</v>
      </c>
      <c r="U252" s="34"/>
      <c r="V252" s="34" t="s">
        <v>949</v>
      </c>
      <c r="W252" s="34"/>
      <c r="X252" s="34" t="s">
        <v>909</v>
      </c>
      <c r="Y252" s="34" t="s">
        <v>47</v>
      </c>
      <c r="Z252" s="34">
        <v>2142</v>
      </c>
      <c r="AA252" s="34" t="s">
        <v>393</v>
      </c>
      <c r="AB252" s="34" t="s">
        <v>393</v>
      </c>
      <c r="AC252" s="34" t="s">
        <v>903</v>
      </c>
      <c r="AD252" s="34" t="s">
        <v>383</v>
      </c>
      <c r="AE252" s="34" t="s">
        <v>382</v>
      </c>
      <c r="AF252" s="34" t="s">
        <v>377</v>
      </c>
      <c r="AG252" s="34"/>
      <c r="AH252" s="34"/>
      <c r="AI252" s="34">
        <v>43864</v>
      </c>
      <c r="AJ252" s="34">
        <v>50</v>
      </c>
      <c r="AK252" s="34">
        <v>330</v>
      </c>
      <c r="AL252" s="34" t="s">
        <v>973</v>
      </c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 t="s">
        <v>28</v>
      </c>
      <c r="BH252" s="34"/>
      <c r="BI252" s="34" t="s">
        <v>168</v>
      </c>
      <c r="BJ252" s="34"/>
      <c r="BK252" s="34" t="s">
        <v>50</v>
      </c>
      <c r="BL252" s="34" t="s">
        <v>167</v>
      </c>
      <c r="BM252" s="34" t="s">
        <v>166</v>
      </c>
      <c r="BN252" s="34">
        <v>43924.460395590278</v>
      </c>
      <c r="BO252" s="34"/>
      <c r="BP252" s="34"/>
      <c r="BQ252" s="34"/>
      <c r="BR252" s="34" t="s">
        <v>165</v>
      </c>
      <c r="BS252" s="34">
        <v>4.0323202017043999E+18</v>
      </c>
      <c r="BT252" s="34" t="s">
        <v>164</v>
      </c>
      <c r="BU252" s="34" t="s">
        <v>974</v>
      </c>
      <c r="BV252" s="34">
        <v>2020</v>
      </c>
      <c r="BW252" s="34" t="s">
        <v>163</v>
      </c>
      <c r="BX252" s="34"/>
      <c r="BY252" s="34">
        <v>4.04022020173361E+18</v>
      </c>
      <c r="BZ252" s="34" t="s">
        <v>1375</v>
      </c>
      <c r="CA252" s="34" t="s">
        <v>161</v>
      </c>
    </row>
    <row r="253" spans="1:79" x14ac:dyDescent="0.25">
      <c r="A253" s="34" t="s">
        <v>374</v>
      </c>
      <c r="B253" s="34" t="s">
        <v>287</v>
      </c>
      <c r="C253" s="34">
        <v>2020</v>
      </c>
      <c r="D253" s="34" t="s">
        <v>197</v>
      </c>
      <c r="E253" s="34">
        <v>2.0200320921284E+17</v>
      </c>
      <c r="F253" s="34" t="s">
        <v>182</v>
      </c>
      <c r="G253" s="34" t="s">
        <v>1376</v>
      </c>
      <c r="H253" s="34">
        <v>1391686</v>
      </c>
      <c r="I253" s="34"/>
      <c r="J253" s="34" t="s">
        <v>180</v>
      </c>
      <c r="K253" s="34" t="s">
        <v>179</v>
      </c>
      <c r="L253" s="34" t="s">
        <v>1025</v>
      </c>
      <c r="M253" s="34"/>
      <c r="N253" s="34" t="s">
        <v>905</v>
      </c>
      <c r="O253" s="34" t="s">
        <v>297</v>
      </c>
      <c r="P253" s="34"/>
      <c r="Q253" s="34" t="s">
        <v>296</v>
      </c>
      <c r="R253" s="34" t="s">
        <v>906</v>
      </c>
      <c r="S253" s="34"/>
      <c r="T253" s="34" t="s">
        <v>907</v>
      </c>
      <c r="U253" s="34"/>
      <c r="V253" s="34" t="s">
        <v>949</v>
      </c>
      <c r="W253" s="34"/>
      <c r="X253" s="34" t="s">
        <v>909</v>
      </c>
      <c r="Y253" s="34" t="s">
        <v>47</v>
      </c>
      <c r="Z253" s="34">
        <v>2142</v>
      </c>
      <c r="AA253" s="34" t="s">
        <v>393</v>
      </c>
      <c r="AB253" s="34" t="s">
        <v>393</v>
      </c>
      <c r="AC253" s="34" t="s">
        <v>1025</v>
      </c>
      <c r="AD253" s="34" t="s">
        <v>383</v>
      </c>
      <c r="AE253" s="34" t="s">
        <v>382</v>
      </c>
      <c r="AF253" s="34" t="s">
        <v>377</v>
      </c>
      <c r="AG253" s="34"/>
      <c r="AH253" s="34"/>
      <c r="AI253" s="34">
        <v>43874</v>
      </c>
      <c r="AJ253" s="34">
        <v>50</v>
      </c>
      <c r="AK253" s="34">
        <v>298.5</v>
      </c>
      <c r="AL253" s="34" t="s">
        <v>1098</v>
      </c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 t="s">
        <v>28</v>
      </c>
      <c r="BH253" s="34"/>
      <c r="BI253" s="34" t="s">
        <v>168</v>
      </c>
      <c r="BJ253" s="34"/>
      <c r="BK253" s="34" t="s">
        <v>50</v>
      </c>
      <c r="BL253" s="34" t="s">
        <v>167</v>
      </c>
      <c r="BM253" s="34" t="s">
        <v>166</v>
      </c>
      <c r="BN253" s="34">
        <v>43924.460395613423</v>
      </c>
      <c r="BO253" s="34"/>
      <c r="BP253" s="34"/>
      <c r="BQ253" s="34"/>
      <c r="BR253" s="34" t="s">
        <v>165</v>
      </c>
      <c r="BS253" s="34">
        <v>4.0323202017043999E+18</v>
      </c>
      <c r="BT253" s="34" t="s">
        <v>164</v>
      </c>
      <c r="BU253" s="34" t="s">
        <v>1099</v>
      </c>
      <c r="BV253" s="34">
        <v>2020</v>
      </c>
      <c r="BW253" s="34" t="s">
        <v>163</v>
      </c>
      <c r="BX253" s="34"/>
      <c r="BY253" s="34">
        <v>4.04022020173361E+18</v>
      </c>
      <c r="BZ253" s="34" t="s">
        <v>1360</v>
      </c>
      <c r="CA253" s="34" t="s">
        <v>161</v>
      </c>
    </row>
    <row r="254" spans="1:79" x14ac:dyDescent="0.25">
      <c r="A254" s="34" t="s">
        <v>374</v>
      </c>
      <c r="B254" s="34" t="s">
        <v>287</v>
      </c>
      <c r="C254" s="34">
        <v>2020</v>
      </c>
      <c r="D254" s="34" t="s">
        <v>197</v>
      </c>
      <c r="E254" s="34">
        <v>2.0200320921284E+17</v>
      </c>
      <c r="F254" s="34" t="s">
        <v>182</v>
      </c>
      <c r="G254" s="34" t="s">
        <v>1377</v>
      </c>
      <c r="H254" s="34">
        <v>1391686</v>
      </c>
      <c r="I254" s="34"/>
      <c r="J254" s="34" t="s">
        <v>180</v>
      </c>
      <c r="K254" s="34" t="s">
        <v>179</v>
      </c>
      <c r="L254" s="34"/>
      <c r="M254" s="34"/>
      <c r="N254" s="34" t="s">
        <v>905</v>
      </c>
      <c r="O254" s="34" t="s">
        <v>297</v>
      </c>
      <c r="P254" s="34"/>
      <c r="Q254" s="34" t="s">
        <v>296</v>
      </c>
      <c r="R254" s="34" t="s">
        <v>906</v>
      </c>
      <c r="S254" s="34"/>
      <c r="T254" s="34" t="s">
        <v>907</v>
      </c>
      <c r="U254" s="34"/>
      <c r="V254" s="34" t="s">
        <v>949</v>
      </c>
      <c r="W254" s="34"/>
      <c r="X254" s="34" t="s">
        <v>909</v>
      </c>
      <c r="Y254" s="34" t="s">
        <v>47</v>
      </c>
      <c r="Z254" s="34">
        <v>2142</v>
      </c>
      <c r="AA254" s="34" t="s">
        <v>393</v>
      </c>
      <c r="AB254" s="34" t="s">
        <v>393</v>
      </c>
      <c r="AC254" s="34"/>
      <c r="AD254" s="34"/>
      <c r="AE254" s="34"/>
      <c r="AF254" s="34" t="s">
        <v>364</v>
      </c>
      <c r="AG254" s="34"/>
      <c r="AH254" s="34"/>
      <c r="AI254" s="34">
        <v>43879</v>
      </c>
      <c r="AJ254" s="34">
        <v>5</v>
      </c>
      <c r="AK254" s="34">
        <v>143.30000000000001</v>
      </c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 t="s">
        <v>50</v>
      </c>
      <c r="BL254" s="34" t="s">
        <v>167</v>
      </c>
      <c r="BM254" s="34" t="s">
        <v>166</v>
      </c>
      <c r="BN254" s="34">
        <v>43924.460395613423</v>
      </c>
      <c r="BO254" s="34"/>
      <c r="BP254" s="34"/>
      <c r="BQ254" s="34"/>
      <c r="BR254" s="34" t="s">
        <v>165</v>
      </c>
      <c r="BS254" s="34">
        <v>4.0323202017043999E+18</v>
      </c>
      <c r="BT254" s="34" t="s">
        <v>164</v>
      </c>
      <c r="BU254" s="34" t="s">
        <v>362</v>
      </c>
      <c r="BV254" s="34">
        <v>2020</v>
      </c>
      <c r="BW254" s="34" t="s">
        <v>163</v>
      </c>
      <c r="BX254" s="34"/>
      <c r="BY254" s="34">
        <v>4.04022020173361E+18</v>
      </c>
      <c r="BZ254" s="34" t="s">
        <v>1362</v>
      </c>
      <c r="CA254" s="34" t="s">
        <v>161</v>
      </c>
    </row>
    <row r="255" spans="1:79" x14ac:dyDescent="0.25">
      <c r="A255" s="34" t="s">
        <v>374</v>
      </c>
      <c r="B255" s="34" t="s">
        <v>287</v>
      </c>
      <c r="C255" s="34">
        <v>2020</v>
      </c>
      <c r="D255" s="34" t="s">
        <v>197</v>
      </c>
      <c r="E255" s="34">
        <v>2.0200320921284E+17</v>
      </c>
      <c r="F255" s="34" t="s">
        <v>182</v>
      </c>
      <c r="G255" s="34" t="s">
        <v>1378</v>
      </c>
      <c r="H255" s="34">
        <v>1391686</v>
      </c>
      <c r="I255" s="34"/>
      <c r="J255" s="34" t="s">
        <v>180</v>
      </c>
      <c r="K255" s="34" t="s">
        <v>179</v>
      </c>
      <c r="L255" s="34"/>
      <c r="M255" s="34"/>
      <c r="N255" s="34" t="s">
        <v>905</v>
      </c>
      <c r="O255" s="34" t="s">
        <v>297</v>
      </c>
      <c r="P255" s="34"/>
      <c r="Q255" s="34" t="s">
        <v>296</v>
      </c>
      <c r="R255" s="34" t="s">
        <v>906</v>
      </c>
      <c r="S255" s="34"/>
      <c r="T255" s="34" t="s">
        <v>907</v>
      </c>
      <c r="U255" s="34"/>
      <c r="V255" s="34" t="s">
        <v>949</v>
      </c>
      <c r="W255" s="34"/>
      <c r="X255" s="34" t="s">
        <v>909</v>
      </c>
      <c r="Y255" s="34" t="s">
        <v>47</v>
      </c>
      <c r="Z255" s="34">
        <v>2142</v>
      </c>
      <c r="AA255" s="34" t="s">
        <v>393</v>
      </c>
      <c r="AB255" s="34" t="s">
        <v>393</v>
      </c>
      <c r="AC255" s="34"/>
      <c r="AD255" s="34"/>
      <c r="AE255" s="34"/>
      <c r="AF255" s="34" t="s">
        <v>364</v>
      </c>
      <c r="AG255" s="34"/>
      <c r="AH255" s="34"/>
      <c r="AI255" s="34">
        <v>43867</v>
      </c>
      <c r="AJ255" s="34">
        <v>2.5</v>
      </c>
      <c r="AK255" s="34">
        <v>143.30000000000001</v>
      </c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 t="s">
        <v>50</v>
      </c>
      <c r="BL255" s="34" t="s">
        <v>167</v>
      </c>
      <c r="BM255" s="34" t="s">
        <v>166</v>
      </c>
      <c r="BN255" s="34">
        <v>43924.460665266204</v>
      </c>
      <c r="BO255" s="34"/>
      <c r="BP255" s="34"/>
      <c r="BQ255" s="34"/>
      <c r="BR255" s="34" t="s">
        <v>165</v>
      </c>
      <c r="BS255" s="34">
        <v>4.0323202017043999E+18</v>
      </c>
      <c r="BT255" s="34" t="s">
        <v>164</v>
      </c>
      <c r="BU255" s="34" t="s">
        <v>362</v>
      </c>
      <c r="BV255" s="34">
        <v>2020</v>
      </c>
      <c r="BW255" s="34" t="s">
        <v>163</v>
      </c>
      <c r="BX255" s="34"/>
      <c r="BY255" s="34">
        <v>4.04022020173361E+18</v>
      </c>
      <c r="BZ255" s="34" t="s">
        <v>1379</v>
      </c>
      <c r="CA255" s="34" t="s">
        <v>161</v>
      </c>
    </row>
    <row r="256" spans="1:79" x14ac:dyDescent="0.25">
      <c r="A256" s="34" t="s">
        <v>374</v>
      </c>
      <c r="B256" s="34" t="s">
        <v>287</v>
      </c>
      <c r="C256" s="34">
        <v>2020</v>
      </c>
      <c r="D256" s="34" t="s">
        <v>197</v>
      </c>
      <c r="E256" s="34">
        <v>2.0200320921284E+17</v>
      </c>
      <c r="F256" s="34" t="s">
        <v>182</v>
      </c>
      <c r="G256" s="34" t="s">
        <v>1380</v>
      </c>
      <c r="H256" s="34">
        <v>1391686</v>
      </c>
      <c r="I256" s="34"/>
      <c r="J256" s="34" t="s">
        <v>180</v>
      </c>
      <c r="K256" s="34" t="s">
        <v>179</v>
      </c>
      <c r="L256" s="34" t="s">
        <v>903</v>
      </c>
      <c r="M256" s="34"/>
      <c r="N256" s="34" t="s">
        <v>905</v>
      </c>
      <c r="O256" s="34" t="s">
        <v>297</v>
      </c>
      <c r="P256" s="34"/>
      <c r="Q256" s="34" t="s">
        <v>296</v>
      </c>
      <c r="R256" s="34" t="s">
        <v>906</v>
      </c>
      <c r="S256" s="34"/>
      <c r="T256" s="34" t="s">
        <v>907</v>
      </c>
      <c r="U256" s="34"/>
      <c r="V256" s="34" t="s">
        <v>949</v>
      </c>
      <c r="W256" s="34"/>
      <c r="X256" s="34" t="s">
        <v>909</v>
      </c>
      <c r="Y256" s="34" t="s">
        <v>47</v>
      </c>
      <c r="Z256" s="34">
        <v>2142</v>
      </c>
      <c r="AA256" s="34" t="s">
        <v>393</v>
      </c>
      <c r="AB256" s="34" t="s">
        <v>393</v>
      </c>
      <c r="AC256" s="34" t="s">
        <v>903</v>
      </c>
      <c r="AD256" s="34" t="s">
        <v>383</v>
      </c>
      <c r="AE256" s="34" t="s">
        <v>382</v>
      </c>
      <c r="AF256" s="34" t="s">
        <v>377</v>
      </c>
      <c r="AG256" s="34"/>
      <c r="AH256" s="34"/>
      <c r="AI256" s="34">
        <v>43881</v>
      </c>
      <c r="AJ256" s="34">
        <v>100</v>
      </c>
      <c r="AK256" s="34">
        <v>330</v>
      </c>
      <c r="AL256" s="34" t="s">
        <v>973</v>
      </c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 t="s">
        <v>28</v>
      </c>
      <c r="BH256" s="34"/>
      <c r="BI256" s="34" t="s">
        <v>168</v>
      </c>
      <c r="BJ256" s="34"/>
      <c r="BK256" s="34" t="s">
        <v>50</v>
      </c>
      <c r="BL256" s="34" t="s">
        <v>167</v>
      </c>
      <c r="BM256" s="34" t="s">
        <v>166</v>
      </c>
      <c r="BN256" s="34">
        <v>43924.46066527778</v>
      </c>
      <c r="BO256" s="34"/>
      <c r="BP256" s="34"/>
      <c r="BQ256" s="34"/>
      <c r="BR256" s="34" t="s">
        <v>165</v>
      </c>
      <c r="BS256" s="34">
        <v>4.0323202017043999E+18</v>
      </c>
      <c r="BT256" s="34" t="s">
        <v>164</v>
      </c>
      <c r="BU256" s="34" t="s">
        <v>974</v>
      </c>
      <c r="BV256" s="34">
        <v>2020</v>
      </c>
      <c r="BW256" s="34" t="s">
        <v>163</v>
      </c>
      <c r="BX256" s="34"/>
      <c r="BY256" s="34">
        <v>4.04022020173361E+18</v>
      </c>
      <c r="BZ256" s="34" t="s">
        <v>1381</v>
      </c>
      <c r="CA256" s="34" t="s">
        <v>161</v>
      </c>
    </row>
    <row r="257" spans="1:79" x14ac:dyDescent="0.25">
      <c r="A257" s="34" t="s">
        <v>374</v>
      </c>
      <c r="B257" s="34" t="s">
        <v>287</v>
      </c>
      <c r="C257" s="34">
        <v>2020</v>
      </c>
      <c r="D257" s="34" t="s">
        <v>197</v>
      </c>
      <c r="E257" s="34">
        <v>2.0200320921284E+17</v>
      </c>
      <c r="F257" s="34" t="s">
        <v>182</v>
      </c>
      <c r="G257" s="34" t="s">
        <v>1382</v>
      </c>
      <c r="H257" s="34">
        <v>1391686</v>
      </c>
      <c r="I257" s="34"/>
      <c r="J257" s="34" t="s">
        <v>180</v>
      </c>
      <c r="K257" s="34" t="s">
        <v>179</v>
      </c>
      <c r="L257" s="34"/>
      <c r="M257" s="34"/>
      <c r="N257" s="34" t="s">
        <v>905</v>
      </c>
      <c r="O257" s="34" t="s">
        <v>297</v>
      </c>
      <c r="P257" s="34"/>
      <c r="Q257" s="34" t="s">
        <v>296</v>
      </c>
      <c r="R257" s="34" t="s">
        <v>906</v>
      </c>
      <c r="S257" s="34"/>
      <c r="T257" s="34" t="s">
        <v>907</v>
      </c>
      <c r="U257" s="34"/>
      <c r="V257" s="34" t="s">
        <v>949</v>
      </c>
      <c r="W257" s="34"/>
      <c r="X257" s="34" t="s">
        <v>909</v>
      </c>
      <c r="Y257" s="34" t="s">
        <v>47</v>
      </c>
      <c r="Z257" s="34">
        <v>2142</v>
      </c>
      <c r="AA257" s="34" t="s">
        <v>393</v>
      </c>
      <c r="AB257" s="34" t="s">
        <v>393</v>
      </c>
      <c r="AC257" s="34"/>
      <c r="AD257" s="34"/>
      <c r="AE257" s="34"/>
      <c r="AF257" s="34" t="s">
        <v>377</v>
      </c>
      <c r="AG257" s="34"/>
      <c r="AH257" s="34"/>
      <c r="AI257" s="34">
        <v>43881</v>
      </c>
      <c r="AJ257" s="34">
        <v>50</v>
      </c>
      <c r="AK257" s="34">
        <v>62.5</v>
      </c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 t="s">
        <v>50</v>
      </c>
      <c r="BL257" s="34" t="s">
        <v>167</v>
      </c>
      <c r="BM257" s="34" t="s">
        <v>166</v>
      </c>
      <c r="BN257" s="34">
        <v>43924.46066527778</v>
      </c>
      <c r="BO257" s="34"/>
      <c r="BP257" s="34"/>
      <c r="BQ257" s="34"/>
      <c r="BR257" s="34" t="s">
        <v>165</v>
      </c>
      <c r="BS257" s="34">
        <v>4.0323202017043999E+18</v>
      </c>
      <c r="BT257" s="34" t="s">
        <v>164</v>
      </c>
      <c r="BU257" s="34" t="s">
        <v>1383</v>
      </c>
      <c r="BV257" s="34">
        <v>2020</v>
      </c>
      <c r="BW257" s="34" t="s">
        <v>163</v>
      </c>
      <c r="BX257" s="34"/>
      <c r="BY257" s="34">
        <v>4.04022020173361E+18</v>
      </c>
      <c r="BZ257" s="34" t="s">
        <v>1381</v>
      </c>
      <c r="CA257" s="34" t="s">
        <v>161</v>
      </c>
    </row>
    <row r="258" spans="1:79" x14ac:dyDescent="0.25">
      <c r="A258" s="34" t="s">
        <v>374</v>
      </c>
      <c r="B258" s="34" t="s">
        <v>287</v>
      </c>
      <c r="C258" s="34">
        <v>2020</v>
      </c>
      <c r="D258" s="34" t="s">
        <v>197</v>
      </c>
      <c r="E258" s="34">
        <v>2.0200320921284E+17</v>
      </c>
      <c r="F258" s="34" t="s">
        <v>182</v>
      </c>
      <c r="G258" s="34" t="s">
        <v>1384</v>
      </c>
      <c r="H258" s="34">
        <v>1391686</v>
      </c>
      <c r="I258" s="34"/>
      <c r="J258" s="34" t="s">
        <v>180</v>
      </c>
      <c r="K258" s="34" t="s">
        <v>179</v>
      </c>
      <c r="L258" s="34"/>
      <c r="M258" s="34"/>
      <c r="N258" s="34" t="s">
        <v>905</v>
      </c>
      <c r="O258" s="34" t="s">
        <v>297</v>
      </c>
      <c r="P258" s="34"/>
      <c r="Q258" s="34" t="s">
        <v>296</v>
      </c>
      <c r="R258" s="34" t="s">
        <v>906</v>
      </c>
      <c r="S258" s="34"/>
      <c r="T258" s="34" t="s">
        <v>907</v>
      </c>
      <c r="U258" s="34"/>
      <c r="V258" s="34" t="s">
        <v>949</v>
      </c>
      <c r="W258" s="34"/>
      <c r="X258" s="34" t="s">
        <v>909</v>
      </c>
      <c r="Y258" s="34" t="s">
        <v>47</v>
      </c>
      <c r="Z258" s="34">
        <v>2142</v>
      </c>
      <c r="AA258" s="34" t="s">
        <v>393</v>
      </c>
      <c r="AB258" s="34" t="s">
        <v>393</v>
      </c>
      <c r="AC258" s="34"/>
      <c r="AD258" s="34"/>
      <c r="AE258" s="34"/>
      <c r="AF258" s="34" t="s">
        <v>377</v>
      </c>
      <c r="AG258" s="34"/>
      <c r="AH258" s="34"/>
      <c r="AI258" s="34">
        <v>43881</v>
      </c>
      <c r="AJ258" s="34">
        <v>25</v>
      </c>
      <c r="AK258" s="34">
        <v>37.5</v>
      </c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 t="s">
        <v>50</v>
      </c>
      <c r="BL258" s="34" t="s">
        <v>167</v>
      </c>
      <c r="BM258" s="34" t="s">
        <v>166</v>
      </c>
      <c r="BN258" s="34">
        <v>43924.46066527778</v>
      </c>
      <c r="BO258" s="34"/>
      <c r="BP258" s="34"/>
      <c r="BQ258" s="34"/>
      <c r="BR258" s="34" t="s">
        <v>165</v>
      </c>
      <c r="BS258" s="34">
        <v>4.0323202017043999E+18</v>
      </c>
      <c r="BT258" s="34" t="s">
        <v>164</v>
      </c>
      <c r="BU258" s="34" t="s">
        <v>660</v>
      </c>
      <c r="BV258" s="34">
        <v>2020</v>
      </c>
      <c r="BW258" s="34" t="s">
        <v>163</v>
      </c>
      <c r="BX258" s="34"/>
      <c r="BY258" s="34">
        <v>4.04022020173361E+18</v>
      </c>
      <c r="BZ258" s="34" t="s">
        <v>1385</v>
      </c>
      <c r="CA258" s="34" t="s">
        <v>161</v>
      </c>
    </row>
    <row r="259" spans="1:79" x14ac:dyDescent="0.25">
      <c r="A259" s="34" t="s">
        <v>374</v>
      </c>
      <c r="B259" s="34" t="s">
        <v>287</v>
      </c>
      <c r="C259" s="34">
        <v>2020</v>
      </c>
      <c r="D259" s="34" t="s">
        <v>197</v>
      </c>
      <c r="E259" s="34">
        <v>2.0200320921284E+17</v>
      </c>
      <c r="F259" s="34" t="s">
        <v>182</v>
      </c>
      <c r="G259" s="34" t="s">
        <v>1386</v>
      </c>
      <c r="H259" s="34">
        <v>1391686</v>
      </c>
      <c r="I259" s="34"/>
      <c r="J259" s="34" t="s">
        <v>180</v>
      </c>
      <c r="K259" s="34" t="s">
        <v>179</v>
      </c>
      <c r="L259" s="34" t="s">
        <v>903</v>
      </c>
      <c r="M259" s="34"/>
      <c r="N259" s="34" t="s">
        <v>905</v>
      </c>
      <c r="O259" s="34" t="s">
        <v>297</v>
      </c>
      <c r="P259" s="34"/>
      <c r="Q259" s="34" t="s">
        <v>296</v>
      </c>
      <c r="R259" s="34" t="s">
        <v>906</v>
      </c>
      <c r="S259" s="34"/>
      <c r="T259" s="34" t="s">
        <v>907</v>
      </c>
      <c r="U259" s="34"/>
      <c r="V259" s="34" t="s">
        <v>949</v>
      </c>
      <c r="W259" s="34"/>
      <c r="X259" s="34" t="s">
        <v>909</v>
      </c>
      <c r="Y259" s="34" t="s">
        <v>47</v>
      </c>
      <c r="Z259" s="34">
        <v>2142</v>
      </c>
      <c r="AA259" s="34" t="s">
        <v>393</v>
      </c>
      <c r="AB259" s="34" t="s">
        <v>393</v>
      </c>
      <c r="AC259" s="34" t="s">
        <v>903</v>
      </c>
      <c r="AD259" s="34" t="s">
        <v>383</v>
      </c>
      <c r="AE259" s="34" t="s">
        <v>382</v>
      </c>
      <c r="AF259" s="34" t="s">
        <v>377</v>
      </c>
      <c r="AG259" s="34"/>
      <c r="AH259" s="34"/>
      <c r="AI259" s="34">
        <v>43885</v>
      </c>
      <c r="AJ259" s="34">
        <v>100</v>
      </c>
      <c r="AK259" s="34">
        <v>330</v>
      </c>
      <c r="AL259" s="34" t="s">
        <v>973</v>
      </c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 t="s">
        <v>28</v>
      </c>
      <c r="BH259" s="34"/>
      <c r="BI259" s="34" t="s">
        <v>168</v>
      </c>
      <c r="BJ259" s="34"/>
      <c r="BK259" s="34" t="s">
        <v>50</v>
      </c>
      <c r="BL259" s="34" t="s">
        <v>167</v>
      </c>
      <c r="BM259" s="34" t="s">
        <v>166</v>
      </c>
      <c r="BN259" s="34">
        <v>43924.46066527778</v>
      </c>
      <c r="BO259" s="34"/>
      <c r="BP259" s="34"/>
      <c r="BQ259" s="34"/>
      <c r="BR259" s="34" t="s">
        <v>165</v>
      </c>
      <c r="BS259" s="34">
        <v>4.0323202017043999E+18</v>
      </c>
      <c r="BT259" s="34" t="s">
        <v>164</v>
      </c>
      <c r="BU259" s="34" t="s">
        <v>974</v>
      </c>
      <c r="BV259" s="34">
        <v>2020</v>
      </c>
      <c r="BW259" s="34" t="s">
        <v>163</v>
      </c>
      <c r="BX259" s="34"/>
      <c r="BY259" s="34">
        <v>4.04022020173361E+18</v>
      </c>
      <c r="BZ259" s="34" t="s">
        <v>1387</v>
      </c>
      <c r="CA259" s="34" t="s">
        <v>161</v>
      </c>
    </row>
    <row r="260" spans="1:79" x14ac:dyDescent="0.25">
      <c r="A260" s="34" t="s">
        <v>374</v>
      </c>
      <c r="B260" s="34" t="s">
        <v>287</v>
      </c>
      <c r="C260" s="34">
        <v>2020</v>
      </c>
      <c r="D260" s="34" t="s">
        <v>197</v>
      </c>
      <c r="E260" s="34">
        <v>2.0200320921284E+17</v>
      </c>
      <c r="F260" s="34" t="s">
        <v>182</v>
      </c>
      <c r="G260" s="34" t="s">
        <v>1388</v>
      </c>
      <c r="H260" s="34">
        <v>1391686</v>
      </c>
      <c r="I260" s="34"/>
      <c r="J260" s="34" t="s">
        <v>180</v>
      </c>
      <c r="K260" s="34" t="s">
        <v>179</v>
      </c>
      <c r="L260" s="34"/>
      <c r="M260" s="34"/>
      <c r="N260" s="34" t="s">
        <v>905</v>
      </c>
      <c r="O260" s="34" t="s">
        <v>297</v>
      </c>
      <c r="P260" s="34"/>
      <c r="Q260" s="34" t="s">
        <v>296</v>
      </c>
      <c r="R260" s="34" t="s">
        <v>906</v>
      </c>
      <c r="S260" s="34"/>
      <c r="T260" s="34" t="s">
        <v>907</v>
      </c>
      <c r="U260" s="34"/>
      <c r="V260" s="34" t="s">
        <v>949</v>
      </c>
      <c r="W260" s="34"/>
      <c r="X260" s="34" t="s">
        <v>909</v>
      </c>
      <c r="Y260" s="34" t="s">
        <v>47</v>
      </c>
      <c r="Z260" s="34">
        <v>2142</v>
      </c>
      <c r="AA260" s="34" t="s">
        <v>393</v>
      </c>
      <c r="AB260" s="34" t="s">
        <v>393</v>
      </c>
      <c r="AC260" s="34"/>
      <c r="AD260" s="34"/>
      <c r="AE260" s="34"/>
      <c r="AF260" s="34" t="s">
        <v>364</v>
      </c>
      <c r="AG260" s="34"/>
      <c r="AH260" s="34"/>
      <c r="AI260" s="34">
        <v>43883</v>
      </c>
      <c r="AJ260" s="34">
        <v>6.9</v>
      </c>
      <c r="AK260" s="34">
        <v>143.30000000000001</v>
      </c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 t="s">
        <v>50</v>
      </c>
      <c r="BL260" s="34" t="s">
        <v>167</v>
      </c>
      <c r="BM260" s="34" t="s">
        <v>166</v>
      </c>
      <c r="BN260" s="34">
        <v>43924.46093828704</v>
      </c>
      <c r="BO260" s="34"/>
      <c r="BP260" s="34"/>
      <c r="BQ260" s="34"/>
      <c r="BR260" s="34" t="s">
        <v>165</v>
      </c>
      <c r="BS260" s="34">
        <v>4.0323202017043999E+18</v>
      </c>
      <c r="BT260" s="34" t="s">
        <v>164</v>
      </c>
      <c r="BU260" s="34" t="s">
        <v>362</v>
      </c>
      <c r="BV260" s="34">
        <v>2020</v>
      </c>
      <c r="BW260" s="34" t="s">
        <v>163</v>
      </c>
      <c r="BX260" s="34"/>
      <c r="BY260" s="34">
        <v>4.04022020173361E+18</v>
      </c>
      <c r="BZ260" s="34" t="s">
        <v>1389</v>
      </c>
      <c r="CA260" s="34" t="s">
        <v>161</v>
      </c>
    </row>
    <row r="261" spans="1:79" x14ac:dyDescent="0.25">
      <c r="A261" s="34" t="s">
        <v>374</v>
      </c>
      <c r="B261" s="34" t="s">
        <v>287</v>
      </c>
      <c r="C261" s="34">
        <v>2020</v>
      </c>
      <c r="D261" s="34" t="s">
        <v>197</v>
      </c>
      <c r="E261" s="34">
        <v>2.0200320921284E+17</v>
      </c>
      <c r="F261" s="34" t="s">
        <v>182</v>
      </c>
      <c r="G261" s="34" t="s">
        <v>1390</v>
      </c>
      <c r="H261" s="34">
        <v>1391686</v>
      </c>
      <c r="I261" s="34"/>
      <c r="J261" s="34" t="s">
        <v>180</v>
      </c>
      <c r="K261" s="34" t="s">
        <v>179</v>
      </c>
      <c r="L261" s="34" t="s">
        <v>1025</v>
      </c>
      <c r="M261" s="34"/>
      <c r="N261" s="34" t="s">
        <v>905</v>
      </c>
      <c r="O261" s="34" t="s">
        <v>297</v>
      </c>
      <c r="P261" s="34"/>
      <c r="Q261" s="34" t="s">
        <v>296</v>
      </c>
      <c r="R261" s="34" t="s">
        <v>906</v>
      </c>
      <c r="S261" s="34"/>
      <c r="T261" s="34" t="s">
        <v>907</v>
      </c>
      <c r="U261" s="34"/>
      <c r="V261" s="34" t="s">
        <v>949</v>
      </c>
      <c r="W261" s="34"/>
      <c r="X261" s="34" t="s">
        <v>909</v>
      </c>
      <c r="Y261" s="34" t="s">
        <v>47</v>
      </c>
      <c r="Z261" s="34">
        <v>2142</v>
      </c>
      <c r="AA261" s="34" t="s">
        <v>393</v>
      </c>
      <c r="AB261" s="34" t="s">
        <v>393</v>
      </c>
      <c r="AC261" s="34" t="s">
        <v>1025</v>
      </c>
      <c r="AD261" s="34" t="s">
        <v>383</v>
      </c>
      <c r="AE261" s="34" t="s">
        <v>382</v>
      </c>
      <c r="AF261" s="34" t="s">
        <v>377</v>
      </c>
      <c r="AG261" s="34"/>
      <c r="AH261" s="34"/>
      <c r="AI261" s="34">
        <v>43865</v>
      </c>
      <c r="AJ261" s="34">
        <v>70</v>
      </c>
      <c r="AK261" s="34">
        <v>298.5</v>
      </c>
      <c r="AL261" s="34" t="s">
        <v>1098</v>
      </c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 t="s">
        <v>28</v>
      </c>
      <c r="BH261" s="34"/>
      <c r="BI261" s="34" t="s">
        <v>168</v>
      </c>
      <c r="BJ261" s="34"/>
      <c r="BK261" s="34" t="s">
        <v>50</v>
      </c>
      <c r="BL261" s="34" t="s">
        <v>167</v>
      </c>
      <c r="BM261" s="34" t="s">
        <v>166</v>
      </c>
      <c r="BN261" s="34">
        <v>43924.471032881942</v>
      </c>
      <c r="BO261" s="34"/>
      <c r="BP261" s="34"/>
      <c r="BQ261" s="34"/>
      <c r="BR261" s="34" t="s">
        <v>165</v>
      </c>
      <c r="BS261" s="34">
        <v>4.0323202017043999E+18</v>
      </c>
      <c r="BT261" s="34" t="s">
        <v>164</v>
      </c>
      <c r="BU261" s="34" t="s">
        <v>1099</v>
      </c>
      <c r="BV261" s="34">
        <v>2020</v>
      </c>
      <c r="BW261" s="34" t="s">
        <v>163</v>
      </c>
      <c r="BX261" s="34"/>
      <c r="BY261" s="34">
        <v>4.04022020173361E+18</v>
      </c>
      <c r="BZ261" s="34" t="s">
        <v>1391</v>
      </c>
      <c r="CA261" s="34" t="s">
        <v>161</v>
      </c>
    </row>
    <row r="262" spans="1:79" x14ac:dyDescent="0.25">
      <c r="A262" s="34" t="s">
        <v>374</v>
      </c>
      <c r="B262" s="34" t="s">
        <v>287</v>
      </c>
      <c r="C262" s="34">
        <v>2020</v>
      </c>
      <c r="D262" s="34" t="s">
        <v>197</v>
      </c>
      <c r="E262" s="34">
        <v>2.0200320921284E+17</v>
      </c>
      <c r="F262" s="34" t="s">
        <v>182</v>
      </c>
      <c r="G262" s="34" t="s">
        <v>1392</v>
      </c>
      <c r="H262" s="34">
        <v>1391686</v>
      </c>
      <c r="I262" s="34"/>
      <c r="J262" s="34" t="s">
        <v>180</v>
      </c>
      <c r="K262" s="34" t="s">
        <v>179</v>
      </c>
      <c r="L262" s="34"/>
      <c r="M262" s="34"/>
      <c r="N262" s="34" t="s">
        <v>905</v>
      </c>
      <c r="O262" s="34" t="s">
        <v>297</v>
      </c>
      <c r="P262" s="34"/>
      <c r="Q262" s="34" t="s">
        <v>296</v>
      </c>
      <c r="R262" s="34" t="s">
        <v>906</v>
      </c>
      <c r="S262" s="34"/>
      <c r="T262" s="34" t="s">
        <v>907</v>
      </c>
      <c r="U262" s="34"/>
      <c r="V262" s="34" t="s">
        <v>949</v>
      </c>
      <c r="W262" s="34"/>
      <c r="X262" s="34" t="s">
        <v>909</v>
      </c>
      <c r="Y262" s="34" t="s">
        <v>47</v>
      </c>
      <c r="Z262" s="34">
        <v>2142</v>
      </c>
      <c r="AA262" s="34" t="s">
        <v>393</v>
      </c>
      <c r="AB262" s="34" t="s">
        <v>393</v>
      </c>
      <c r="AC262" s="34"/>
      <c r="AD262" s="34"/>
      <c r="AE262" s="34"/>
      <c r="AF262" s="34" t="s">
        <v>364</v>
      </c>
      <c r="AG262" s="34"/>
      <c r="AH262" s="34"/>
      <c r="AI262" s="34">
        <v>43867</v>
      </c>
      <c r="AJ262" s="34">
        <v>5</v>
      </c>
      <c r="AK262" s="34">
        <v>143.30000000000001</v>
      </c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 t="s">
        <v>50</v>
      </c>
      <c r="BL262" s="34" t="s">
        <v>167</v>
      </c>
      <c r="BM262" s="34" t="s">
        <v>166</v>
      </c>
      <c r="BN262" s="34">
        <v>43924.471032881942</v>
      </c>
      <c r="BO262" s="34"/>
      <c r="BP262" s="34"/>
      <c r="BQ262" s="34"/>
      <c r="BR262" s="34" t="s">
        <v>165</v>
      </c>
      <c r="BS262" s="34">
        <v>4.0323202017043999E+18</v>
      </c>
      <c r="BT262" s="34" t="s">
        <v>164</v>
      </c>
      <c r="BU262" s="34" t="s">
        <v>362</v>
      </c>
      <c r="BV262" s="34">
        <v>2020</v>
      </c>
      <c r="BW262" s="34" t="s">
        <v>163</v>
      </c>
      <c r="BX262" s="34"/>
      <c r="BY262" s="34">
        <v>4.04022020173361E+18</v>
      </c>
      <c r="BZ262" s="34" t="s">
        <v>1393</v>
      </c>
      <c r="CA262" s="34" t="s">
        <v>161</v>
      </c>
    </row>
    <row r="263" spans="1:79" x14ac:dyDescent="0.25">
      <c r="A263" s="34" t="s">
        <v>374</v>
      </c>
      <c r="B263" s="34" t="s">
        <v>287</v>
      </c>
      <c r="C263" s="34">
        <v>2020</v>
      </c>
      <c r="D263" s="34" t="s">
        <v>197</v>
      </c>
      <c r="E263" s="34">
        <v>2.0200320921284E+17</v>
      </c>
      <c r="F263" s="34" t="s">
        <v>182</v>
      </c>
      <c r="G263" s="34" t="s">
        <v>1394</v>
      </c>
      <c r="H263" s="34">
        <v>1391686</v>
      </c>
      <c r="I263" s="34"/>
      <c r="J263" s="34" t="s">
        <v>180</v>
      </c>
      <c r="K263" s="34" t="s">
        <v>179</v>
      </c>
      <c r="L263" s="34"/>
      <c r="M263" s="34"/>
      <c r="N263" s="34" t="s">
        <v>905</v>
      </c>
      <c r="O263" s="34" t="s">
        <v>297</v>
      </c>
      <c r="P263" s="34"/>
      <c r="Q263" s="34" t="s">
        <v>296</v>
      </c>
      <c r="R263" s="34" t="s">
        <v>906</v>
      </c>
      <c r="S263" s="34"/>
      <c r="T263" s="34" t="s">
        <v>907</v>
      </c>
      <c r="U263" s="34"/>
      <c r="V263" s="34" t="s">
        <v>949</v>
      </c>
      <c r="W263" s="34"/>
      <c r="X263" s="34" t="s">
        <v>909</v>
      </c>
      <c r="Y263" s="34" t="s">
        <v>47</v>
      </c>
      <c r="Z263" s="34">
        <v>2142</v>
      </c>
      <c r="AA263" s="34" t="s">
        <v>393</v>
      </c>
      <c r="AB263" s="34" t="s">
        <v>393</v>
      </c>
      <c r="AC263" s="34"/>
      <c r="AD263" s="34"/>
      <c r="AE263" s="34"/>
      <c r="AF263" s="34" t="s">
        <v>364</v>
      </c>
      <c r="AG263" s="34"/>
      <c r="AH263" s="34"/>
      <c r="AI263" s="34">
        <v>43865</v>
      </c>
      <c r="AJ263" s="34">
        <v>3</v>
      </c>
      <c r="AK263" s="34">
        <v>143.30000000000001</v>
      </c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 t="s">
        <v>50</v>
      </c>
      <c r="BL263" s="34" t="s">
        <v>167</v>
      </c>
      <c r="BM263" s="34" t="s">
        <v>166</v>
      </c>
      <c r="BN263" s="34">
        <v>43924.477850289353</v>
      </c>
      <c r="BO263" s="34"/>
      <c r="BP263" s="34"/>
      <c r="BQ263" s="34"/>
      <c r="BR263" s="34" t="s">
        <v>165</v>
      </c>
      <c r="BS263" s="34">
        <v>4.0323202017043999E+18</v>
      </c>
      <c r="BT263" s="34" t="s">
        <v>164</v>
      </c>
      <c r="BU263" s="34" t="s">
        <v>362</v>
      </c>
      <c r="BV263" s="34">
        <v>2020</v>
      </c>
      <c r="BW263" s="34" t="s">
        <v>163</v>
      </c>
      <c r="BX263" s="34"/>
      <c r="BY263" s="34">
        <v>4.04022020173361E+18</v>
      </c>
      <c r="BZ263" s="34" t="s">
        <v>1395</v>
      </c>
      <c r="CA263" s="34" t="s">
        <v>161</v>
      </c>
    </row>
    <row r="264" spans="1:79" x14ac:dyDescent="0.25">
      <c r="A264" s="34" t="s">
        <v>374</v>
      </c>
      <c r="B264" s="34" t="s">
        <v>287</v>
      </c>
      <c r="C264" s="34">
        <v>2020</v>
      </c>
      <c r="D264" s="34" t="s">
        <v>197</v>
      </c>
      <c r="E264" s="34">
        <v>2.0200320921284E+17</v>
      </c>
      <c r="F264" s="34" t="s">
        <v>182</v>
      </c>
      <c r="G264" s="34" t="s">
        <v>1396</v>
      </c>
      <c r="H264" s="34">
        <v>1391686</v>
      </c>
      <c r="I264" s="34"/>
      <c r="J264" s="34" t="s">
        <v>180</v>
      </c>
      <c r="K264" s="34" t="s">
        <v>179</v>
      </c>
      <c r="L264" s="34"/>
      <c r="M264" s="34"/>
      <c r="N264" s="34" t="s">
        <v>905</v>
      </c>
      <c r="O264" s="34" t="s">
        <v>297</v>
      </c>
      <c r="P264" s="34"/>
      <c r="Q264" s="34" t="s">
        <v>296</v>
      </c>
      <c r="R264" s="34" t="s">
        <v>906</v>
      </c>
      <c r="S264" s="34"/>
      <c r="T264" s="34" t="s">
        <v>907</v>
      </c>
      <c r="U264" s="34"/>
      <c r="V264" s="34" t="s">
        <v>949</v>
      </c>
      <c r="W264" s="34"/>
      <c r="X264" s="34" t="s">
        <v>909</v>
      </c>
      <c r="Y264" s="34" t="s">
        <v>47</v>
      </c>
      <c r="Z264" s="34">
        <v>2142</v>
      </c>
      <c r="AA264" s="34" t="s">
        <v>393</v>
      </c>
      <c r="AB264" s="34" t="s">
        <v>393</v>
      </c>
      <c r="AC264" s="34"/>
      <c r="AD264" s="34"/>
      <c r="AE264" s="34"/>
      <c r="AF264" s="34" t="s">
        <v>364</v>
      </c>
      <c r="AG264" s="34"/>
      <c r="AH264" s="34"/>
      <c r="AI264" s="34">
        <v>43885</v>
      </c>
      <c r="AJ264" s="34">
        <v>10</v>
      </c>
      <c r="AK264" s="34">
        <v>143.30000000000001</v>
      </c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 t="s">
        <v>50</v>
      </c>
      <c r="BL264" s="34" t="s">
        <v>167</v>
      </c>
      <c r="BM264" s="34" t="s">
        <v>166</v>
      </c>
      <c r="BN264" s="34">
        <v>43924.477850289353</v>
      </c>
      <c r="BO264" s="34"/>
      <c r="BP264" s="34"/>
      <c r="BQ264" s="34"/>
      <c r="BR264" s="34" t="s">
        <v>165</v>
      </c>
      <c r="BS264" s="34">
        <v>4.0323202017043999E+18</v>
      </c>
      <c r="BT264" s="34" t="s">
        <v>164</v>
      </c>
      <c r="BU264" s="34" t="s">
        <v>362</v>
      </c>
      <c r="BV264" s="34">
        <v>2020</v>
      </c>
      <c r="BW264" s="34" t="s">
        <v>163</v>
      </c>
      <c r="BX264" s="34"/>
      <c r="BY264" s="34">
        <v>4.04022020173361E+18</v>
      </c>
      <c r="BZ264" s="34" t="s">
        <v>1387</v>
      </c>
      <c r="CA264" s="34" t="s">
        <v>161</v>
      </c>
    </row>
    <row r="265" spans="1:79" x14ac:dyDescent="0.25">
      <c r="A265" s="34" t="s">
        <v>374</v>
      </c>
      <c r="B265" s="34" t="s">
        <v>287</v>
      </c>
      <c r="C265" s="34">
        <v>2020</v>
      </c>
      <c r="D265" s="34" t="s">
        <v>197</v>
      </c>
      <c r="E265" s="34">
        <v>2.0200320921284E+17</v>
      </c>
      <c r="F265" s="34" t="s">
        <v>182</v>
      </c>
      <c r="G265" s="34" t="s">
        <v>1397</v>
      </c>
      <c r="H265" s="34">
        <v>1391686</v>
      </c>
      <c r="I265" s="34"/>
      <c r="J265" s="34" t="s">
        <v>180</v>
      </c>
      <c r="K265" s="34" t="s">
        <v>179</v>
      </c>
      <c r="L265" s="34"/>
      <c r="M265" s="34"/>
      <c r="N265" s="34" t="s">
        <v>905</v>
      </c>
      <c r="O265" s="34" t="s">
        <v>297</v>
      </c>
      <c r="P265" s="34"/>
      <c r="Q265" s="34" t="s">
        <v>296</v>
      </c>
      <c r="R265" s="34" t="s">
        <v>906</v>
      </c>
      <c r="S265" s="34"/>
      <c r="T265" s="34" t="s">
        <v>907</v>
      </c>
      <c r="U265" s="34"/>
      <c r="V265" s="34" t="s">
        <v>949</v>
      </c>
      <c r="W265" s="34"/>
      <c r="X265" s="34" t="s">
        <v>909</v>
      </c>
      <c r="Y265" s="34" t="s">
        <v>47</v>
      </c>
      <c r="Z265" s="34">
        <v>2142</v>
      </c>
      <c r="AA265" s="34" t="s">
        <v>393</v>
      </c>
      <c r="AB265" s="34" t="s">
        <v>393</v>
      </c>
      <c r="AC265" s="34"/>
      <c r="AD265" s="34"/>
      <c r="AE265" s="34"/>
      <c r="AF265" s="34" t="s">
        <v>364</v>
      </c>
      <c r="AG265" s="34"/>
      <c r="AH265" s="34"/>
      <c r="AI265" s="34">
        <v>43876</v>
      </c>
      <c r="AJ265" s="34">
        <v>1</v>
      </c>
      <c r="AK265" s="34">
        <v>143.30000000000001</v>
      </c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 t="s">
        <v>50</v>
      </c>
      <c r="BL265" s="34" t="s">
        <v>167</v>
      </c>
      <c r="BM265" s="34" t="s">
        <v>166</v>
      </c>
      <c r="BN265" s="34">
        <v>43924.477850289353</v>
      </c>
      <c r="BO265" s="34"/>
      <c r="BP265" s="34"/>
      <c r="BQ265" s="34"/>
      <c r="BR265" s="34" t="s">
        <v>165</v>
      </c>
      <c r="BS265" s="34">
        <v>4.0323202017043999E+18</v>
      </c>
      <c r="BT265" s="34" t="s">
        <v>164</v>
      </c>
      <c r="BU265" s="34" t="s">
        <v>362</v>
      </c>
      <c r="BV265" s="34">
        <v>2020</v>
      </c>
      <c r="BW265" s="34" t="s">
        <v>163</v>
      </c>
      <c r="BX265" s="34"/>
      <c r="BY265" s="34">
        <v>4.04022020173361E+18</v>
      </c>
      <c r="BZ265" s="34" t="s">
        <v>1398</v>
      </c>
      <c r="CA265" s="34" t="s">
        <v>161</v>
      </c>
    </row>
    <row r="266" spans="1:79" x14ac:dyDescent="0.25">
      <c r="A266" s="34" t="s">
        <v>374</v>
      </c>
      <c r="B266" s="34" t="s">
        <v>287</v>
      </c>
      <c r="C266" s="34">
        <v>2020</v>
      </c>
      <c r="D266" s="34" t="s">
        <v>197</v>
      </c>
      <c r="E266" s="34">
        <v>2.0200320921284E+17</v>
      </c>
      <c r="F266" s="34" t="s">
        <v>182</v>
      </c>
      <c r="G266" s="34" t="s">
        <v>1399</v>
      </c>
      <c r="H266" s="34">
        <v>1391686</v>
      </c>
      <c r="I266" s="34"/>
      <c r="J266" s="34" t="s">
        <v>180</v>
      </c>
      <c r="K266" s="34" t="s">
        <v>179</v>
      </c>
      <c r="L266" s="34"/>
      <c r="M266" s="34"/>
      <c r="N266" s="34" t="s">
        <v>905</v>
      </c>
      <c r="O266" s="34" t="s">
        <v>297</v>
      </c>
      <c r="P266" s="34"/>
      <c r="Q266" s="34" t="s">
        <v>296</v>
      </c>
      <c r="R266" s="34" t="s">
        <v>906</v>
      </c>
      <c r="S266" s="34"/>
      <c r="T266" s="34" t="s">
        <v>907</v>
      </c>
      <c r="U266" s="34"/>
      <c r="V266" s="34" t="s">
        <v>949</v>
      </c>
      <c r="W266" s="34"/>
      <c r="X266" s="34" t="s">
        <v>909</v>
      </c>
      <c r="Y266" s="34" t="s">
        <v>47</v>
      </c>
      <c r="Z266" s="34">
        <v>2142</v>
      </c>
      <c r="AA266" s="34" t="s">
        <v>393</v>
      </c>
      <c r="AB266" s="34" t="s">
        <v>393</v>
      </c>
      <c r="AC266" s="34"/>
      <c r="AD266" s="34"/>
      <c r="AE266" s="34"/>
      <c r="AF266" s="34" t="s">
        <v>377</v>
      </c>
      <c r="AG266" s="34"/>
      <c r="AH266" s="34"/>
      <c r="AI266" s="34">
        <v>43888</v>
      </c>
      <c r="AJ266" s="34">
        <v>34.5</v>
      </c>
      <c r="AK266" s="34">
        <v>184.5</v>
      </c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 t="s">
        <v>50</v>
      </c>
      <c r="BL266" s="34" t="s">
        <v>167</v>
      </c>
      <c r="BM266" s="34" t="s">
        <v>166</v>
      </c>
      <c r="BN266" s="34">
        <v>43924.477850289353</v>
      </c>
      <c r="BO266" s="34"/>
      <c r="BP266" s="34"/>
      <c r="BQ266" s="34"/>
      <c r="BR266" s="34" t="s">
        <v>165</v>
      </c>
      <c r="BS266" s="34">
        <v>4.0323202017043999E+18</v>
      </c>
      <c r="BT266" s="34" t="s">
        <v>164</v>
      </c>
      <c r="BU266" s="34" t="s">
        <v>1253</v>
      </c>
      <c r="BV266" s="34">
        <v>2020</v>
      </c>
      <c r="BW266" s="34" t="s">
        <v>163</v>
      </c>
      <c r="BX266" s="34"/>
      <c r="BY266" s="34">
        <v>4.04022020173361E+18</v>
      </c>
      <c r="BZ266" s="34" t="s">
        <v>1400</v>
      </c>
      <c r="CA266" s="34" t="s">
        <v>161</v>
      </c>
    </row>
    <row r="267" spans="1:79" x14ac:dyDescent="0.25">
      <c r="A267" s="34" t="s">
        <v>374</v>
      </c>
      <c r="B267" s="34" t="s">
        <v>287</v>
      </c>
      <c r="C267" s="34">
        <v>2020</v>
      </c>
      <c r="D267" s="34" t="s">
        <v>197</v>
      </c>
      <c r="E267" s="34">
        <v>2.0200320921284E+17</v>
      </c>
      <c r="F267" s="34" t="s">
        <v>182</v>
      </c>
      <c r="G267" s="34" t="s">
        <v>1401</v>
      </c>
      <c r="H267" s="34">
        <v>1391686</v>
      </c>
      <c r="I267" s="34"/>
      <c r="J267" s="34" t="s">
        <v>180</v>
      </c>
      <c r="K267" s="34" t="s">
        <v>179</v>
      </c>
      <c r="L267" s="34"/>
      <c r="M267" s="34"/>
      <c r="N267" s="34" t="s">
        <v>905</v>
      </c>
      <c r="O267" s="34" t="s">
        <v>297</v>
      </c>
      <c r="P267" s="34"/>
      <c r="Q267" s="34" t="s">
        <v>296</v>
      </c>
      <c r="R267" s="34" t="s">
        <v>906</v>
      </c>
      <c r="S267" s="34"/>
      <c r="T267" s="34" t="s">
        <v>907</v>
      </c>
      <c r="U267" s="34"/>
      <c r="V267" s="34" t="s">
        <v>949</v>
      </c>
      <c r="W267" s="34"/>
      <c r="X267" s="34" t="s">
        <v>909</v>
      </c>
      <c r="Y267" s="34" t="s">
        <v>47</v>
      </c>
      <c r="Z267" s="34">
        <v>2142</v>
      </c>
      <c r="AA267" s="34" t="s">
        <v>393</v>
      </c>
      <c r="AB267" s="34" t="s">
        <v>393</v>
      </c>
      <c r="AC267" s="34"/>
      <c r="AD267" s="34"/>
      <c r="AE267" s="34"/>
      <c r="AF267" s="34" t="s">
        <v>364</v>
      </c>
      <c r="AG267" s="34"/>
      <c r="AH267" s="34"/>
      <c r="AI267" s="34">
        <v>43864</v>
      </c>
      <c r="AJ267" s="34">
        <v>5</v>
      </c>
      <c r="AK267" s="34">
        <v>143.30000000000001</v>
      </c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 t="s">
        <v>50</v>
      </c>
      <c r="BL267" s="34" t="s">
        <v>167</v>
      </c>
      <c r="BM267" s="34" t="s">
        <v>166</v>
      </c>
      <c r="BN267" s="34">
        <v>43924.495866423611</v>
      </c>
      <c r="BO267" s="34"/>
      <c r="BP267" s="34"/>
      <c r="BQ267" s="34"/>
      <c r="BR267" s="34" t="s">
        <v>165</v>
      </c>
      <c r="BS267" s="34">
        <v>4.0323202017043999E+18</v>
      </c>
      <c r="BT267" s="34" t="s">
        <v>164</v>
      </c>
      <c r="BU267" s="34" t="s">
        <v>362</v>
      </c>
      <c r="BV267" s="34">
        <v>2020</v>
      </c>
      <c r="BW267" s="34" t="s">
        <v>163</v>
      </c>
      <c r="BX267" s="34"/>
      <c r="BY267" s="34">
        <v>4.04022020173361E+18</v>
      </c>
      <c r="BZ267" s="34" t="s">
        <v>1375</v>
      </c>
      <c r="CA267" s="34" t="s">
        <v>161</v>
      </c>
    </row>
    <row r="268" spans="1:79" x14ac:dyDescent="0.25">
      <c r="A268" s="34" t="s">
        <v>374</v>
      </c>
      <c r="B268" s="34" t="s">
        <v>287</v>
      </c>
      <c r="C268" s="34">
        <v>2020</v>
      </c>
      <c r="D268" s="34" t="s">
        <v>197</v>
      </c>
      <c r="E268" s="34">
        <v>2.0200320921284E+17</v>
      </c>
      <c r="F268" s="34" t="s">
        <v>182</v>
      </c>
      <c r="G268" s="34" t="s">
        <v>1402</v>
      </c>
      <c r="H268" s="34">
        <v>1391686</v>
      </c>
      <c r="I268" s="34"/>
      <c r="J268" s="34" t="s">
        <v>180</v>
      </c>
      <c r="K268" s="34" t="s">
        <v>179</v>
      </c>
      <c r="L268" s="34"/>
      <c r="M268" s="34"/>
      <c r="N268" s="34" t="s">
        <v>905</v>
      </c>
      <c r="O268" s="34" t="s">
        <v>297</v>
      </c>
      <c r="P268" s="34"/>
      <c r="Q268" s="34" t="s">
        <v>296</v>
      </c>
      <c r="R268" s="34" t="s">
        <v>906</v>
      </c>
      <c r="S268" s="34"/>
      <c r="T268" s="34" t="s">
        <v>907</v>
      </c>
      <c r="U268" s="34"/>
      <c r="V268" s="34" t="s">
        <v>949</v>
      </c>
      <c r="W268" s="34"/>
      <c r="X268" s="34" t="s">
        <v>909</v>
      </c>
      <c r="Y268" s="34" t="s">
        <v>47</v>
      </c>
      <c r="Z268" s="34">
        <v>2142</v>
      </c>
      <c r="AA268" s="34" t="s">
        <v>393</v>
      </c>
      <c r="AB268" s="34" t="s">
        <v>393</v>
      </c>
      <c r="AC268" s="34"/>
      <c r="AD268" s="34"/>
      <c r="AE268" s="34"/>
      <c r="AF268" s="34" t="s">
        <v>364</v>
      </c>
      <c r="AG268" s="34"/>
      <c r="AH268" s="34"/>
      <c r="AI268" s="34">
        <v>43865</v>
      </c>
      <c r="AJ268" s="34">
        <v>7</v>
      </c>
      <c r="AK268" s="34">
        <v>143.30000000000001</v>
      </c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 t="s">
        <v>50</v>
      </c>
      <c r="BL268" s="34" t="s">
        <v>167</v>
      </c>
      <c r="BM268" s="34" t="s">
        <v>166</v>
      </c>
      <c r="BN268" s="34">
        <v>43924.495866423611</v>
      </c>
      <c r="BO268" s="34"/>
      <c r="BP268" s="34"/>
      <c r="BQ268" s="34"/>
      <c r="BR268" s="34" t="s">
        <v>165</v>
      </c>
      <c r="BS268" s="34">
        <v>4.0323202017043999E+18</v>
      </c>
      <c r="BT268" s="34" t="s">
        <v>164</v>
      </c>
      <c r="BU268" s="34" t="s">
        <v>362</v>
      </c>
      <c r="BV268" s="34">
        <v>2020</v>
      </c>
      <c r="BW268" s="34" t="s">
        <v>163</v>
      </c>
      <c r="BX268" s="34"/>
      <c r="BY268" s="34">
        <v>4.04022020173361E+18</v>
      </c>
      <c r="BZ268" s="34" t="s">
        <v>1403</v>
      </c>
      <c r="CA268" s="34" t="s">
        <v>161</v>
      </c>
    </row>
    <row r="269" spans="1:79" x14ac:dyDescent="0.25">
      <c r="A269" s="34" t="s">
        <v>374</v>
      </c>
      <c r="B269" s="34" t="s">
        <v>287</v>
      </c>
      <c r="C269" s="34">
        <v>2020</v>
      </c>
      <c r="D269" s="34" t="s">
        <v>197</v>
      </c>
      <c r="E269" s="34">
        <v>2.0200320921284E+17</v>
      </c>
      <c r="F269" s="34" t="s">
        <v>182</v>
      </c>
      <c r="G269" s="34" t="s">
        <v>1404</v>
      </c>
      <c r="H269" s="34">
        <v>1391686</v>
      </c>
      <c r="I269" s="34"/>
      <c r="J269" s="34" t="s">
        <v>180</v>
      </c>
      <c r="K269" s="34" t="s">
        <v>179</v>
      </c>
      <c r="L269" s="34"/>
      <c r="M269" s="34"/>
      <c r="N269" s="34" t="s">
        <v>905</v>
      </c>
      <c r="O269" s="34" t="s">
        <v>297</v>
      </c>
      <c r="P269" s="34"/>
      <c r="Q269" s="34" t="s">
        <v>296</v>
      </c>
      <c r="R269" s="34" t="s">
        <v>906</v>
      </c>
      <c r="S269" s="34"/>
      <c r="T269" s="34" t="s">
        <v>907</v>
      </c>
      <c r="U269" s="34"/>
      <c r="V269" s="34" t="s">
        <v>949</v>
      </c>
      <c r="W269" s="34"/>
      <c r="X269" s="34" t="s">
        <v>909</v>
      </c>
      <c r="Y269" s="34" t="s">
        <v>47</v>
      </c>
      <c r="Z269" s="34">
        <v>2142</v>
      </c>
      <c r="AA269" s="34" t="s">
        <v>393</v>
      </c>
      <c r="AB269" s="34" t="s">
        <v>393</v>
      </c>
      <c r="AC269" s="34"/>
      <c r="AD269" s="34"/>
      <c r="AE269" s="34"/>
      <c r="AF269" s="34" t="s">
        <v>364</v>
      </c>
      <c r="AG269" s="34"/>
      <c r="AH269" s="34"/>
      <c r="AI269" s="34">
        <v>43888</v>
      </c>
      <c r="AJ269" s="34">
        <v>5</v>
      </c>
      <c r="AK269" s="34">
        <v>143.30000000000001</v>
      </c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 t="s">
        <v>50</v>
      </c>
      <c r="BL269" s="34" t="s">
        <v>167</v>
      </c>
      <c r="BM269" s="34" t="s">
        <v>166</v>
      </c>
      <c r="BN269" s="34">
        <v>43924.496550763892</v>
      </c>
      <c r="BO269" s="34"/>
      <c r="BP269" s="34"/>
      <c r="BQ269" s="34"/>
      <c r="BR269" s="34" t="s">
        <v>165</v>
      </c>
      <c r="BS269" s="34">
        <v>4.0323202017043999E+18</v>
      </c>
      <c r="BT269" s="34" t="s">
        <v>164</v>
      </c>
      <c r="BU269" s="34" t="s">
        <v>362</v>
      </c>
      <c r="BV269" s="34">
        <v>2020</v>
      </c>
      <c r="BW269" s="34" t="s">
        <v>163</v>
      </c>
      <c r="BX269" s="34"/>
      <c r="BY269" s="34">
        <v>4.04022020173361E+18</v>
      </c>
      <c r="BZ269" s="34" t="s">
        <v>1400</v>
      </c>
      <c r="CA269" s="34" t="s">
        <v>161</v>
      </c>
    </row>
    <row r="270" spans="1:79" x14ac:dyDescent="0.25">
      <c r="A270" s="34" t="s">
        <v>374</v>
      </c>
      <c r="B270" s="34" t="s">
        <v>287</v>
      </c>
      <c r="C270" s="34">
        <v>2020</v>
      </c>
      <c r="D270" s="34" t="s">
        <v>197</v>
      </c>
      <c r="E270" s="34">
        <v>2.0200320921284E+17</v>
      </c>
      <c r="F270" s="34" t="s">
        <v>182</v>
      </c>
      <c r="G270" s="34" t="s">
        <v>1405</v>
      </c>
      <c r="H270" s="34">
        <v>1391686</v>
      </c>
      <c r="I270" s="34"/>
      <c r="J270" s="34" t="s">
        <v>180</v>
      </c>
      <c r="K270" s="34" t="s">
        <v>179</v>
      </c>
      <c r="L270" s="34" t="s">
        <v>1025</v>
      </c>
      <c r="M270" s="34"/>
      <c r="N270" s="34" t="s">
        <v>905</v>
      </c>
      <c r="O270" s="34" t="s">
        <v>297</v>
      </c>
      <c r="P270" s="34"/>
      <c r="Q270" s="34" t="s">
        <v>296</v>
      </c>
      <c r="R270" s="34" t="s">
        <v>906</v>
      </c>
      <c r="S270" s="34"/>
      <c r="T270" s="34" t="s">
        <v>907</v>
      </c>
      <c r="U270" s="34"/>
      <c r="V270" s="34" t="s">
        <v>949</v>
      </c>
      <c r="W270" s="34"/>
      <c r="X270" s="34" t="s">
        <v>909</v>
      </c>
      <c r="Y270" s="34" t="s">
        <v>47</v>
      </c>
      <c r="Z270" s="34">
        <v>2142</v>
      </c>
      <c r="AA270" s="34" t="s">
        <v>393</v>
      </c>
      <c r="AB270" s="34" t="s">
        <v>393</v>
      </c>
      <c r="AC270" s="34" t="s">
        <v>1025</v>
      </c>
      <c r="AD270" s="34" t="s">
        <v>383</v>
      </c>
      <c r="AE270" s="34" t="s">
        <v>382</v>
      </c>
      <c r="AF270" s="34" t="s">
        <v>377</v>
      </c>
      <c r="AG270" s="34"/>
      <c r="AH270" s="34"/>
      <c r="AI270" s="34">
        <v>43888</v>
      </c>
      <c r="AJ270" s="34">
        <v>34.5</v>
      </c>
      <c r="AK270" s="34">
        <v>298.5</v>
      </c>
      <c r="AL270" s="34" t="s">
        <v>1098</v>
      </c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 t="s">
        <v>28</v>
      </c>
      <c r="BH270" s="34"/>
      <c r="BI270" s="34" t="s">
        <v>168</v>
      </c>
      <c r="BJ270" s="34"/>
      <c r="BK270" s="34" t="s">
        <v>50</v>
      </c>
      <c r="BL270" s="34" t="s">
        <v>167</v>
      </c>
      <c r="BM270" s="34" t="s">
        <v>166</v>
      </c>
      <c r="BN270" s="34">
        <v>43924.496550763892</v>
      </c>
      <c r="BO270" s="34"/>
      <c r="BP270" s="34"/>
      <c r="BQ270" s="34"/>
      <c r="BR270" s="34" t="s">
        <v>165</v>
      </c>
      <c r="BS270" s="34">
        <v>4.0323202017043999E+18</v>
      </c>
      <c r="BT270" s="34" t="s">
        <v>164</v>
      </c>
      <c r="BU270" s="34" t="s">
        <v>1099</v>
      </c>
      <c r="BV270" s="34">
        <v>2020</v>
      </c>
      <c r="BW270" s="34" t="s">
        <v>163</v>
      </c>
      <c r="BX270" s="34"/>
      <c r="BY270" s="34">
        <v>4.04022020173361E+18</v>
      </c>
      <c r="BZ270" s="34" t="s">
        <v>1406</v>
      </c>
      <c r="CA270" s="34" t="s">
        <v>161</v>
      </c>
    </row>
    <row r="271" spans="1:79" x14ac:dyDescent="0.25">
      <c r="A271" s="34" t="s">
        <v>374</v>
      </c>
      <c r="B271" s="34" t="s">
        <v>287</v>
      </c>
      <c r="C271" s="34">
        <v>2020</v>
      </c>
      <c r="D271" s="34" t="s">
        <v>197</v>
      </c>
      <c r="E271" s="34">
        <v>2.0200320921284E+17</v>
      </c>
      <c r="F271" s="34" t="s">
        <v>182</v>
      </c>
      <c r="G271" s="34" t="s">
        <v>1407</v>
      </c>
      <c r="H271" s="34">
        <v>1391686</v>
      </c>
      <c r="I271" s="34"/>
      <c r="J271" s="34" t="s">
        <v>180</v>
      </c>
      <c r="K271" s="34" t="s">
        <v>179</v>
      </c>
      <c r="L271" s="34" t="s">
        <v>1025</v>
      </c>
      <c r="M271" s="34"/>
      <c r="N271" s="34" t="s">
        <v>905</v>
      </c>
      <c r="O271" s="34" t="s">
        <v>297</v>
      </c>
      <c r="P271" s="34"/>
      <c r="Q271" s="34" t="s">
        <v>296</v>
      </c>
      <c r="R271" s="34" t="s">
        <v>906</v>
      </c>
      <c r="S271" s="34"/>
      <c r="T271" s="34" t="s">
        <v>907</v>
      </c>
      <c r="U271" s="34"/>
      <c r="V271" s="34" t="s">
        <v>949</v>
      </c>
      <c r="W271" s="34"/>
      <c r="X271" s="34" t="s">
        <v>909</v>
      </c>
      <c r="Y271" s="34" t="s">
        <v>47</v>
      </c>
      <c r="Z271" s="34">
        <v>2142</v>
      </c>
      <c r="AA271" s="34" t="s">
        <v>393</v>
      </c>
      <c r="AB271" s="34" t="s">
        <v>393</v>
      </c>
      <c r="AC271" s="34" t="s">
        <v>1025</v>
      </c>
      <c r="AD271" s="34" t="s">
        <v>383</v>
      </c>
      <c r="AE271" s="34" t="s">
        <v>382</v>
      </c>
      <c r="AF271" s="34" t="s">
        <v>377</v>
      </c>
      <c r="AG271" s="34"/>
      <c r="AH271" s="34"/>
      <c r="AI271" s="34">
        <v>43883</v>
      </c>
      <c r="AJ271" s="34">
        <v>69</v>
      </c>
      <c r="AK271" s="34">
        <v>298.5</v>
      </c>
      <c r="AL271" s="34" t="s">
        <v>1098</v>
      </c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 t="s">
        <v>28</v>
      </c>
      <c r="BH271" s="34"/>
      <c r="BI271" s="34" t="s">
        <v>168</v>
      </c>
      <c r="BJ271" s="34"/>
      <c r="BK271" s="34" t="s">
        <v>50</v>
      </c>
      <c r="BL271" s="34" t="s">
        <v>167</v>
      </c>
      <c r="BM271" s="34" t="s">
        <v>166</v>
      </c>
      <c r="BN271" s="34">
        <v>43924.496550763892</v>
      </c>
      <c r="BO271" s="34"/>
      <c r="BP271" s="34"/>
      <c r="BQ271" s="34"/>
      <c r="BR271" s="34" t="s">
        <v>165</v>
      </c>
      <c r="BS271" s="34">
        <v>4.0323202017043999E+18</v>
      </c>
      <c r="BT271" s="34" t="s">
        <v>164</v>
      </c>
      <c r="BU271" s="34" t="s">
        <v>1099</v>
      </c>
      <c r="BV271" s="34">
        <v>2020</v>
      </c>
      <c r="BW271" s="34" t="s">
        <v>163</v>
      </c>
      <c r="BX271" s="34"/>
      <c r="BY271" s="34">
        <v>4.04022020173361E+18</v>
      </c>
      <c r="BZ271" s="34" t="s">
        <v>1389</v>
      </c>
      <c r="CA271" s="34" t="s">
        <v>161</v>
      </c>
    </row>
    <row r="272" spans="1:79" x14ac:dyDescent="0.25">
      <c r="A272" s="34" t="s">
        <v>374</v>
      </c>
      <c r="B272" s="34" t="s">
        <v>287</v>
      </c>
      <c r="C272" s="34">
        <v>2020</v>
      </c>
      <c r="D272" s="34" t="s">
        <v>197</v>
      </c>
      <c r="E272" s="34">
        <v>2.0200320921284E+17</v>
      </c>
      <c r="F272" s="34" t="s">
        <v>182</v>
      </c>
      <c r="G272" s="34" t="s">
        <v>1408</v>
      </c>
      <c r="H272" s="34">
        <v>1391686</v>
      </c>
      <c r="I272" s="34"/>
      <c r="J272" s="34" t="s">
        <v>180</v>
      </c>
      <c r="K272" s="34" t="s">
        <v>179</v>
      </c>
      <c r="L272" s="34"/>
      <c r="M272" s="34"/>
      <c r="N272" s="34" t="s">
        <v>905</v>
      </c>
      <c r="O272" s="34" t="s">
        <v>297</v>
      </c>
      <c r="P272" s="34"/>
      <c r="Q272" s="34" t="s">
        <v>296</v>
      </c>
      <c r="R272" s="34" t="s">
        <v>906</v>
      </c>
      <c r="S272" s="34"/>
      <c r="T272" s="34" t="s">
        <v>907</v>
      </c>
      <c r="U272" s="34"/>
      <c r="V272" s="34" t="s">
        <v>949</v>
      </c>
      <c r="W272" s="34"/>
      <c r="X272" s="34" t="s">
        <v>909</v>
      </c>
      <c r="Y272" s="34" t="s">
        <v>47</v>
      </c>
      <c r="Z272" s="34">
        <v>2142</v>
      </c>
      <c r="AA272" s="34" t="s">
        <v>393</v>
      </c>
      <c r="AB272" s="34" t="s">
        <v>393</v>
      </c>
      <c r="AC272" s="34"/>
      <c r="AD272" s="34"/>
      <c r="AE272" s="34"/>
      <c r="AF272" s="34" t="s">
        <v>364</v>
      </c>
      <c r="AG272" s="34"/>
      <c r="AH272" s="34"/>
      <c r="AI272" s="34">
        <v>43881</v>
      </c>
      <c r="AJ272" s="34">
        <v>10</v>
      </c>
      <c r="AK272" s="34">
        <v>143.30000000000001</v>
      </c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 t="s">
        <v>50</v>
      </c>
      <c r="BL272" s="34" t="s">
        <v>167</v>
      </c>
      <c r="BM272" s="34" t="s">
        <v>166</v>
      </c>
      <c r="BN272" s="34">
        <v>43924.497015347224</v>
      </c>
      <c r="BO272" s="34"/>
      <c r="BP272" s="34"/>
      <c r="BQ272" s="34"/>
      <c r="BR272" s="34" t="s">
        <v>165</v>
      </c>
      <c r="BS272" s="34">
        <v>4.0323202017043999E+18</v>
      </c>
      <c r="BT272" s="34" t="s">
        <v>164</v>
      </c>
      <c r="BU272" s="34" t="s">
        <v>362</v>
      </c>
      <c r="BV272" s="34">
        <v>2020</v>
      </c>
      <c r="BW272" s="34" t="s">
        <v>163</v>
      </c>
      <c r="BX272" s="34"/>
      <c r="BY272" s="34">
        <v>4.04022020173361E+18</v>
      </c>
      <c r="BZ272" s="34" t="s">
        <v>1372</v>
      </c>
      <c r="CA272" s="34" t="s">
        <v>161</v>
      </c>
    </row>
    <row r="273" spans="1:79" x14ac:dyDescent="0.25">
      <c r="A273" s="34" t="s">
        <v>374</v>
      </c>
      <c r="B273" s="34" t="s">
        <v>287</v>
      </c>
      <c r="C273" s="34">
        <v>2020</v>
      </c>
      <c r="D273" s="34" t="s">
        <v>197</v>
      </c>
      <c r="E273" s="34">
        <v>2.0200320921284E+17</v>
      </c>
      <c r="F273" s="34" t="s">
        <v>182</v>
      </c>
      <c r="G273" s="34" t="s">
        <v>1409</v>
      </c>
      <c r="H273" s="34">
        <v>1391686</v>
      </c>
      <c r="I273" s="34"/>
      <c r="J273" s="34" t="s">
        <v>180</v>
      </c>
      <c r="K273" s="34" t="s">
        <v>179</v>
      </c>
      <c r="L273" s="34"/>
      <c r="M273" s="34"/>
      <c r="N273" s="34" t="s">
        <v>905</v>
      </c>
      <c r="O273" s="34" t="s">
        <v>297</v>
      </c>
      <c r="P273" s="34"/>
      <c r="Q273" s="34" t="s">
        <v>296</v>
      </c>
      <c r="R273" s="34" t="s">
        <v>906</v>
      </c>
      <c r="S273" s="34"/>
      <c r="T273" s="34" t="s">
        <v>907</v>
      </c>
      <c r="U273" s="34"/>
      <c r="V273" s="34" t="s">
        <v>949</v>
      </c>
      <c r="W273" s="34"/>
      <c r="X273" s="34" t="s">
        <v>909</v>
      </c>
      <c r="Y273" s="34" t="s">
        <v>47</v>
      </c>
      <c r="Z273" s="34">
        <v>2142</v>
      </c>
      <c r="AA273" s="34" t="s">
        <v>393</v>
      </c>
      <c r="AB273" s="34" t="s">
        <v>393</v>
      </c>
      <c r="AC273" s="34"/>
      <c r="AD273" s="34"/>
      <c r="AE273" s="34"/>
      <c r="AF273" s="34" t="s">
        <v>377</v>
      </c>
      <c r="AG273" s="34"/>
      <c r="AH273" s="34"/>
      <c r="AI273" s="34">
        <v>43888</v>
      </c>
      <c r="AJ273" s="34">
        <v>50</v>
      </c>
      <c r="AK273" s="34">
        <v>150</v>
      </c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 t="s">
        <v>50</v>
      </c>
      <c r="BL273" s="34" t="s">
        <v>167</v>
      </c>
      <c r="BM273" s="34" t="s">
        <v>166</v>
      </c>
      <c r="BN273" s="34">
        <v>43924.50577427083</v>
      </c>
      <c r="BO273" s="34"/>
      <c r="BP273" s="34"/>
      <c r="BQ273" s="34"/>
      <c r="BR273" s="34" t="s">
        <v>165</v>
      </c>
      <c r="BS273" s="34">
        <v>4.0323202017043999E+18</v>
      </c>
      <c r="BT273" s="34" t="s">
        <v>164</v>
      </c>
      <c r="BU273" s="34" t="s">
        <v>1119</v>
      </c>
      <c r="BV273" s="34">
        <v>2020</v>
      </c>
      <c r="BW273" s="34" t="s">
        <v>163</v>
      </c>
      <c r="BX273" s="34"/>
      <c r="BY273" s="34">
        <v>4.04022020173361E+18</v>
      </c>
      <c r="BZ273" s="34" t="s">
        <v>1410</v>
      </c>
      <c r="CA273" s="34" t="s">
        <v>161</v>
      </c>
    </row>
    <row r="274" spans="1:79" x14ac:dyDescent="0.25">
      <c r="A274" s="34" t="s">
        <v>374</v>
      </c>
      <c r="B274" s="34" t="s">
        <v>287</v>
      </c>
      <c r="C274" s="34">
        <v>2020</v>
      </c>
      <c r="D274" s="34" t="s">
        <v>197</v>
      </c>
      <c r="E274" s="34">
        <v>2.0200320921284E+17</v>
      </c>
      <c r="F274" s="34" t="s">
        <v>182</v>
      </c>
      <c r="G274" s="34" t="s">
        <v>1411</v>
      </c>
      <c r="H274" s="34">
        <v>1391686</v>
      </c>
      <c r="I274" s="34"/>
      <c r="J274" s="34" t="s">
        <v>180</v>
      </c>
      <c r="K274" s="34" t="s">
        <v>179</v>
      </c>
      <c r="L274" s="34"/>
      <c r="M274" s="34"/>
      <c r="N274" s="34" t="s">
        <v>905</v>
      </c>
      <c r="O274" s="34" t="s">
        <v>297</v>
      </c>
      <c r="P274" s="34"/>
      <c r="Q274" s="34" t="s">
        <v>296</v>
      </c>
      <c r="R274" s="34" t="s">
        <v>906</v>
      </c>
      <c r="S274" s="34"/>
      <c r="T274" s="34" t="s">
        <v>907</v>
      </c>
      <c r="U274" s="34"/>
      <c r="V274" s="34" t="s">
        <v>949</v>
      </c>
      <c r="W274" s="34"/>
      <c r="X274" s="34" t="s">
        <v>909</v>
      </c>
      <c r="Y274" s="34" t="s">
        <v>47</v>
      </c>
      <c r="Z274" s="34">
        <v>2142</v>
      </c>
      <c r="AA274" s="34" t="s">
        <v>393</v>
      </c>
      <c r="AB274" s="34" t="s">
        <v>393</v>
      </c>
      <c r="AC274" s="34"/>
      <c r="AD274" s="34"/>
      <c r="AE274" s="34"/>
      <c r="AF274" s="34" t="s">
        <v>377</v>
      </c>
      <c r="AG274" s="34"/>
      <c r="AH274" s="34"/>
      <c r="AI274" s="34">
        <v>43866</v>
      </c>
      <c r="AJ274" s="34">
        <v>25</v>
      </c>
      <c r="AK274" s="34">
        <v>150</v>
      </c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 t="s">
        <v>50</v>
      </c>
      <c r="BL274" s="34" t="s">
        <v>167</v>
      </c>
      <c r="BM274" s="34" t="s">
        <v>166</v>
      </c>
      <c r="BN274" s="34">
        <v>43924.505774259262</v>
      </c>
      <c r="BO274" s="34"/>
      <c r="BP274" s="34"/>
      <c r="BQ274" s="34"/>
      <c r="BR274" s="34" t="s">
        <v>165</v>
      </c>
      <c r="BS274" s="34">
        <v>4.0323202017043999E+18</v>
      </c>
      <c r="BT274" s="34" t="s">
        <v>164</v>
      </c>
      <c r="BU274" s="34" t="s">
        <v>1119</v>
      </c>
      <c r="BV274" s="34">
        <v>2020</v>
      </c>
      <c r="BW274" s="34" t="s">
        <v>163</v>
      </c>
      <c r="BX274" s="34"/>
      <c r="BY274" s="34">
        <v>4.04022020173361E+18</v>
      </c>
      <c r="BZ274" s="34" t="s">
        <v>1395</v>
      </c>
      <c r="CA274" s="34" t="s">
        <v>161</v>
      </c>
    </row>
    <row r="275" spans="1:79" x14ac:dyDescent="0.25">
      <c r="A275" s="34" t="s">
        <v>374</v>
      </c>
      <c r="B275" s="34" t="s">
        <v>287</v>
      </c>
      <c r="C275" s="34">
        <v>2020</v>
      </c>
      <c r="D275" s="34" t="s">
        <v>197</v>
      </c>
      <c r="E275" s="34">
        <v>2.0200320921284E+17</v>
      </c>
      <c r="F275" s="34" t="s">
        <v>182</v>
      </c>
      <c r="G275" s="34" t="s">
        <v>1412</v>
      </c>
      <c r="H275" s="34">
        <v>1391686</v>
      </c>
      <c r="I275" s="34"/>
      <c r="J275" s="34" t="s">
        <v>180</v>
      </c>
      <c r="K275" s="34" t="s">
        <v>179</v>
      </c>
      <c r="L275" s="34"/>
      <c r="M275" s="34"/>
      <c r="N275" s="34" t="s">
        <v>905</v>
      </c>
      <c r="O275" s="34" t="s">
        <v>297</v>
      </c>
      <c r="P275" s="34"/>
      <c r="Q275" s="34" t="s">
        <v>296</v>
      </c>
      <c r="R275" s="34" t="s">
        <v>906</v>
      </c>
      <c r="S275" s="34"/>
      <c r="T275" s="34" t="s">
        <v>907</v>
      </c>
      <c r="U275" s="34"/>
      <c r="V275" s="34" t="s">
        <v>949</v>
      </c>
      <c r="W275" s="34"/>
      <c r="X275" s="34" t="s">
        <v>909</v>
      </c>
      <c r="Y275" s="34" t="s">
        <v>47</v>
      </c>
      <c r="Z275" s="34">
        <v>2142</v>
      </c>
      <c r="AA275" s="34" t="s">
        <v>393</v>
      </c>
      <c r="AB275" s="34" t="s">
        <v>393</v>
      </c>
      <c r="AC275" s="34"/>
      <c r="AD275" s="34"/>
      <c r="AE275" s="34"/>
      <c r="AF275" s="34" t="s">
        <v>377</v>
      </c>
      <c r="AG275" s="34"/>
      <c r="AH275" s="34"/>
      <c r="AI275" s="34">
        <v>43867</v>
      </c>
      <c r="AJ275" s="34">
        <v>12.5</v>
      </c>
      <c r="AK275" s="34">
        <v>37.5</v>
      </c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 t="s">
        <v>50</v>
      </c>
      <c r="BL275" s="34" t="s">
        <v>167</v>
      </c>
      <c r="BM275" s="34" t="s">
        <v>166</v>
      </c>
      <c r="BN275" s="34">
        <v>43924.505774259262</v>
      </c>
      <c r="BO275" s="34"/>
      <c r="BP275" s="34"/>
      <c r="BQ275" s="34"/>
      <c r="BR275" s="34" t="s">
        <v>165</v>
      </c>
      <c r="BS275" s="34">
        <v>4.0323202017043999E+18</v>
      </c>
      <c r="BT275" s="34" t="s">
        <v>164</v>
      </c>
      <c r="BU275" s="34" t="s">
        <v>660</v>
      </c>
      <c r="BV275" s="34">
        <v>2020</v>
      </c>
      <c r="BW275" s="34" t="s">
        <v>163</v>
      </c>
      <c r="BX275" s="34"/>
      <c r="BY275" s="34">
        <v>4.04022020173361E+18</v>
      </c>
      <c r="BZ275" s="34" t="s">
        <v>1379</v>
      </c>
      <c r="CA275" s="34" t="s">
        <v>161</v>
      </c>
    </row>
    <row r="276" spans="1:79" x14ac:dyDescent="0.25">
      <c r="A276" s="34" t="s">
        <v>374</v>
      </c>
      <c r="B276" s="34" t="s">
        <v>287</v>
      </c>
      <c r="C276" s="34">
        <v>2020</v>
      </c>
      <c r="D276" s="34" t="s">
        <v>197</v>
      </c>
      <c r="E276" s="34">
        <v>2.0200320921284E+17</v>
      </c>
      <c r="F276" s="34" t="s">
        <v>182</v>
      </c>
      <c r="G276" s="34" t="s">
        <v>1413</v>
      </c>
      <c r="H276" s="34">
        <v>1391686</v>
      </c>
      <c r="I276" s="34"/>
      <c r="J276" s="34" t="s">
        <v>180</v>
      </c>
      <c r="K276" s="34" t="s">
        <v>179</v>
      </c>
      <c r="L276" s="34"/>
      <c r="M276" s="34"/>
      <c r="N276" s="34" t="s">
        <v>905</v>
      </c>
      <c r="O276" s="34" t="s">
        <v>297</v>
      </c>
      <c r="P276" s="34"/>
      <c r="Q276" s="34" t="s">
        <v>296</v>
      </c>
      <c r="R276" s="34" t="s">
        <v>906</v>
      </c>
      <c r="S276" s="34"/>
      <c r="T276" s="34" t="s">
        <v>907</v>
      </c>
      <c r="U276" s="34"/>
      <c r="V276" s="34" t="s">
        <v>949</v>
      </c>
      <c r="W276" s="34"/>
      <c r="X276" s="34" t="s">
        <v>909</v>
      </c>
      <c r="Y276" s="34" t="s">
        <v>47</v>
      </c>
      <c r="Z276" s="34">
        <v>2142</v>
      </c>
      <c r="AA276" s="34" t="s">
        <v>393</v>
      </c>
      <c r="AB276" s="34" t="s">
        <v>393</v>
      </c>
      <c r="AC276" s="34"/>
      <c r="AD276" s="34"/>
      <c r="AE276" s="34"/>
      <c r="AF276" s="34" t="s">
        <v>364</v>
      </c>
      <c r="AG276" s="34"/>
      <c r="AH276" s="34"/>
      <c r="AI276" s="34">
        <v>43881</v>
      </c>
      <c r="AJ276" s="34">
        <v>10</v>
      </c>
      <c r="AK276" s="34">
        <v>143.30000000000001</v>
      </c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 t="s">
        <v>50</v>
      </c>
      <c r="BL276" s="34" t="s">
        <v>167</v>
      </c>
      <c r="BM276" s="34" t="s">
        <v>166</v>
      </c>
      <c r="BN276" s="34">
        <v>43924.50577427083</v>
      </c>
      <c r="BO276" s="34"/>
      <c r="BP276" s="34"/>
      <c r="BQ276" s="34"/>
      <c r="BR276" s="34" t="s">
        <v>165</v>
      </c>
      <c r="BS276" s="34">
        <v>4.0323202017043999E+18</v>
      </c>
      <c r="BT276" s="34" t="s">
        <v>164</v>
      </c>
      <c r="BU276" s="34" t="s">
        <v>362</v>
      </c>
      <c r="BV276" s="34">
        <v>2020</v>
      </c>
      <c r="BW276" s="34" t="s">
        <v>163</v>
      </c>
      <c r="BX276" s="34"/>
      <c r="BY276" s="34">
        <v>4.04022020173361E+18</v>
      </c>
      <c r="BZ276" s="34" t="s">
        <v>1381</v>
      </c>
      <c r="CA276" s="34" t="s">
        <v>161</v>
      </c>
    </row>
    <row r="277" spans="1:79" x14ac:dyDescent="0.25">
      <c r="A277" s="34" t="s">
        <v>374</v>
      </c>
      <c r="B277" s="34" t="s">
        <v>287</v>
      </c>
      <c r="C277" s="34">
        <v>2020</v>
      </c>
      <c r="D277" s="34" t="s">
        <v>197</v>
      </c>
      <c r="E277" s="34">
        <v>2.0200320921284E+17</v>
      </c>
      <c r="F277" s="34" t="s">
        <v>182</v>
      </c>
      <c r="G277" s="34" t="s">
        <v>1414</v>
      </c>
      <c r="H277" s="34">
        <v>1391686</v>
      </c>
      <c r="I277" s="34"/>
      <c r="J277" s="34" t="s">
        <v>180</v>
      </c>
      <c r="K277" s="34" t="s">
        <v>179</v>
      </c>
      <c r="L277" s="34"/>
      <c r="M277" s="34"/>
      <c r="N277" s="34" t="s">
        <v>905</v>
      </c>
      <c r="O277" s="34" t="s">
        <v>297</v>
      </c>
      <c r="P277" s="34"/>
      <c r="Q277" s="34" t="s">
        <v>296</v>
      </c>
      <c r="R277" s="34" t="s">
        <v>906</v>
      </c>
      <c r="S277" s="34"/>
      <c r="T277" s="34" t="s">
        <v>907</v>
      </c>
      <c r="U277" s="34"/>
      <c r="V277" s="34" t="s">
        <v>949</v>
      </c>
      <c r="W277" s="34"/>
      <c r="X277" s="34" t="s">
        <v>909</v>
      </c>
      <c r="Y277" s="34" t="s">
        <v>47</v>
      </c>
      <c r="Z277" s="34">
        <v>2142</v>
      </c>
      <c r="AA277" s="34" t="s">
        <v>393</v>
      </c>
      <c r="AB277" s="34" t="s">
        <v>393</v>
      </c>
      <c r="AC277" s="34"/>
      <c r="AD277" s="34"/>
      <c r="AE277" s="34"/>
      <c r="AF277" s="34" t="s">
        <v>377</v>
      </c>
      <c r="AG277" s="34"/>
      <c r="AH277" s="34"/>
      <c r="AI277" s="34">
        <v>43867</v>
      </c>
      <c r="AJ277" s="34">
        <v>12.5</v>
      </c>
      <c r="AK277" s="34">
        <v>62.5</v>
      </c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 t="s">
        <v>50</v>
      </c>
      <c r="BL277" s="34" t="s">
        <v>167</v>
      </c>
      <c r="BM277" s="34" t="s">
        <v>166</v>
      </c>
      <c r="BN277" s="34">
        <v>43924.506885567127</v>
      </c>
      <c r="BO277" s="34"/>
      <c r="BP277" s="34"/>
      <c r="BQ277" s="34"/>
      <c r="BR277" s="34" t="s">
        <v>165</v>
      </c>
      <c r="BS277" s="34">
        <v>4.0323202017043999E+18</v>
      </c>
      <c r="BT277" s="34" t="s">
        <v>164</v>
      </c>
      <c r="BU277" s="34" t="s">
        <v>1383</v>
      </c>
      <c r="BV277" s="34">
        <v>2020</v>
      </c>
      <c r="BW277" s="34" t="s">
        <v>163</v>
      </c>
      <c r="BX277" s="34"/>
      <c r="BY277" s="34">
        <v>4.04022020173361E+18</v>
      </c>
      <c r="BZ277" s="34" t="s">
        <v>1367</v>
      </c>
      <c r="CA277" s="34" t="s">
        <v>161</v>
      </c>
    </row>
    <row r="278" spans="1:79" x14ac:dyDescent="0.25">
      <c r="A278" s="34" t="s">
        <v>374</v>
      </c>
      <c r="B278" s="34" t="s">
        <v>287</v>
      </c>
      <c r="C278" s="34">
        <v>2020</v>
      </c>
      <c r="D278" s="34" t="s">
        <v>197</v>
      </c>
      <c r="E278" s="34">
        <v>2.0200320921284E+17</v>
      </c>
      <c r="F278" s="34" t="s">
        <v>182</v>
      </c>
      <c r="G278" s="34" t="s">
        <v>1415</v>
      </c>
      <c r="H278" s="34">
        <v>1391686</v>
      </c>
      <c r="I278" s="34"/>
      <c r="J278" s="34" t="s">
        <v>180</v>
      </c>
      <c r="K278" s="34" t="s">
        <v>179</v>
      </c>
      <c r="L278" s="34"/>
      <c r="M278" s="34"/>
      <c r="N278" s="34" t="s">
        <v>905</v>
      </c>
      <c r="O278" s="34" t="s">
        <v>297</v>
      </c>
      <c r="P278" s="34"/>
      <c r="Q278" s="34" t="s">
        <v>296</v>
      </c>
      <c r="R278" s="34" t="s">
        <v>906</v>
      </c>
      <c r="S278" s="34"/>
      <c r="T278" s="34" t="s">
        <v>907</v>
      </c>
      <c r="U278" s="34"/>
      <c r="V278" s="34" t="s">
        <v>949</v>
      </c>
      <c r="W278" s="34"/>
      <c r="X278" s="34" t="s">
        <v>909</v>
      </c>
      <c r="Y278" s="34" t="s">
        <v>47</v>
      </c>
      <c r="Z278" s="34">
        <v>2142</v>
      </c>
      <c r="AA278" s="34" t="s">
        <v>393</v>
      </c>
      <c r="AB278" s="34" t="s">
        <v>393</v>
      </c>
      <c r="AC278" s="34"/>
      <c r="AD278" s="34"/>
      <c r="AE278" s="34"/>
      <c r="AF278" s="34" t="s">
        <v>377</v>
      </c>
      <c r="AG278" s="34"/>
      <c r="AH278" s="34"/>
      <c r="AI278" s="34">
        <v>43876</v>
      </c>
      <c r="AJ278" s="34">
        <v>10</v>
      </c>
      <c r="AK278" s="34">
        <v>20</v>
      </c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 t="s">
        <v>50</v>
      </c>
      <c r="BL278" s="34" t="s">
        <v>167</v>
      </c>
      <c r="BM278" s="34" t="s">
        <v>166</v>
      </c>
      <c r="BN278" s="34">
        <v>43924.506885567127</v>
      </c>
      <c r="BO278" s="34"/>
      <c r="BP278" s="34"/>
      <c r="BQ278" s="34"/>
      <c r="BR278" s="34" t="s">
        <v>165</v>
      </c>
      <c r="BS278" s="34">
        <v>4.0323202017043999E+18</v>
      </c>
      <c r="BT278" s="34" t="s">
        <v>164</v>
      </c>
      <c r="BU278" s="34" t="s">
        <v>1115</v>
      </c>
      <c r="BV278" s="34">
        <v>2020</v>
      </c>
      <c r="BW278" s="34" t="s">
        <v>163</v>
      </c>
      <c r="BX278" s="34"/>
      <c r="BY278" s="34">
        <v>4.04022020173361E+18</v>
      </c>
      <c r="BZ278" s="34" t="s">
        <v>1398</v>
      </c>
      <c r="CA278" s="34" t="s">
        <v>161</v>
      </c>
    </row>
    <row r="279" spans="1:79" x14ac:dyDescent="0.25">
      <c r="A279" s="34" t="s">
        <v>374</v>
      </c>
      <c r="B279" s="34" t="s">
        <v>287</v>
      </c>
      <c r="C279" s="34">
        <v>2020</v>
      </c>
      <c r="D279" s="34" t="s">
        <v>197</v>
      </c>
      <c r="E279" s="34">
        <v>2.0200320921284E+17</v>
      </c>
      <c r="F279" s="34" t="s">
        <v>182</v>
      </c>
      <c r="G279" s="34" t="s">
        <v>1416</v>
      </c>
      <c r="H279" s="34">
        <v>1391686</v>
      </c>
      <c r="I279" s="34"/>
      <c r="J279" s="34" t="s">
        <v>180</v>
      </c>
      <c r="K279" s="34" t="s">
        <v>179</v>
      </c>
      <c r="L279" s="34"/>
      <c r="M279" s="34"/>
      <c r="N279" s="34" t="s">
        <v>905</v>
      </c>
      <c r="O279" s="34" t="s">
        <v>297</v>
      </c>
      <c r="P279" s="34"/>
      <c r="Q279" s="34" t="s">
        <v>296</v>
      </c>
      <c r="R279" s="34" t="s">
        <v>906</v>
      </c>
      <c r="S279" s="34"/>
      <c r="T279" s="34" t="s">
        <v>907</v>
      </c>
      <c r="U279" s="34"/>
      <c r="V279" s="34" t="s">
        <v>949</v>
      </c>
      <c r="W279" s="34"/>
      <c r="X279" s="34" t="s">
        <v>909</v>
      </c>
      <c r="Y279" s="34" t="s">
        <v>47</v>
      </c>
      <c r="Z279" s="34">
        <v>2142</v>
      </c>
      <c r="AA279" s="34" t="s">
        <v>393</v>
      </c>
      <c r="AB279" s="34" t="s">
        <v>393</v>
      </c>
      <c r="AC279" s="34"/>
      <c r="AD279" s="34"/>
      <c r="AE279" s="34"/>
      <c r="AF279" s="34" t="s">
        <v>364</v>
      </c>
      <c r="AG279" s="34"/>
      <c r="AH279" s="34"/>
      <c r="AI279" s="34">
        <v>43881</v>
      </c>
      <c r="AJ279" s="34">
        <v>2.5</v>
      </c>
      <c r="AK279" s="34">
        <v>143.30000000000001</v>
      </c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 t="s">
        <v>50</v>
      </c>
      <c r="BL279" s="34" t="s">
        <v>167</v>
      </c>
      <c r="BM279" s="34" t="s">
        <v>166</v>
      </c>
      <c r="BN279" s="34">
        <v>43924.506885578703</v>
      </c>
      <c r="BO279" s="34"/>
      <c r="BP279" s="34"/>
      <c r="BQ279" s="34"/>
      <c r="BR279" s="34" t="s">
        <v>165</v>
      </c>
      <c r="BS279" s="34">
        <v>4.0323202017043999E+18</v>
      </c>
      <c r="BT279" s="34" t="s">
        <v>164</v>
      </c>
      <c r="BU279" s="34" t="s">
        <v>362</v>
      </c>
      <c r="BV279" s="34">
        <v>2020</v>
      </c>
      <c r="BW279" s="34" t="s">
        <v>163</v>
      </c>
      <c r="BX279" s="34"/>
      <c r="BY279" s="34">
        <v>4.04022020173361E+18</v>
      </c>
      <c r="BZ279" s="34" t="s">
        <v>1372</v>
      </c>
      <c r="CA279" s="34" t="s">
        <v>161</v>
      </c>
    </row>
    <row r="280" spans="1:79" x14ac:dyDescent="0.25">
      <c r="A280" s="34" t="s">
        <v>374</v>
      </c>
      <c r="B280" s="34" t="s">
        <v>287</v>
      </c>
      <c r="C280" s="34">
        <v>2020</v>
      </c>
      <c r="D280" s="34" t="s">
        <v>197</v>
      </c>
      <c r="E280" s="34">
        <v>2.0200320921284E+17</v>
      </c>
      <c r="F280" s="34" t="s">
        <v>182</v>
      </c>
      <c r="G280" s="34" t="s">
        <v>1417</v>
      </c>
      <c r="H280" s="34">
        <v>1391686</v>
      </c>
      <c r="I280" s="34"/>
      <c r="J280" s="34" t="s">
        <v>180</v>
      </c>
      <c r="K280" s="34" t="s">
        <v>179</v>
      </c>
      <c r="L280" s="34"/>
      <c r="M280" s="34"/>
      <c r="N280" s="34" t="s">
        <v>905</v>
      </c>
      <c r="O280" s="34" t="s">
        <v>297</v>
      </c>
      <c r="P280" s="34"/>
      <c r="Q280" s="34" t="s">
        <v>296</v>
      </c>
      <c r="R280" s="34" t="s">
        <v>906</v>
      </c>
      <c r="S280" s="34"/>
      <c r="T280" s="34" t="s">
        <v>907</v>
      </c>
      <c r="U280" s="34"/>
      <c r="V280" s="34" t="s">
        <v>949</v>
      </c>
      <c r="W280" s="34"/>
      <c r="X280" s="34" t="s">
        <v>909</v>
      </c>
      <c r="Y280" s="34" t="s">
        <v>47</v>
      </c>
      <c r="Z280" s="34">
        <v>2142</v>
      </c>
      <c r="AA280" s="34" t="s">
        <v>393</v>
      </c>
      <c r="AB280" s="34" t="s">
        <v>393</v>
      </c>
      <c r="AC280" s="34"/>
      <c r="AD280" s="34"/>
      <c r="AE280" s="34"/>
      <c r="AF280" s="34" t="s">
        <v>364</v>
      </c>
      <c r="AG280" s="34"/>
      <c r="AH280" s="34"/>
      <c r="AI280" s="34">
        <v>43888</v>
      </c>
      <c r="AJ280" s="34">
        <v>6.9</v>
      </c>
      <c r="AK280" s="34">
        <v>143.30000000000001</v>
      </c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 t="s">
        <v>50</v>
      </c>
      <c r="BL280" s="34" t="s">
        <v>167</v>
      </c>
      <c r="BM280" s="34" t="s">
        <v>166</v>
      </c>
      <c r="BN280" s="34">
        <v>43924.506885578703</v>
      </c>
      <c r="BO280" s="34"/>
      <c r="BP280" s="34"/>
      <c r="BQ280" s="34"/>
      <c r="BR280" s="34" t="s">
        <v>165</v>
      </c>
      <c r="BS280" s="34">
        <v>4.0323202017043999E+18</v>
      </c>
      <c r="BT280" s="34" t="s">
        <v>164</v>
      </c>
      <c r="BU280" s="34" t="s">
        <v>362</v>
      </c>
      <c r="BV280" s="34">
        <v>2020</v>
      </c>
      <c r="BW280" s="34" t="s">
        <v>163</v>
      </c>
      <c r="BX280" s="34"/>
      <c r="BY280" s="34">
        <v>4.04022020173361E+18</v>
      </c>
      <c r="BZ280" s="34" t="s">
        <v>1406</v>
      </c>
      <c r="CA280" s="34" t="s">
        <v>161</v>
      </c>
    </row>
    <row r="281" spans="1:79" x14ac:dyDescent="0.25">
      <c r="A281" s="34" t="s">
        <v>374</v>
      </c>
      <c r="B281" s="34" t="s">
        <v>287</v>
      </c>
      <c r="C281" s="34">
        <v>2020</v>
      </c>
      <c r="D281" s="34" t="s">
        <v>197</v>
      </c>
      <c r="E281" s="34">
        <v>2.0200320921284E+17</v>
      </c>
      <c r="F281" s="34" t="s">
        <v>182</v>
      </c>
      <c r="G281" s="34" t="s">
        <v>1418</v>
      </c>
      <c r="H281" s="34">
        <v>1391686</v>
      </c>
      <c r="I281" s="34"/>
      <c r="J281" s="34" t="s">
        <v>180</v>
      </c>
      <c r="K281" s="34" t="s">
        <v>179</v>
      </c>
      <c r="L281" s="34" t="s">
        <v>903</v>
      </c>
      <c r="M281" s="34"/>
      <c r="N281" s="34" t="s">
        <v>905</v>
      </c>
      <c r="O281" s="34" t="s">
        <v>297</v>
      </c>
      <c r="P281" s="34"/>
      <c r="Q281" s="34" t="s">
        <v>296</v>
      </c>
      <c r="R281" s="34" t="s">
        <v>906</v>
      </c>
      <c r="S281" s="34"/>
      <c r="T281" s="34" t="s">
        <v>907</v>
      </c>
      <c r="U281" s="34"/>
      <c r="V281" s="34" t="s">
        <v>949</v>
      </c>
      <c r="W281" s="34"/>
      <c r="X281" s="34" t="s">
        <v>909</v>
      </c>
      <c r="Y281" s="34" t="s">
        <v>47</v>
      </c>
      <c r="Z281" s="34">
        <v>2142</v>
      </c>
      <c r="AA281" s="34" t="s">
        <v>393</v>
      </c>
      <c r="AB281" s="34" t="s">
        <v>393</v>
      </c>
      <c r="AC281" s="34" t="s">
        <v>903</v>
      </c>
      <c r="AD281" s="34" t="s">
        <v>383</v>
      </c>
      <c r="AE281" s="34" t="s">
        <v>382</v>
      </c>
      <c r="AF281" s="34" t="s">
        <v>377</v>
      </c>
      <c r="AG281" s="34"/>
      <c r="AH281" s="34"/>
      <c r="AI281" s="34">
        <v>43865</v>
      </c>
      <c r="AJ281" s="34">
        <v>30</v>
      </c>
      <c r="AK281" s="34">
        <v>330</v>
      </c>
      <c r="AL281" s="34" t="s">
        <v>973</v>
      </c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 t="s">
        <v>28</v>
      </c>
      <c r="BH281" s="34"/>
      <c r="BI281" s="34" t="s">
        <v>168</v>
      </c>
      <c r="BJ281" s="34"/>
      <c r="BK281" s="34" t="s">
        <v>50</v>
      </c>
      <c r="BL281" s="34" t="s">
        <v>167</v>
      </c>
      <c r="BM281" s="34" t="s">
        <v>166</v>
      </c>
      <c r="BN281" s="34">
        <v>43924.524399756941</v>
      </c>
      <c r="BO281" s="34"/>
      <c r="BP281" s="34"/>
      <c r="BQ281" s="34"/>
      <c r="BR281" s="34" t="s">
        <v>165</v>
      </c>
      <c r="BS281" s="34">
        <v>4.0323202017043999E+18</v>
      </c>
      <c r="BT281" s="34" t="s">
        <v>164</v>
      </c>
      <c r="BU281" s="34" t="s">
        <v>974</v>
      </c>
      <c r="BV281" s="34">
        <v>2020</v>
      </c>
      <c r="BW281" s="34" t="s">
        <v>163</v>
      </c>
      <c r="BX281" s="34"/>
      <c r="BY281" s="34">
        <v>4.04022020173361E+18</v>
      </c>
      <c r="BZ281" s="34" t="s">
        <v>1391</v>
      </c>
      <c r="CA281" s="34" t="s">
        <v>161</v>
      </c>
    </row>
    <row r="282" spans="1:79" x14ac:dyDescent="0.25">
      <c r="A282" s="34" t="s">
        <v>374</v>
      </c>
      <c r="B282" s="34" t="s">
        <v>287</v>
      </c>
      <c r="C282" s="34">
        <v>2020</v>
      </c>
      <c r="D282" s="34" t="s">
        <v>197</v>
      </c>
      <c r="E282" s="34">
        <v>2.0200320921284E+17</v>
      </c>
      <c r="F282" s="34" t="s">
        <v>182</v>
      </c>
      <c r="G282" s="34" t="s">
        <v>1419</v>
      </c>
      <c r="H282" s="34">
        <v>1391686</v>
      </c>
      <c r="I282" s="34"/>
      <c r="J282" s="34" t="s">
        <v>180</v>
      </c>
      <c r="K282" s="34" t="s">
        <v>179</v>
      </c>
      <c r="L282" s="34"/>
      <c r="M282" s="34"/>
      <c r="N282" s="34" t="s">
        <v>905</v>
      </c>
      <c r="O282" s="34" t="s">
        <v>297</v>
      </c>
      <c r="P282" s="34"/>
      <c r="Q282" s="34" t="s">
        <v>296</v>
      </c>
      <c r="R282" s="34" t="s">
        <v>906</v>
      </c>
      <c r="S282" s="34"/>
      <c r="T282" s="34" t="s">
        <v>907</v>
      </c>
      <c r="U282" s="34"/>
      <c r="V282" s="34" t="s">
        <v>949</v>
      </c>
      <c r="W282" s="34"/>
      <c r="X282" s="34" t="s">
        <v>909</v>
      </c>
      <c r="Y282" s="34" t="s">
        <v>47</v>
      </c>
      <c r="Z282" s="34">
        <v>2142</v>
      </c>
      <c r="AA282" s="34" t="s">
        <v>393</v>
      </c>
      <c r="AB282" s="34" t="s">
        <v>393</v>
      </c>
      <c r="AC282" s="34"/>
      <c r="AD282" s="34"/>
      <c r="AE282" s="34"/>
      <c r="AF282" s="34" t="s">
        <v>364</v>
      </c>
      <c r="AG282" s="34"/>
      <c r="AH282" s="34"/>
      <c r="AI282" s="34">
        <v>43866</v>
      </c>
      <c r="AJ282" s="34">
        <v>2.5</v>
      </c>
      <c r="AK282" s="34">
        <v>143.30000000000001</v>
      </c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 t="s">
        <v>50</v>
      </c>
      <c r="BL282" s="34" t="s">
        <v>167</v>
      </c>
      <c r="BM282" s="34" t="s">
        <v>166</v>
      </c>
      <c r="BN282" s="34">
        <v>43924.524399756941</v>
      </c>
      <c r="BO282" s="34"/>
      <c r="BP282" s="34"/>
      <c r="BQ282" s="34"/>
      <c r="BR282" s="34" t="s">
        <v>165</v>
      </c>
      <c r="BS282" s="34">
        <v>4.0323202017043999E+18</v>
      </c>
      <c r="BT282" s="34" t="s">
        <v>164</v>
      </c>
      <c r="BU282" s="34" t="s">
        <v>362</v>
      </c>
      <c r="BV282" s="34">
        <v>2020</v>
      </c>
      <c r="BW282" s="34" t="s">
        <v>163</v>
      </c>
      <c r="BX282" s="34"/>
      <c r="BY282" s="34">
        <v>4.04022020173361E+18</v>
      </c>
      <c r="BZ282" s="34" t="s">
        <v>1367</v>
      </c>
      <c r="CA282" s="34" t="s">
        <v>161</v>
      </c>
    </row>
    <row r="283" spans="1:79" x14ac:dyDescent="0.25">
      <c r="A283" s="34" t="s">
        <v>374</v>
      </c>
      <c r="B283" s="34" t="s">
        <v>287</v>
      </c>
      <c r="C283" s="34">
        <v>2020</v>
      </c>
      <c r="D283" s="34" t="s">
        <v>197</v>
      </c>
      <c r="E283" s="34">
        <v>2.0200320921284E+17</v>
      </c>
      <c r="F283" s="34" t="s">
        <v>182</v>
      </c>
      <c r="G283" s="34" t="s">
        <v>1420</v>
      </c>
      <c r="H283" s="34">
        <v>1391686</v>
      </c>
      <c r="I283" s="34"/>
      <c r="J283" s="34" t="s">
        <v>180</v>
      </c>
      <c r="K283" s="34" t="s">
        <v>179</v>
      </c>
      <c r="L283" s="34"/>
      <c r="M283" s="34"/>
      <c r="N283" s="34" t="s">
        <v>905</v>
      </c>
      <c r="O283" s="34" t="s">
        <v>297</v>
      </c>
      <c r="P283" s="34"/>
      <c r="Q283" s="34" t="s">
        <v>296</v>
      </c>
      <c r="R283" s="34" t="s">
        <v>906</v>
      </c>
      <c r="S283" s="34"/>
      <c r="T283" s="34" t="s">
        <v>907</v>
      </c>
      <c r="U283" s="34"/>
      <c r="V283" s="34" t="s">
        <v>949</v>
      </c>
      <c r="W283" s="34"/>
      <c r="X283" s="34" t="s">
        <v>909</v>
      </c>
      <c r="Y283" s="34" t="s">
        <v>47</v>
      </c>
      <c r="Z283" s="34">
        <v>2142</v>
      </c>
      <c r="AA283" s="34" t="s">
        <v>393</v>
      </c>
      <c r="AB283" s="34" t="s">
        <v>393</v>
      </c>
      <c r="AC283" s="34"/>
      <c r="AD283" s="34"/>
      <c r="AE283" s="34"/>
      <c r="AF283" s="34" t="s">
        <v>364</v>
      </c>
      <c r="AG283" s="34"/>
      <c r="AH283" s="34"/>
      <c r="AI283" s="34">
        <v>43887</v>
      </c>
      <c r="AJ283" s="34">
        <v>5</v>
      </c>
      <c r="AK283" s="34">
        <v>143.30000000000001</v>
      </c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 t="s">
        <v>50</v>
      </c>
      <c r="BL283" s="34" t="s">
        <v>167</v>
      </c>
      <c r="BM283" s="34" t="s">
        <v>166</v>
      </c>
      <c r="BN283" s="34">
        <v>43924.524399768517</v>
      </c>
      <c r="BO283" s="34"/>
      <c r="BP283" s="34"/>
      <c r="BQ283" s="34"/>
      <c r="BR283" s="34" t="s">
        <v>165</v>
      </c>
      <c r="BS283" s="34">
        <v>4.0323202017043999E+18</v>
      </c>
      <c r="BT283" s="34" t="s">
        <v>164</v>
      </c>
      <c r="BU283" s="34" t="s">
        <v>362</v>
      </c>
      <c r="BV283" s="34">
        <v>2020</v>
      </c>
      <c r="BW283" s="34" t="s">
        <v>163</v>
      </c>
      <c r="BX283" s="34"/>
      <c r="BY283" s="34">
        <v>4.04022020173361E+18</v>
      </c>
      <c r="BZ283" s="34" t="s">
        <v>1400</v>
      </c>
      <c r="CA283" s="34" t="s">
        <v>161</v>
      </c>
    </row>
    <row r="284" spans="1:79" x14ac:dyDescent="0.25">
      <c r="A284" s="34" t="s">
        <v>1025</v>
      </c>
      <c r="B284" s="34" t="s">
        <v>1026</v>
      </c>
      <c r="C284" s="34">
        <v>2020</v>
      </c>
      <c r="D284" s="34" t="s">
        <v>589</v>
      </c>
      <c r="E284" s="34">
        <v>2.0200415921679699E+17</v>
      </c>
      <c r="F284" s="34" t="s">
        <v>182</v>
      </c>
      <c r="G284" s="34" t="s">
        <v>1421</v>
      </c>
      <c r="H284" s="34">
        <v>1397961</v>
      </c>
      <c r="I284" s="34"/>
      <c r="J284" s="34" t="s">
        <v>180</v>
      </c>
      <c r="K284" s="34" t="s">
        <v>179</v>
      </c>
      <c r="L284" s="34" t="s">
        <v>374</v>
      </c>
      <c r="M284" s="34"/>
      <c r="N284" s="34" t="s">
        <v>905</v>
      </c>
      <c r="O284" s="34" t="s">
        <v>75</v>
      </c>
      <c r="P284" s="34"/>
      <c r="Q284" s="34" t="s">
        <v>28</v>
      </c>
      <c r="R284" s="34" t="s">
        <v>906</v>
      </c>
      <c r="S284" s="34"/>
      <c r="T284" s="34" t="s">
        <v>907</v>
      </c>
      <c r="U284" s="34"/>
      <c r="V284" s="34" t="s">
        <v>908</v>
      </c>
      <c r="W284" s="34"/>
      <c r="X284" s="34" t="s">
        <v>909</v>
      </c>
      <c r="Y284" s="34" t="s">
        <v>47</v>
      </c>
      <c r="Z284" s="34">
        <v>21421229</v>
      </c>
      <c r="AA284" s="34" t="s">
        <v>1028</v>
      </c>
      <c r="AB284" s="34" t="s">
        <v>290</v>
      </c>
      <c r="AC284" s="34" t="s">
        <v>374</v>
      </c>
      <c r="AD284" s="34" t="s">
        <v>345</v>
      </c>
      <c r="AE284" s="34" t="s">
        <v>344</v>
      </c>
      <c r="AF284" s="34"/>
      <c r="AG284" s="34"/>
      <c r="AH284" s="34"/>
      <c r="AI284" s="34">
        <v>43874</v>
      </c>
      <c r="AJ284" s="34">
        <v>50</v>
      </c>
      <c r="AK284" s="34">
        <v>963.5</v>
      </c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 t="s">
        <v>446</v>
      </c>
      <c r="BH284" s="34"/>
      <c r="BI284" s="34" t="s">
        <v>168</v>
      </c>
      <c r="BJ284" s="34">
        <v>2020</v>
      </c>
      <c r="BK284" s="34" t="s">
        <v>50</v>
      </c>
      <c r="BL284" s="34" t="s">
        <v>167</v>
      </c>
      <c r="BM284" s="34" t="s">
        <v>166</v>
      </c>
      <c r="BN284" s="34">
        <v>43957.060159548608</v>
      </c>
      <c r="BO284" s="34"/>
      <c r="BP284" s="34" t="s">
        <v>1422</v>
      </c>
      <c r="BQ284" s="34" t="s">
        <v>419</v>
      </c>
      <c r="BR284" s="34" t="s">
        <v>513</v>
      </c>
      <c r="BS284" s="34">
        <v>4.04152020173679E+18</v>
      </c>
      <c r="BT284" s="34" t="s">
        <v>164</v>
      </c>
      <c r="BU284" s="34" t="s">
        <v>512</v>
      </c>
      <c r="BV284" s="34">
        <v>2020</v>
      </c>
      <c r="BW284" s="34" t="s">
        <v>163</v>
      </c>
      <c r="BX284" s="34"/>
      <c r="BY284" s="34">
        <v>4.0505202017417999E+18</v>
      </c>
      <c r="BZ284" s="34" t="s">
        <v>1423</v>
      </c>
      <c r="CA284" s="34" t="s">
        <v>161</v>
      </c>
    </row>
    <row r="285" spans="1:79" x14ac:dyDescent="0.25">
      <c r="A285" s="34" t="s">
        <v>1025</v>
      </c>
      <c r="B285" s="34" t="s">
        <v>1026</v>
      </c>
      <c r="C285" s="34">
        <v>2020</v>
      </c>
      <c r="D285" s="34" t="s">
        <v>589</v>
      </c>
      <c r="E285" s="34">
        <v>2.0200415921679901E+17</v>
      </c>
      <c r="F285" s="34" t="s">
        <v>182</v>
      </c>
      <c r="G285" s="34" t="s">
        <v>1424</v>
      </c>
      <c r="H285" s="34">
        <v>1397961</v>
      </c>
      <c r="I285" s="34"/>
      <c r="J285" s="34" t="s">
        <v>180</v>
      </c>
      <c r="K285" s="34" t="s">
        <v>179</v>
      </c>
      <c r="L285" s="34" t="s">
        <v>374</v>
      </c>
      <c r="M285" s="34"/>
      <c r="N285" s="34" t="s">
        <v>905</v>
      </c>
      <c r="O285" s="34" t="s">
        <v>75</v>
      </c>
      <c r="P285" s="34"/>
      <c r="Q285" s="34" t="s">
        <v>28</v>
      </c>
      <c r="R285" s="34" t="s">
        <v>906</v>
      </c>
      <c r="S285" s="34"/>
      <c r="T285" s="34" t="s">
        <v>907</v>
      </c>
      <c r="U285" s="34"/>
      <c r="V285" s="34" t="s">
        <v>908</v>
      </c>
      <c r="W285" s="34"/>
      <c r="X285" s="34" t="s">
        <v>909</v>
      </c>
      <c r="Y285" s="34" t="s">
        <v>47</v>
      </c>
      <c r="Z285" s="34">
        <v>21421229</v>
      </c>
      <c r="AA285" s="34" t="s">
        <v>1028</v>
      </c>
      <c r="AB285" s="34" t="s">
        <v>290</v>
      </c>
      <c r="AC285" s="34" t="s">
        <v>374</v>
      </c>
      <c r="AD285" s="34" t="s">
        <v>345</v>
      </c>
      <c r="AE285" s="34" t="s">
        <v>344</v>
      </c>
      <c r="AF285" s="34"/>
      <c r="AG285" s="34"/>
      <c r="AH285" s="34"/>
      <c r="AI285" s="34">
        <v>43905</v>
      </c>
      <c r="AJ285" s="34">
        <v>65</v>
      </c>
      <c r="AK285" s="34">
        <v>963.5</v>
      </c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 t="s">
        <v>501</v>
      </c>
      <c r="BH285" s="34"/>
      <c r="BI285" s="34" t="s">
        <v>500</v>
      </c>
      <c r="BJ285" s="34">
        <v>2020</v>
      </c>
      <c r="BK285" s="34" t="s">
        <v>50</v>
      </c>
      <c r="BL285" s="34" t="s">
        <v>167</v>
      </c>
      <c r="BM285" s="34" t="s">
        <v>166</v>
      </c>
      <c r="BN285" s="34">
        <v>43957.060476921295</v>
      </c>
      <c r="BO285" s="34"/>
      <c r="BP285" s="34" t="s">
        <v>1425</v>
      </c>
      <c r="BQ285" s="34" t="s">
        <v>419</v>
      </c>
      <c r="BR285" s="34" t="s">
        <v>513</v>
      </c>
      <c r="BS285" s="34">
        <v>4.04152020173679E+18</v>
      </c>
      <c r="BT285" s="34" t="s">
        <v>164</v>
      </c>
      <c r="BU285" s="34" t="s">
        <v>512</v>
      </c>
      <c r="BV285" s="34">
        <v>2020</v>
      </c>
      <c r="BW285" s="34" t="s">
        <v>163</v>
      </c>
      <c r="BX285" s="34"/>
      <c r="BY285" s="34">
        <v>4.0505202017418102E+18</v>
      </c>
      <c r="BZ285" s="34" t="s">
        <v>1426</v>
      </c>
      <c r="CA285" s="34" t="s">
        <v>161</v>
      </c>
    </row>
    <row r="286" spans="1:79" x14ac:dyDescent="0.25">
      <c r="A286" s="34" t="s">
        <v>1025</v>
      </c>
      <c r="B286" s="34" t="s">
        <v>1026</v>
      </c>
      <c r="C286" s="34">
        <v>2020</v>
      </c>
      <c r="D286" s="34" t="s">
        <v>589</v>
      </c>
      <c r="E286" s="34">
        <v>2.0200415921679901E+17</v>
      </c>
      <c r="F286" s="34" t="s">
        <v>182</v>
      </c>
      <c r="G286" s="34" t="s">
        <v>1427</v>
      </c>
      <c r="H286" s="34">
        <v>1397961</v>
      </c>
      <c r="I286" s="34"/>
      <c r="J286" s="34" t="s">
        <v>180</v>
      </c>
      <c r="K286" s="34" t="s">
        <v>179</v>
      </c>
      <c r="L286" s="34" t="s">
        <v>374</v>
      </c>
      <c r="M286" s="34"/>
      <c r="N286" s="34" t="s">
        <v>905</v>
      </c>
      <c r="O286" s="34" t="s">
        <v>75</v>
      </c>
      <c r="P286" s="34"/>
      <c r="Q286" s="34" t="s">
        <v>28</v>
      </c>
      <c r="R286" s="34" t="s">
        <v>906</v>
      </c>
      <c r="S286" s="34"/>
      <c r="T286" s="34" t="s">
        <v>907</v>
      </c>
      <c r="U286" s="34"/>
      <c r="V286" s="34" t="s">
        <v>908</v>
      </c>
      <c r="W286" s="34"/>
      <c r="X286" s="34" t="s">
        <v>909</v>
      </c>
      <c r="Y286" s="34" t="s">
        <v>47</v>
      </c>
      <c r="Z286" s="34">
        <v>21421229</v>
      </c>
      <c r="AA286" s="34" t="s">
        <v>1028</v>
      </c>
      <c r="AB286" s="34" t="s">
        <v>290</v>
      </c>
      <c r="AC286" s="34" t="s">
        <v>374</v>
      </c>
      <c r="AD286" s="34" t="s">
        <v>345</v>
      </c>
      <c r="AE286" s="34" t="s">
        <v>344</v>
      </c>
      <c r="AF286" s="34"/>
      <c r="AG286" s="34"/>
      <c r="AH286" s="34"/>
      <c r="AI286" s="34">
        <v>43883</v>
      </c>
      <c r="AJ286" s="34">
        <v>69</v>
      </c>
      <c r="AK286" s="34">
        <v>963.5</v>
      </c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 t="s">
        <v>446</v>
      </c>
      <c r="BH286" s="34"/>
      <c r="BI286" s="34" t="s">
        <v>168</v>
      </c>
      <c r="BJ286" s="34">
        <v>2020</v>
      </c>
      <c r="BK286" s="34" t="s">
        <v>50</v>
      </c>
      <c r="BL286" s="34" t="s">
        <v>167</v>
      </c>
      <c r="BM286" s="34" t="s">
        <v>166</v>
      </c>
      <c r="BN286" s="34">
        <v>43957.060450520832</v>
      </c>
      <c r="BO286" s="34"/>
      <c r="BP286" s="34" t="s">
        <v>1428</v>
      </c>
      <c r="BQ286" s="34" t="s">
        <v>419</v>
      </c>
      <c r="BR286" s="34" t="s">
        <v>513</v>
      </c>
      <c r="BS286" s="34">
        <v>4.04152020173679E+18</v>
      </c>
      <c r="BT286" s="34" t="s">
        <v>164</v>
      </c>
      <c r="BU286" s="34" t="s">
        <v>512</v>
      </c>
      <c r="BV286" s="34">
        <v>2020</v>
      </c>
      <c r="BW286" s="34" t="s">
        <v>163</v>
      </c>
      <c r="BX286" s="34"/>
      <c r="BY286" s="34">
        <v>4.0505202017418102E+18</v>
      </c>
      <c r="BZ286" s="34" t="s">
        <v>1429</v>
      </c>
      <c r="CA286" s="34" t="s">
        <v>161</v>
      </c>
    </row>
    <row r="287" spans="1:79" x14ac:dyDescent="0.25">
      <c r="A287" s="34" t="s">
        <v>1025</v>
      </c>
      <c r="B287" s="34" t="s">
        <v>1026</v>
      </c>
      <c r="C287" s="34">
        <v>2020</v>
      </c>
      <c r="D287" s="34" t="s">
        <v>589</v>
      </c>
      <c r="E287" s="34">
        <v>2.0200415921679901E+17</v>
      </c>
      <c r="F287" s="34" t="s">
        <v>182</v>
      </c>
      <c r="G287" s="34" t="s">
        <v>1430</v>
      </c>
      <c r="H287" s="34">
        <v>1397961</v>
      </c>
      <c r="I287" s="34"/>
      <c r="J287" s="34" t="s">
        <v>180</v>
      </c>
      <c r="K287" s="34" t="s">
        <v>179</v>
      </c>
      <c r="L287" s="34" t="s">
        <v>374</v>
      </c>
      <c r="M287" s="34"/>
      <c r="N287" s="34" t="s">
        <v>905</v>
      </c>
      <c r="O287" s="34" t="s">
        <v>75</v>
      </c>
      <c r="P287" s="34"/>
      <c r="Q287" s="34" t="s">
        <v>28</v>
      </c>
      <c r="R287" s="34" t="s">
        <v>906</v>
      </c>
      <c r="S287" s="34"/>
      <c r="T287" s="34" t="s">
        <v>907</v>
      </c>
      <c r="U287" s="34"/>
      <c r="V287" s="34" t="s">
        <v>908</v>
      </c>
      <c r="W287" s="34"/>
      <c r="X287" s="34" t="s">
        <v>909</v>
      </c>
      <c r="Y287" s="34" t="s">
        <v>47</v>
      </c>
      <c r="Z287" s="34">
        <v>21421229</v>
      </c>
      <c r="AA287" s="34" t="s">
        <v>1028</v>
      </c>
      <c r="AB287" s="34" t="s">
        <v>290</v>
      </c>
      <c r="AC287" s="34" t="s">
        <v>374</v>
      </c>
      <c r="AD287" s="34" t="s">
        <v>345</v>
      </c>
      <c r="AE287" s="34" t="s">
        <v>344</v>
      </c>
      <c r="AF287" s="34"/>
      <c r="AG287" s="34"/>
      <c r="AH287" s="34"/>
      <c r="AI287" s="34">
        <v>43888</v>
      </c>
      <c r="AJ287" s="34">
        <v>34.5</v>
      </c>
      <c r="AK287" s="34">
        <v>963.5</v>
      </c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 t="s">
        <v>446</v>
      </c>
      <c r="BH287" s="34"/>
      <c r="BI287" s="34" t="s">
        <v>168</v>
      </c>
      <c r="BJ287" s="34">
        <v>2020</v>
      </c>
      <c r="BK287" s="34" t="s">
        <v>50</v>
      </c>
      <c r="BL287" s="34" t="s">
        <v>167</v>
      </c>
      <c r="BM287" s="34" t="s">
        <v>166</v>
      </c>
      <c r="BN287" s="34">
        <v>43957.060477650462</v>
      </c>
      <c r="BO287" s="34"/>
      <c r="BP287" s="34" t="s">
        <v>1431</v>
      </c>
      <c r="BQ287" s="34" t="s">
        <v>419</v>
      </c>
      <c r="BR287" s="34" t="s">
        <v>513</v>
      </c>
      <c r="BS287" s="34">
        <v>4.04152020173679E+18</v>
      </c>
      <c r="BT287" s="34" t="s">
        <v>164</v>
      </c>
      <c r="BU287" s="34" t="s">
        <v>512</v>
      </c>
      <c r="BV287" s="34">
        <v>2020</v>
      </c>
      <c r="BW287" s="34" t="s">
        <v>163</v>
      </c>
      <c r="BX287" s="34"/>
      <c r="BY287" s="34">
        <v>4.0505202017418102E+18</v>
      </c>
      <c r="BZ287" s="34" t="s">
        <v>1432</v>
      </c>
      <c r="CA287" s="34" t="s">
        <v>161</v>
      </c>
    </row>
    <row r="288" spans="1:79" x14ac:dyDescent="0.25">
      <c r="A288" s="34" t="s">
        <v>1433</v>
      </c>
      <c r="B288" s="34" t="s">
        <v>1434</v>
      </c>
      <c r="C288" s="34">
        <v>2020</v>
      </c>
      <c r="D288" s="34" t="s">
        <v>451</v>
      </c>
      <c r="E288" s="34">
        <v>2.0200820926661402E+17</v>
      </c>
      <c r="F288" s="34" t="s">
        <v>450</v>
      </c>
      <c r="G288" s="34">
        <v>7823940</v>
      </c>
      <c r="H288" s="34">
        <v>1434676</v>
      </c>
      <c r="I288" s="34"/>
      <c r="J288" s="34" t="s">
        <v>180</v>
      </c>
      <c r="K288" s="34" t="s">
        <v>179</v>
      </c>
      <c r="L288" s="34" t="s">
        <v>374</v>
      </c>
      <c r="M288" s="34"/>
      <c r="N288" s="34" t="s">
        <v>905</v>
      </c>
      <c r="O288" s="34" t="s">
        <v>28</v>
      </c>
      <c r="P288" s="34"/>
      <c r="Q288" s="34" t="s">
        <v>28</v>
      </c>
      <c r="R288" s="34" t="s">
        <v>906</v>
      </c>
      <c r="S288" s="34"/>
      <c r="T288" s="34" t="s">
        <v>907</v>
      </c>
      <c r="U288" s="34"/>
      <c r="V288" s="34" t="s">
        <v>908</v>
      </c>
      <c r="W288" s="34"/>
      <c r="X288" s="34" t="s">
        <v>909</v>
      </c>
      <c r="Y288" s="34" t="s">
        <v>47</v>
      </c>
      <c r="Z288" s="34">
        <v>21421229</v>
      </c>
      <c r="AA288" s="34" t="s">
        <v>393</v>
      </c>
      <c r="AB288" s="34" t="s">
        <v>393</v>
      </c>
      <c r="AC288" s="34" t="s">
        <v>374</v>
      </c>
      <c r="AD288" s="34" t="s">
        <v>345</v>
      </c>
      <c r="AE288" s="34" t="s">
        <v>344</v>
      </c>
      <c r="AF288" s="34"/>
      <c r="AG288" s="34"/>
      <c r="AH288" s="34"/>
      <c r="AI288" s="34">
        <v>44028</v>
      </c>
      <c r="AJ288" s="34">
        <v>100</v>
      </c>
      <c r="AK288" s="34">
        <v>600</v>
      </c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 t="s">
        <v>446</v>
      </c>
      <c r="BH288" s="34"/>
      <c r="BI288" s="34" t="s">
        <v>168</v>
      </c>
      <c r="BJ288" s="34">
        <v>2020</v>
      </c>
      <c r="BK288" s="34" t="s">
        <v>50</v>
      </c>
      <c r="BL288" s="34" t="s">
        <v>167</v>
      </c>
      <c r="BM288" s="34" t="s">
        <v>166</v>
      </c>
      <c r="BN288" s="34">
        <v>44069.173078206019</v>
      </c>
      <c r="BO288" s="34"/>
      <c r="BP288" s="34" t="s">
        <v>1435</v>
      </c>
      <c r="BQ288" s="34" t="s">
        <v>877</v>
      </c>
      <c r="BR288" s="34" t="s">
        <v>445</v>
      </c>
      <c r="BS288" s="34">
        <v>4.0822202018295398E+18</v>
      </c>
      <c r="BT288" s="34" t="s">
        <v>164</v>
      </c>
      <c r="BU288" s="34" t="s">
        <v>512</v>
      </c>
      <c r="BV288" s="34">
        <v>2020</v>
      </c>
      <c r="BW288" s="34" t="s">
        <v>163</v>
      </c>
      <c r="BX288" s="34"/>
      <c r="BY288" s="34">
        <v>4.0826202018302602E+18</v>
      </c>
      <c r="BZ288" s="34" t="s">
        <v>1436</v>
      </c>
      <c r="CA288" s="34" t="s">
        <v>161</v>
      </c>
    </row>
    <row r="289" spans="1:79" x14ac:dyDescent="0.25">
      <c r="A289" s="34" t="s">
        <v>374</v>
      </c>
      <c r="B289" s="34" t="s">
        <v>287</v>
      </c>
      <c r="C289" s="34">
        <v>2020</v>
      </c>
      <c r="D289" s="34" t="s">
        <v>183</v>
      </c>
      <c r="E289" s="34">
        <v>2.0200421923020899E+17</v>
      </c>
      <c r="F289" s="34" t="s">
        <v>182</v>
      </c>
      <c r="G289" s="34" t="s">
        <v>1437</v>
      </c>
      <c r="H289" s="34">
        <v>1402724</v>
      </c>
      <c r="I289" s="34"/>
      <c r="J289" s="34" t="s">
        <v>180</v>
      </c>
      <c r="K289" s="34" t="s">
        <v>179</v>
      </c>
      <c r="L289" s="34"/>
      <c r="M289" s="34"/>
      <c r="N289" s="34" t="s">
        <v>905</v>
      </c>
      <c r="O289" s="34" t="s">
        <v>297</v>
      </c>
      <c r="P289" s="34"/>
      <c r="Q289" s="34" t="s">
        <v>296</v>
      </c>
      <c r="R289" s="34" t="s">
        <v>906</v>
      </c>
      <c r="S289" s="34"/>
      <c r="T289" s="34" t="s">
        <v>907</v>
      </c>
      <c r="U289" s="34"/>
      <c r="V289" s="34" t="s">
        <v>949</v>
      </c>
      <c r="W289" s="34"/>
      <c r="X289" s="34" t="s">
        <v>909</v>
      </c>
      <c r="Y289" s="34" t="s">
        <v>47</v>
      </c>
      <c r="Z289" s="34">
        <v>2142</v>
      </c>
      <c r="AA289" s="34" t="s">
        <v>393</v>
      </c>
      <c r="AB289" s="34" t="s">
        <v>393</v>
      </c>
      <c r="AC289" s="34"/>
      <c r="AD289" s="34"/>
      <c r="AE289" s="34"/>
      <c r="AF289" s="34" t="s">
        <v>364</v>
      </c>
      <c r="AG289" s="34"/>
      <c r="AH289" s="34"/>
      <c r="AI289" s="34">
        <v>43895</v>
      </c>
      <c r="AJ289" s="34">
        <v>2.5</v>
      </c>
      <c r="AK289" s="34">
        <v>159.80000000000001</v>
      </c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 t="s">
        <v>50</v>
      </c>
      <c r="BL289" s="34" t="s">
        <v>167</v>
      </c>
      <c r="BM289" s="34" t="s">
        <v>166</v>
      </c>
      <c r="BN289" s="34">
        <v>43966.293815046294</v>
      </c>
      <c r="BO289" s="34"/>
      <c r="BP289" s="34"/>
      <c r="BQ289" s="34"/>
      <c r="BR289" s="34" t="s">
        <v>165</v>
      </c>
      <c r="BS289" s="34">
        <v>4.0420202017373501E+18</v>
      </c>
      <c r="BT289" s="34" t="s">
        <v>164</v>
      </c>
      <c r="BU289" s="34" t="s">
        <v>362</v>
      </c>
      <c r="BV289" s="34">
        <v>2020</v>
      </c>
      <c r="BW289" s="34" t="s">
        <v>163</v>
      </c>
      <c r="BX289" s="34"/>
      <c r="BY289" s="34">
        <v>4.0514202017524301E+18</v>
      </c>
      <c r="BZ289" s="34" t="s">
        <v>1438</v>
      </c>
      <c r="CA289" s="34" t="s">
        <v>161</v>
      </c>
    </row>
    <row r="290" spans="1:79" x14ac:dyDescent="0.25">
      <c r="A290" s="34" t="s">
        <v>374</v>
      </c>
      <c r="B290" s="34" t="s">
        <v>287</v>
      </c>
      <c r="C290" s="34">
        <v>2020</v>
      </c>
      <c r="D290" s="34" t="s">
        <v>183</v>
      </c>
      <c r="E290" s="34">
        <v>2.0200421923020899E+17</v>
      </c>
      <c r="F290" s="34" t="s">
        <v>182</v>
      </c>
      <c r="G290" s="34" t="s">
        <v>1439</v>
      </c>
      <c r="H290" s="34">
        <v>1402724</v>
      </c>
      <c r="I290" s="34"/>
      <c r="J290" s="34" t="s">
        <v>180</v>
      </c>
      <c r="K290" s="34" t="s">
        <v>179</v>
      </c>
      <c r="L290" s="34"/>
      <c r="M290" s="34"/>
      <c r="N290" s="34" t="s">
        <v>905</v>
      </c>
      <c r="O290" s="34" t="s">
        <v>297</v>
      </c>
      <c r="P290" s="34"/>
      <c r="Q290" s="34" t="s">
        <v>296</v>
      </c>
      <c r="R290" s="34" t="s">
        <v>906</v>
      </c>
      <c r="S290" s="34"/>
      <c r="T290" s="34" t="s">
        <v>907</v>
      </c>
      <c r="U290" s="34"/>
      <c r="V290" s="34" t="s">
        <v>949</v>
      </c>
      <c r="W290" s="34"/>
      <c r="X290" s="34" t="s">
        <v>909</v>
      </c>
      <c r="Y290" s="34" t="s">
        <v>47</v>
      </c>
      <c r="Z290" s="34">
        <v>2142</v>
      </c>
      <c r="AA290" s="34" t="s">
        <v>393</v>
      </c>
      <c r="AB290" s="34" t="s">
        <v>393</v>
      </c>
      <c r="AC290" s="34"/>
      <c r="AD290" s="34"/>
      <c r="AE290" s="34"/>
      <c r="AF290" s="34" t="s">
        <v>364</v>
      </c>
      <c r="AG290" s="34"/>
      <c r="AH290" s="34"/>
      <c r="AI290" s="34">
        <v>43896</v>
      </c>
      <c r="AJ290" s="34">
        <v>2.5</v>
      </c>
      <c r="AK290" s="34">
        <v>159.80000000000001</v>
      </c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 t="s">
        <v>50</v>
      </c>
      <c r="BL290" s="34" t="s">
        <v>167</v>
      </c>
      <c r="BM290" s="34" t="s">
        <v>166</v>
      </c>
      <c r="BN290" s="34">
        <v>43966.306582210651</v>
      </c>
      <c r="BO290" s="34"/>
      <c r="BP290" s="34"/>
      <c r="BQ290" s="34"/>
      <c r="BR290" s="34" t="s">
        <v>165</v>
      </c>
      <c r="BS290" s="34">
        <v>4.0420202017373501E+18</v>
      </c>
      <c r="BT290" s="34" t="s">
        <v>164</v>
      </c>
      <c r="BU290" s="34" t="s">
        <v>362</v>
      </c>
      <c r="BV290" s="34">
        <v>2020</v>
      </c>
      <c r="BW290" s="34" t="s">
        <v>163</v>
      </c>
      <c r="BX290" s="34"/>
      <c r="BY290" s="34">
        <v>4.0514202017524301E+18</v>
      </c>
      <c r="BZ290" s="34" t="s">
        <v>1440</v>
      </c>
      <c r="CA290" s="34" t="s">
        <v>161</v>
      </c>
    </row>
    <row r="291" spans="1:79" x14ac:dyDescent="0.25">
      <c r="A291" s="34" t="s">
        <v>374</v>
      </c>
      <c r="B291" s="34" t="s">
        <v>287</v>
      </c>
      <c r="C291" s="34">
        <v>2020</v>
      </c>
      <c r="D291" s="34" t="s">
        <v>183</v>
      </c>
      <c r="E291" s="34">
        <v>2.0200421923020899E+17</v>
      </c>
      <c r="F291" s="34" t="s">
        <v>182</v>
      </c>
      <c r="G291" s="34" t="s">
        <v>1441</v>
      </c>
      <c r="H291" s="34">
        <v>1402724</v>
      </c>
      <c r="I291" s="34"/>
      <c r="J291" s="34" t="s">
        <v>180</v>
      </c>
      <c r="K291" s="34" t="s">
        <v>179</v>
      </c>
      <c r="L291" s="34"/>
      <c r="M291" s="34"/>
      <c r="N291" s="34" t="s">
        <v>905</v>
      </c>
      <c r="O291" s="34" t="s">
        <v>297</v>
      </c>
      <c r="P291" s="34"/>
      <c r="Q291" s="34" t="s">
        <v>296</v>
      </c>
      <c r="R291" s="34" t="s">
        <v>906</v>
      </c>
      <c r="S291" s="34"/>
      <c r="T291" s="34" t="s">
        <v>907</v>
      </c>
      <c r="U291" s="34"/>
      <c r="V291" s="34" t="s">
        <v>949</v>
      </c>
      <c r="W291" s="34"/>
      <c r="X291" s="34" t="s">
        <v>909</v>
      </c>
      <c r="Y291" s="34" t="s">
        <v>47</v>
      </c>
      <c r="Z291" s="34">
        <v>2142</v>
      </c>
      <c r="AA291" s="34" t="s">
        <v>393</v>
      </c>
      <c r="AB291" s="34" t="s">
        <v>393</v>
      </c>
      <c r="AC291" s="34"/>
      <c r="AD291" s="34"/>
      <c r="AE291" s="34"/>
      <c r="AF291" s="34" t="s">
        <v>377</v>
      </c>
      <c r="AG291" s="34"/>
      <c r="AH291" s="34"/>
      <c r="AI291" s="34">
        <v>43896</v>
      </c>
      <c r="AJ291" s="34">
        <v>25</v>
      </c>
      <c r="AK291" s="34">
        <v>25</v>
      </c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 t="s">
        <v>50</v>
      </c>
      <c r="BL291" s="34" t="s">
        <v>167</v>
      </c>
      <c r="BM291" s="34" t="s">
        <v>166</v>
      </c>
      <c r="BN291" s="34">
        <v>43966.306582210651</v>
      </c>
      <c r="BO291" s="34"/>
      <c r="BP291" s="34"/>
      <c r="BQ291" s="34"/>
      <c r="BR291" s="34" t="s">
        <v>165</v>
      </c>
      <c r="BS291" s="34">
        <v>4.0420202017373501E+18</v>
      </c>
      <c r="BT291" s="34" t="s">
        <v>164</v>
      </c>
      <c r="BU291" s="34" t="s">
        <v>684</v>
      </c>
      <c r="BV291" s="34">
        <v>2020</v>
      </c>
      <c r="BW291" s="34" t="s">
        <v>163</v>
      </c>
      <c r="BX291" s="34"/>
      <c r="BY291" s="34">
        <v>4.0514202017524301E+18</v>
      </c>
      <c r="BZ291" s="34" t="s">
        <v>1442</v>
      </c>
      <c r="CA291" s="34" t="s">
        <v>161</v>
      </c>
    </row>
    <row r="292" spans="1:79" x14ac:dyDescent="0.25">
      <c r="A292" s="34" t="s">
        <v>374</v>
      </c>
      <c r="B292" s="34" t="s">
        <v>287</v>
      </c>
      <c r="C292" s="34">
        <v>2020</v>
      </c>
      <c r="D292" s="34" t="s">
        <v>183</v>
      </c>
      <c r="E292" s="34">
        <v>2.0200421923020899E+17</v>
      </c>
      <c r="F292" s="34" t="s">
        <v>182</v>
      </c>
      <c r="G292" s="34" t="s">
        <v>1443</v>
      </c>
      <c r="H292" s="34">
        <v>1402724</v>
      </c>
      <c r="I292" s="34"/>
      <c r="J292" s="34" t="s">
        <v>180</v>
      </c>
      <c r="K292" s="34" t="s">
        <v>179</v>
      </c>
      <c r="L292" s="34"/>
      <c r="M292" s="34"/>
      <c r="N292" s="34" t="s">
        <v>905</v>
      </c>
      <c r="O292" s="34" t="s">
        <v>297</v>
      </c>
      <c r="P292" s="34"/>
      <c r="Q292" s="34" t="s">
        <v>296</v>
      </c>
      <c r="R292" s="34" t="s">
        <v>906</v>
      </c>
      <c r="S292" s="34"/>
      <c r="T292" s="34" t="s">
        <v>907</v>
      </c>
      <c r="U292" s="34"/>
      <c r="V292" s="34" t="s">
        <v>949</v>
      </c>
      <c r="W292" s="34"/>
      <c r="X292" s="34" t="s">
        <v>909</v>
      </c>
      <c r="Y292" s="34" t="s">
        <v>47</v>
      </c>
      <c r="Z292" s="34">
        <v>2142</v>
      </c>
      <c r="AA292" s="34" t="s">
        <v>393</v>
      </c>
      <c r="AB292" s="34" t="s">
        <v>393</v>
      </c>
      <c r="AC292" s="34"/>
      <c r="AD292" s="34"/>
      <c r="AE292" s="34"/>
      <c r="AF292" s="34" t="s">
        <v>364</v>
      </c>
      <c r="AG292" s="34"/>
      <c r="AH292" s="34"/>
      <c r="AI292" s="34">
        <v>43905</v>
      </c>
      <c r="AJ292" s="34">
        <v>6.5</v>
      </c>
      <c r="AK292" s="34">
        <v>159.80000000000001</v>
      </c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 t="s">
        <v>50</v>
      </c>
      <c r="BL292" s="34" t="s">
        <v>167</v>
      </c>
      <c r="BM292" s="34" t="s">
        <v>166</v>
      </c>
      <c r="BN292" s="34">
        <v>43966.324137905096</v>
      </c>
      <c r="BO292" s="34"/>
      <c r="BP292" s="34"/>
      <c r="BQ292" s="34"/>
      <c r="BR292" s="34" t="s">
        <v>165</v>
      </c>
      <c r="BS292" s="34">
        <v>4.0420202017373501E+18</v>
      </c>
      <c r="BT292" s="34" t="s">
        <v>164</v>
      </c>
      <c r="BU292" s="34" t="s">
        <v>362</v>
      </c>
      <c r="BV292" s="34">
        <v>2020</v>
      </c>
      <c r="BW292" s="34" t="s">
        <v>163</v>
      </c>
      <c r="BX292" s="34"/>
      <c r="BY292" s="34">
        <v>4.0514202017524301E+18</v>
      </c>
      <c r="BZ292" s="34" t="s">
        <v>1444</v>
      </c>
      <c r="CA292" s="34" t="s">
        <v>161</v>
      </c>
    </row>
    <row r="293" spans="1:79" x14ac:dyDescent="0.25">
      <c r="A293" s="34" t="s">
        <v>374</v>
      </c>
      <c r="B293" s="34" t="s">
        <v>287</v>
      </c>
      <c r="C293" s="34">
        <v>2020</v>
      </c>
      <c r="D293" s="34" t="s">
        <v>183</v>
      </c>
      <c r="E293" s="34">
        <v>2.0200421923020899E+17</v>
      </c>
      <c r="F293" s="34" t="s">
        <v>182</v>
      </c>
      <c r="G293" s="34" t="s">
        <v>1445</v>
      </c>
      <c r="H293" s="34">
        <v>1402724</v>
      </c>
      <c r="I293" s="34"/>
      <c r="J293" s="34" t="s">
        <v>180</v>
      </c>
      <c r="K293" s="34" t="s">
        <v>179</v>
      </c>
      <c r="L293" s="34"/>
      <c r="M293" s="34"/>
      <c r="N293" s="34" t="s">
        <v>905</v>
      </c>
      <c r="O293" s="34" t="s">
        <v>297</v>
      </c>
      <c r="P293" s="34"/>
      <c r="Q293" s="34" t="s">
        <v>296</v>
      </c>
      <c r="R293" s="34" t="s">
        <v>906</v>
      </c>
      <c r="S293" s="34"/>
      <c r="T293" s="34" t="s">
        <v>907</v>
      </c>
      <c r="U293" s="34"/>
      <c r="V293" s="34" t="s">
        <v>949</v>
      </c>
      <c r="W293" s="34"/>
      <c r="X293" s="34" t="s">
        <v>909</v>
      </c>
      <c r="Y293" s="34" t="s">
        <v>47</v>
      </c>
      <c r="Z293" s="34">
        <v>2142</v>
      </c>
      <c r="AA293" s="34" t="s">
        <v>393</v>
      </c>
      <c r="AB293" s="34" t="s">
        <v>393</v>
      </c>
      <c r="AC293" s="34"/>
      <c r="AD293" s="34"/>
      <c r="AE293" s="34"/>
      <c r="AF293" s="34" t="s">
        <v>364</v>
      </c>
      <c r="AG293" s="34"/>
      <c r="AH293" s="34"/>
      <c r="AI293" s="34">
        <v>43895</v>
      </c>
      <c r="AJ293" s="34">
        <v>2.5</v>
      </c>
      <c r="AK293" s="34">
        <v>159.80000000000001</v>
      </c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 t="s">
        <v>50</v>
      </c>
      <c r="BL293" s="34" t="s">
        <v>167</v>
      </c>
      <c r="BM293" s="34" t="s">
        <v>166</v>
      </c>
      <c r="BN293" s="34">
        <v>43966.340290509259</v>
      </c>
      <c r="BO293" s="34"/>
      <c r="BP293" s="34"/>
      <c r="BQ293" s="34"/>
      <c r="BR293" s="34" t="s">
        <v>165</v>
      </c>
      <c r="BS293" s="34">
        <v>4.0420202017373501E+18</v>
      </c>
      <c r="BT293" s="34" t="s">
        <v>164</v>
      </c>
      <c r="BU293" s="34" t="s">
        <v>362</v>
      </c>
      <c r="BV293" s="34">
        <v>2020</v>
      </c>
      <c r="BW293" s="34" t="s">
        <v>163</v>
      </c>
      <c r="BX293" s="34"/>
      <c r="BY293" s="34">
        <v>4.0514202017524301E+18</v>
      </c>
      <c r="BZ293" s="34" t="s">
        <v>1446</v>
      </c>
      <c r="CA293" s="34" t="s">
        <v>161</v>
      </c>
    </row>
    <row r="294" spans="1:79" x14ac:dyDescent="0.25">
      <c r="A294" s="34" t="s">
        <v>374</v>
      </c>
      <c r="B294" s="34" t="s">
        <v>287</v>
      </c>
      <c r="C294" s="34">
        <v>2020</v>
      </c>
      <c r="D294" s="34" t="s">
        <v>183</v>
      </c>
      <c r="E294" s="34">
        <v>2.0200421923020899E+17</v>
      </c>
      <c r="F294" s="34" t="s">
        <v>182</v>
      </c>
      <c r="G294" s="34" t="s">
        <v>1447</v>
      </c>
      <c r="H294" s="34">
        <v>1402724</v>
      </c>
      <c r="I294" s="34"/>
      <c r="J294" s="34" t="s">
        <v>180</v>
      </c>
      <c r="K294" s="34" t="s">
        <v>179</v>
      </c>
      <c r="L294" s="34"/>
      <c r="M294" s="34"/>
      <c r="N294" s="34" t="s">
        <v>905</v>
      </c>
      <c r="O294" s="34" t="s">
        <v>297</v>
      </c>
      <c r="P294" s="34"/>
      <c r="Q294" s="34" t="s">
        <v>296</v>
      </c>
      <c r="R294" s="34" t="s">
        <v>906</v>
      </c>
      <c r="S294" s="34"/>
      <c r="T294" s="34" t="s">
        <v>907</v>
      </c>
      <c r="U294" s="34"/>
      <c r="V294" s="34" t="s">
        <v>949</v>
      </c>
      <c r="W294" s="34"/>
      <c r="X294" s="34" t="s">
        <v>909</v>
      </c>
      <c r="Y294" s="34" t="s">
        <v>47</v>
      </c>
      <c r="Z294" s="34">
        <v>2142</v>
      </c>
      <c r="AA294" s="34" t="s">
        <v>393</v>
      </c>
      <c r="AB294" s="34" t="s">
        <v>393</v>
      </c>
      <c r="AC294" s="34"/>
      <c r="AD294" s="34"/>
      <c r="AE294" s="34"/>
      <c r="AF294" s="34" t="s">
        <v>377</v>
      </c>
      <c r="AG294" s="34"/>
      <c r="AH294" s="34"/>
      <c r="AI294" s="34">
        <v>43895</v>
      </c>
      <c r="AJ294" s="34">
        <v>25</v>
      </c>
      <c r="AK294" s="34">
        <v>175</v>
      </c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 t="s">
        <v>50</v>
      </c>
      <c r="BL294" s="34" t="s">
        <v>167</v>
      </c>
      <c r="BM294" s="34" t="s">
        <v>166</v>
      </c>
      <c r="BN294" s="34">
        <v>43966.340290509259</v>
      </c>
      <c r="BO294" s="34"/>
      <c r="BP294" s="34"/>
      <c r="BQ294" s="34"/>
      <c r="BR294" s="34" t="s">
        <v>165</v>
      </c>
      <c r="BS294" s="34">
        <v>4.0420202017373501E+18</v>
      </c>
      <c r="BT294" s="34" t="s">
        <v>164</v>
      </c>
      <c r="BU294" s="34" t="s">
        <v>1119</v>
      </c>
      <c r="BV294" s="34">
        <v>2020</v>
      </c>
      <c r="BW294" s="34" t="s">
        <v>163</v>
      </c>
      <c r="BX294" s="34"/>
      <c r="BY294" s="34">
        <v>4.0514202017524301E+18</v>
      </c>
      <c r="BZ294" s="34" t="s">
        <v>1438</v>
      </c>
      <c r="CA294" s="34" t="s">
        <v>161</v>
      </c>
    </row>
    <row r="295" spans="1:79" x14ac:dyDescent="0.25">
      <c r="A295" s="34" t="s">
        <v>374</v>
      </c>
      <c r="B295" s="34" t="s">
        <v>287</v>
      </c>
      <c r="C295" s="34">
        <v>2020</v>
      </c>
      <c r="D295" s="34" t="s">
        <v>183</v>
      </c>
      <c r="E295" s="34">
        <v>2.0200421923020899E+17</v>
      </c>
      <c r="F295" s="34" t="s">
        <v>182</v>
      </c>
      <c r="G295" s="34" t="s">
        <v>1448</v>
      </c>
      <c r="H295" s="34">
        <v>1402724</v>
      </c>
      <c r="I295" s="34"/>
      <c r="J295" s="34" t="s">
        <v>180</v>
      </c>
      <c r="K295" s="34" t="s">
        <v>179</v>
      </c>
      <c r="L295" s="34"/>
      <c r="M295" s="34"/>
      <c r="N295" s="34" t="s">
        <v>905</v>
      </c>
      <c r="O295" s="34" t="s">
        <v>297</v>
      </c>
      <c r="P295" s="34"/>
      <c r="Q295" s="34" t="s">
        <v>296</v>
      </c>
      <c r="R295" s="34" t="s">
        <v>906</v>
      </c>
      <c r="S295" s="34"/>
      <c r="T295" s="34" t="s">
        <v>907</v>
      </c>
      <c r="U295" s="34"/>
      <c r="V295" s="34" t="s">
        <v>949</v>
      </c>
      <c r="W295" s="34"/>
      <c r="X295" s="34" t="s">
        <v>909</v>
      </c>
      <c r="Y295" s="34" t="s">
        <v>47</v>
      </c>
      <c r="Z295" s="34">
        <v>2142</v>
      </c>
      <c r="AA295" s="34" t="s">
        <v>393</v>
      </c>
      <c r="AB295" s="34" t="s">
        <v>393</v>
      </c>
      <c r="AC295" s="34"/>
      <c r="AD295" s="34"/>
      <c r="AE295" s="34"/>
      <c r="AF295" s="34" t="s">
        <v>364</v>
      </c>
      <c r="AG295" s="34"/>
      <c r="AH295" s="34"/>
      <c r="AI295" s="34">
        <v>43895</v>
      </c>
      <c r="AJ295" s="34">
        <v>2.5</v>
      </c>
      <c r="AK295" s="34">
        <v>159.80000000000001</v>
      </c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 t="s">
        <v>50</v>
      </c>
      <c r="BL295" s="34" t="s">
        <v>167</v>
      </c>
      <c r="BM295" s="34" t="s">
        <v>166</v>
      </c>
      <c r="BN295" s="34">
        <v>43966.340290509259</v>
      </c>
      <c r="BO295" s="34"/>
      <c r="BP295" s="34"/>
      <c r="BQ295" s="34"/>
      <c r="BR295" s="34" t="s">
        <v>165</v>
      </c>
      <c r="BS295" s="34">
        <v>4.0420202017373501E+18</v>
      </c>
      <c r="BT295" s="34" t="s">
        <v>164</v>
      </c>
      <c r="BU295" s="34" t="s">
        <v>362</v>
      </c>
      <c r="BV295" s="34">
        <v>2020</v>
      </c>
      <c r="BW295" s="34" t="s">
        <v>163</v>
      </c>
      <c r="BX295" s="34"/>
      <c r="BY295" s="34">
        <v>4.0514202017524301E+18</v>
      </c>
      <c r="BZ295" s="34" t="s">
        <v>1438</v>
      </c>
      <c r="CA295" s="34" t="s">
        <v>161</v>
      </c>
    </row>
    <row r="296" spans="1:79" x14ac:dyDescent="0.25">
      <c r="A296" s="34" t="s">
        <v>374</v>
      </c>
      <c r="B296" s="34" t="s">
        <v>287</v>
      </c>
      <c r="C296" s="34">
        <v>2020</v>
      </c>
      <c r="D296" s="34" t="s">
        <v>183</v>
      </c>
      <c r="E296" s="34">
        <v>2.0200421923020899E+17</v>
      </c>
      <c r="F296" s="34" t="s">
        <v>182</v>
      </c>
      <c r="G296" s="34" t="s">
        <v>1449</v>
      </c>
      <c r="H296" s="34">
        <v>1402724</v>
      </c>
      <c r="I296" s="34"/>
      <c r="J296" s="34" t="s">
        <v>180</v>
      </c>
      <c r="K296" s="34" t="s">
        <v>179</v>
      </c>
      <c r="L296" s="34"/>
      <c r="M296" s="34"/>
      <c r="N296" s="34" t="s">
        <v>905</v>
      </c>
      <c r="O296" s="34" t="s">
        <v>297</v>
      </c>
      <c r="P296" s="34"/>
      <c r="Q296" s="34" t="s">
        <v>296</v>
      </c>
      <c r="R296" s="34" t="s">
        <v>906</v>
      </c>
      <c r="S296" s="34"/>
      <c r="T296" s="34" t="s">
        <v>907</v>
      </c>
      <c r="U296" s="34"/>
      <c r="V296" s="34" t="s">
        <v>949</v>
      </c>
      <c r="W296" s="34"/>
      <c r="X296" s="34" t="s">
        <v>909</v>
      </c>
      <c r="Y296" s="34" t="s">
        <v>47</v>
      </c>
      <c r="Z296" s="34">
        <v>2142</v>
      </c>
      <c r="AA296" s="34" t="s">
        <v>393</v>
      </c>
      <c r="AB296" s="34" t="s">
        <v>393</v>
      </c>
      <c r="AC296" s="34"/>
      <c r="AD296" s="34"/>
      <c r="AE296" s="34"/>
      <c r="AF296" s="34" t="s">
        <v>377</v>
      </c>
      <c r="AG296" s="34"/>
      <c r="AH296" s="34"/>
      <c r="AI296" s="34">
        <v>43895</v>
      </c>
      <c r="AJ296" s="34">
        <v>25</v>
      </c>
      <c r="AK296" s="34">
        <v>25</v>
      </c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 t="s">
        <v>50</v>
      </c>
      <c r="BL296" s="34" t="s">
        <v>167</v>
      </c>
      <c r="BM296" s="34" t="s">
        <v>166</v>
      </c>
      <c r="BN296" s="34">
        <v>43966.340290509259</v>
      </c>
      <c r="BO296" s="34"/>
      <c r="BP296" s="34"/>
      <c r="BQ296" s="34"/>
      <c r="BR296" s="34" t="s">
        <v>165</v>
      </c>
      <c r="BS296" s="34">
        <v>4.0420202017373501E+18</v>
      </c>
      <c r="BT296" s="34" t="s">
        <v>164</v>
      </c>
      <c r="BU296" s="34" t="s">
        <v>1450</v>
      </c>
      <c r="BV296" s="34">
        <v>2020</v>
      </c>
      <c r="BW296" s="34" t="s">
        <v>163</v>
      </c>
      <c r="BX296" s="34"/>
      <c r="BY296" s="34">
        <v>4.0514202017524301E+18</v>
      </c>
      <c r="BZ296" s="34" t="s">
        <v>1440</v>
      </c>
      <c r="CA296" s="34" t="s">
        <v>161</v>
      </c>
    </row>
    <row r="297" spans="1:79" x14ac:dyDescent="0.25">
      <c r="A297" s="34" t="s">
        <v>374</v>
      </c>
      <c r="B297" s="34" t="s">
        <v>287</v>
      </c>
      <c r="C297" s="34">
        <v>2020</v>
      </c>
      <c r="D297" s="34" t="s">
        <v>183</v>
      </c>
      <c r="E297" s="34">
        <v>2.0200421923020899E+17</v>
      </c>
      <c r="F297" s="34" t="s">
        <v>182</v>
      </c>
      <c r="G297" s="34" t="s">
        <v>1451</v>
      </c>
      <c r="H297" s="34">
        <v>1402724</v>
      </c>
      <c r="I297" s="34"/>
      <c r="J297" s="34" t="s">
        <v>180</v>
      </c>
      <c r="K297" s="34" t="s">
        <v>179</v>
      </c>
      <c r="L297" s="34" t="s">
        <v>1025</v>
      </c>
      <c r="M297" s="34"/>
      <c r="N297" s="34" t="s">
        <v>905</v>
      </c>
      <c r="O297" s="34" t="s">
        <v>297</v>
      </c>
      <c r="P297" s="34"/>
      <c r="Q297" s="34" t="s">
        <v>296</v>
      </c>
      <c r="R297" s="34" t="s">
        <v>906</v>
      </c>
      <c r="S297" s="34"/>
      <c r="T297" s="34" t="s">
        <v>907</v>
      </c>
      <c r="U297" s="34"/>
      <c r="V297" s="34" t="s">
        <v>949</v>
      </c>
      <c r="W297" s="34"/>
      <c r="X297" s="34" t="s">
        <v>909</v>
      </c>
      <c r="Y297" s="34" t="s">
        <v>47</v>
      </c>
      <c r="Z297" s="34">
        <v>2142</v>
      </c>
      <c r="AA297" s="34" t="s">
        <v>393</v>
      </c>
      <c r="AB297" s="34" t="s">
        <v>393</v>
      </c>
      <c r="AC297" s="34" t="s">
        <v>1025</v>
      </c>
      <c r="AD297" s="34" t="s">
        <v>383</v>
      </c>
      <c r="AE297" s="34" t="s">
        <v>382</v>
      </c>
      <c r="AF297" s="34" t="s">
        <v>377</v>
      </c>
      <c r="AG297" s="34"/>
      <c r="AH297" s="34"/>
      <c r="AI297" s="34">
        <v>43905</v>
      </c>
      <c r="AJ297" s="34">
        <v>65</v>
      </c>
      <c r="AK297" s="34">
        <v>363.5</v>
      </c>
      <c r="AL297" s="34" t="s">
        <v>1098</v>
      </c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 t="s">
        <v>28</v>
      </c>
      <c r="BH297" s="34"/>
      <c r="BI297" s="34" t="s">
        <v>168</v>
      </c>
      <c r="BJ297" s="34"/>
      <c r="BK297" s="34" t="s">
        <v>50</v>
      </c>
      <c r="BL297" s="34" t="s">
        <v>167</v>
      </c>
      <c r="BM297" s="34" t="s">
        <v>166</v>
      </c>
      <c r="BN297" s="34">
        <v>43966.340290509259</v>
      </c>
      <c r="BO297" s="34"/>
      <c r="BP297" s="34"/>
      <c r="BQ297" s="34"/>
      <c r="BR297" s="34" t="s">
        <v>165</v>
      </c>
      <c r="BS297" s="34">
        <v>4.0420202017373501E+18</v>
      </c>
      <c r="BT297" s="34" t="s">
        <v>164</v>
      </c>
      <c r="BU297" s="34" t="s">
        <v>1099</v>
      </c>
      <c r="BV297" s="34">
        <v>2020</v>
      </c>
      <c r="BW297" s="34" t="s">
        <v>163</v>
      </c>
      <c r="BX297" s="34"/>
      <c r="BY297" s="34">
        <v>4.0514202017524301E+18</v>
      </c>
      <c r="BZ297" s="34" t="s">
        <v>1444</v>
      </c>
      <c r="CA297" s="34" t="s">
        <v>161</v>
      </c>
    </row>
    <row r="298" spans="1:79" x14ac:dyDescent="0.25">
      <c r="A298" s="34" t="s">
        <v>374</v>
      </c>
      <c r="B298" s="34" t="s">
        <v>287</v>
      </c>
      <c r="C298" s="34">
        <v>2020</v>
      </c>
      <c r="D298" s="34" t="s">
        <v>183</v>
      </c>
      <c r="E298" s="34">
        <v>2.0200421923020899E+17</v>
      </c>
      <c r="F298" s="34" t="s">
        <v>182</v>
      </c>
      <c r="G298" s="34" t="s">
        <v>1452</v>
      </c>
      <c r="H298" s="34">
        <v>1402724</v>
      </c>
      <c r="I298" s="34"/>
      <c r="J298" s="34" t="s">
        <v>180</v>
      </c>
      <c r="K298" s="34" t="s">
        <v>179</v>
      </c>
      <c r="L298" s="34"/>
      <c r="M298" s="34"/>
      <c r="N298" s="34" t="s">
        <v>905</v>
      </c>
      <c r="O298" s="34" t="s">
        <v>297</v>
      </c>
      <c r="P298" s="34"/>
      <c r="Q298" s="34" t="s">
        <v>296</v>
      </c>
      <c r="R298" s="34" t="s">
        <v>906</v>
      </c>
      <c r="S298" s="34"/>
      <c r="T298" s="34" t="s">
        <v>907</v>
      </c>
      <c r="U298" s="34"/>
      <c r="V298" s="34" t="s">
        <v>949</v>
      </c>
      <c r="W298" s="34"/>
      <c r="X298" s="34" t="s">
        <v>909</v>
      </c>
      <c r="Y298" s="34" t="s">
        <v>47</v>
      </c>
      <c r="Z298" s="34">
        <v>2142</v>
      </c>
      <c r="AA298" s="34" t="s">
        <v>393</v>
      </c>
      <c r="AB298" s="34" t="s">
        <v>393</v>
      </c>
      <c r="AC298" s="34"/>
      <c r="AD298" s="34"/>
      <c r="AE298" s="34"/>
      <c r="AF298" s="34" t="s">
        <v>377</v>
      </c>
      <c r="AG298" s="34"/>
      <c r="AH298" s="34"/>
      <c r="AI298" s="34">
        <v>43895</v>
      </c>
      <c r="AJ298" s="34">
        <v>25</v>
      </c>
      <c r="AK298" s="34">
        <v>125</v>
      </c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 t="s">
        <v>50</v>
      </c>
      <c r="BL298" s="34" t="s">
        <v>167</v>
      </c>
      <c r="BM298" s="34" t="s">
        <v>166</v>
      </c>
      <c r="BN298" s="34">
        <v>43966.351423958331</v>
      </c>
      <c r="BO298" s="34"/>
      <c r="BP298" s="34"/>
      <c r="BQ298" s="34"/>
      <c r="BR298" s="34" t="s">
        <v>165</v>
      </c>
      <c r="BS298" s="34">
        <v>4.0420202017373501E+18</v>
      </c>
      <c r="BT298" s="34" t="s">
        <v>164</v>
      </c>
      <c r="BU298" s="34" t="s">
        <v>1371</v>
      </c>
      <c r="BV298" s="34">
        <v>2020</v>
      </c>
      <c r="BW298" s="34" t="s">
        <v>163</v>
      </c>
      <c r="BX298" s="34"/>
      <c r="BY298" s="34">
        <v>4.0514202017524301E+18</v>
      </c>
      <c r="BZ298" s="34" t="s">
        <v>1440</v>
      </c>
      <c r="CA298" s="34" t="s">
        <v>161</v>
      </c>
    </row>
    <row r="299" spans="1:79" x14ac:dyDescent="0.25">
      <c r="A299" s="34" t="s">
        <v>374</v>
      </c>
      <c r="B299" s="34" t="s">
        <v>287</v>
      </c>
      <c r="C299" s="34">
        <v>2020</v>
      </c>
      <c r="D299" s="34" t="s">
        <v>644</v>
      </c>
      <c r="E299" s="34">
        <v>2.0200520923750202E+17</v>
      </c>
      <c r="F299" s="34" t="s">
        <v>182</v>
      </c>
      <c r="G299" s="34" t="s">
        <v>1453</v>
      </c>
      <c r="H299" s="34">
        <v>1407307</v>
      </c>
      <c r="I299" s="34"/>
      <c r="J299" s="34" t="s">
        <v>180</v>
      </c>
      <c r="K299" s="34" t="s">
        <v>179</v>
      </c>
      <c r="L299" s="34"/>
      <c r="M299" s="34"/>
      <c r="N299" s="34" t="s">
        <v>905</v>
      </c>
      <c r="O299" s="34" t="s">
        <v>297</v>
      </c>
      <c r="P299" s="34"/>
      <c r="Q299" s="34" t="s">
        <v>296</v>
      </c>
      <c r="R299" s="34" t="s">
        <v>906</v>
      </c>
      <c r="S299" s="34"/>
      <c r="T299" s="34" t="s">
        <v>907</v>
      </c>
      <c r="U299" s="34"/>
      <c r="V299" s="34" t="s">
        <v>949</v>
      </c>
      <c r="W299" s="34"/>
      <c r="X299" s="34" t="s">
        <v>909</v>
      </c>
      <c r="Y299" s="34" t="s">
        <v>47</v>
      </c>
      <c r="Z299" s="34">
        <v>2142</v>
      </c>
      <c r="AA299" s="34" t="s">
        <v>393</v>
      </c>
      <c r="AB299" s="34" t="s">
        <v>393</v>
      </c>
      <c r="AC299" s="34"/>
      <c r="AD299" s="34"/>
      <c r="AE299" s="34"/>
      <c r="AF299" s="34" t="s">
        <v>364</v>
      </c>
      <c r="AG299" s="34"/>
      <c r="AH299" s="34"/>
      <c r="AI299" s="34">
        <v>43926</v>
      </c>
      <c r="AJ299" s="34">
        <v>2.5</v>
      </c>
      <c r="AK299" s="34">
        <v>184.8</v>
      </c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 t="s">
        <v>50</v>
      </c>
      <c r="BL299" s="34" t="s">
        <v>167</v>
      </c>
      <c r="BM299" s="34" t="s">
        <v>166</v>
      </c>
      <c r="BN299" s="34">
        <v>43979.287502199077</v>
      </c>
      <c r="BO299" s="34"/>
      <c r="BP299" s="34"/>
      <c r="BQ299" s="34"/>
      <c r="BR299" s="34" t="s">
        <v>165</v>
      </c>
      <c r="BS299" s="34">
        <v>4.05212020176224E+18</v>
      </c>
      <c r="BT299" s="34" t="s">
        <v>164</v>
      </c>
      <c r="BU299" s="34" t="s">
        <v>362</v>
      </c>
      <c r="BV299" s="34">
        <v>2020</v>
      </c>
      <c r="BW299" s="34" t="s">
        <v>163</v>
      </c>
      <c r="BX299" s="34"/>
      <c r="BY299" s="34">
        <v>4.0527202017721999E+18</v>
      </c>
      <c r="BZ299" s="34" t="s">
        <v>1454</v>
      </c>
      <c r="CA299" s="34" t="s">
        <v>161</v>
      </c>
    </row>
    <row r="300" spans="1:79" x14ac:dyDescent="0.25">
      <c r="A300" s="34" t="s">
        <v>374</v>
      </c>
      <c r="B300" s="34" t="s">
        <v>287</v>
      </c>
      <c r="C300" s="34">
        <v>2020</v>
      </c>
      <c r="D300" s="34" t="s">
        <v>644</v>
      </c>
      <c r="E300" s="34">
        <v>2.0200520923750202E+17</v>
      </c>
      <c r="F300" s="34" t="s">
        <v>182</v>
      </c>
      <c r="G300" s="34" t="s">
        <v>1455</v>
      </c>
      <c r="H300" s="34">
        <v>1407307</v>
      </c>
      <c r="I300" s="34"/>
      <c r="J300" s="34" t="s">
        <v>180</v>
      </c>
      <c r="K300" s="34" t="s">
        <v>179</v>
      </c>
      <c r="L300" s="34"/>
      <c r="M300" s="34"/>
      <c r="N300" s="34" t="s">
        <v>905</v>
      </c>
      <c r="O300" s="34" t="s">
        <v>297</v>
      </c>
      <c r="P300" s="34"/>
      <c r="Q300" s="34" t="s">
        <v>296</v>
      </c>
      <c r="R300" s="34" t="s">
        <v>906</v>
      </c>
      <c r="S300" s="34"/>
      <c r="T300" s="34" t="s">
        <v>907</v>
      </c>
      <c r="U300" s="34"/>
      <c r="V300" s="34" t="s">
        <v>949</v>
      </c>
      <c r="W300" s="34"/>
      <c r="X300" s="34" t="s">
        <v>909</v>
      </c>
      <c r="Y300" s="34" t="s">
        <v>47</v>
      </c>
      <c r="Z300" s="34">
        <v>2142</v>
      </c>
      <c r="AA300" s="34" t="s">
        <v>393</v>
      </c>
      <c r="AB300" s="34" t="s">
        <v>393</v>
      </c>
      <c r="AC300" s="34"/>
      <c r="AD300" s="34"/>
      <c r="AE300" s="34"/>
      <c r="AF300" s="34" t="s">
        <v>377</v>
      </c>
      <c r="AG300" s="34"/>
      <c r="AH300" s="34"/>
      <c r="AI300" s="34">
        <v>43937</v>
      </c>
      <c r="AJ300" s="34">
        <v>100</v>
      </c>
      <c r="AK300" s="34">
        <v>200</v>
      </c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 t="s">
        <v>50</v>
      </c>
      <c r="BL300" s="34" t="s">
        <v>167</v>
      </c>
      <c r="BM300" s="34" t="s">
        <v>166</v>
      </c>
      <c r="BN300" s="34">
        <v>43979.28750204861</v>
      </c>
      <c r="BO300" s="34"/>
      <c r="BP300" s="34"/>
      <c r="BQ300" s="34"/>
      <c r="BR300" s="34" t="s">
        <v>165</v>
      </c>
      <c r="BS300" s="34">
        <v>4.05212020176224E+18</v>
      </c>
      <c r="BT300" s="34" t="s">
        <v>164</v>
      </c>
      <c r="BU300" s="34" t="s">
        <v>400</v>
      </c>
      <c r="BV300" s="34">
        <v>2020</v>
      </c>
      <c r="BW300" s="34" t="s">
        <v>163</v>
      </c>
      <c r="BX300" s="34"/>
      <c r="BY300" s="34">
        <v>4.0527202017721999E+18</v>
      </c>
      <c r="BZ300" s="34" t="s">
        <v>1456</v>
      </c>
      <c r="CA300" s="34" t="s">
        <v>161</v>
      </c>
    </row>
    <row r="301" spans="1:79" x14ac:dyDescent="0.25">
      <c r="A301" s="34" t="s">
        <v>374</v>
      </c>
      <c r="B301" s="34" t="s">
        <v>287</v>
      </c>
      <c r="C301" s="34">
        <v>2020</v>
      </c>
      <c r="D301" s="34" t="s">
        <v>644</v>
      </c>
      <c r="E301" s="34">
        <v>2.0200520923750202E+17</v>
      </c>
      <c r="F301" s="34" t="s">
        <v>182</v>
      </c>
      <c r="G301" s="34" t="s">
        <v>1457</v>
      </c>
      <c r="H301" s="34">
        <v>1407307</v>
      </c>
      <c r="I301" s="34"/>
      <c r="J301" s="34" t="s">
        <v>180</v>
      </c>
      <c r="K301" s="34" t="s">
        <v>179</v>
      </c>
      <c r="L301" s="34"/>
      <c r="M301" s="34"/>
      <c r="N301" s="34" t="s">
        <v>905</v>
      </c>
      <c r="O301" s="34" t="s">
        <v>297</v>
      </c>
      <c r="P301" s="34"/>
      <c r="Q301" s="34" t="s">
        <v>296</v>
      </c>
      <c r="R301" s="34" t="s">
        <v>906</v>
      </c>
      <c r="S301" s="34"/>
      <c r="T301" s="34" t="s">
        <v>907</v>
      </c>
      <c r="U301" s="34"/>
      <c r="V301" s="34" t="s">
        <v>949</v>
      </c>
      <c r="W301" s="34"/>
      <c r="X301" s="34" t="s">
        <v>909</v>
      </c>
      <c r="Y301" s="34" t="s">
        <v>47</v>
      </c>
      <c r="Z301" s="34">
        <v>2142</v>
      </c>
      <c r="AA301" s="34" t="s">
        <v>393</v>
      </c>
      <c r="AB301" s="34" t="s">
        <v>393</v>
      </c>
      <c r="AC301" s="34"/>
      <c r="AD301" s="34"/>
      <c r="AE301" s="34"/>
      <c r="AF301" s="34" t="s">
        <v>377</v>
      </c>
      <c r="AG301" s="34"/>
      <c r="AH301" s="34"/>
      <c r="AI301" s="34">
        <v>43942</v>
      </c>
      <c r="AJ301" s="34">
        <v>25</v>
      </c>
      <c r="AK301" s="34">
        <v>25</v>
      </c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 t="s">
        <v>50</v>
      </c>
      <c r="BL301" s="34" t="s">
        <v>167</v>
      </c>
      <c r="BM301" s="34" t="s">
        <v>166</v>
      </c>
      <c r="BN301" s="34">
        <v>43979.287502222222</v>
      </c>
      <c r="BO301" s="34"/>
      <c r="BP301" s="34"/>
      <c r="BQ301" s="34"/>
      <c r="BR301" s="34" t="s">
        <v>165</v>
      </c>
      <c r="BS301" s="34">
        <v>4.05212020176224E+18</v>
      </c>
      <c r="BT301" s="34" t="s">
        <v>164</v>
      </c>
      <c r="BU301" s="34" t="s">
        <v>1458</v>
      </c>
      <c r="BV301" s="34">
        <v>2020</v>
      </c>
      <c r="BW301" s="34" t="s">
        <v>163</v>
      </c>
      <c r="BX301" s="34"/>
      <c r="BY301" s="34">
        <v>4.0527202017721999E+18</v>
      </c>
      <c r="BZ301" s="34" t="s">
        <v>1459</v>
      </c>
      <c r="CA301" s="34" t="s">
        <v>161</v>
      </c>
    </row>
    <row r="302" spans="1:79" x14ac:dyDescent="0.25">
      <c r="A302" s="34" t="s">
        <v>374</v>
      </c>
      <c r="B302" s="34" t="s">
        <v>287</v>
      </c>
      <c r="C302" s="34">
        <v>2020</v>
      </c>
      <c r="D302" s="34" t="s">
        <v>644</v>
      </c>
      <c r="E302" s="34">
        <v>2.0200520923750202E+17</v>
      </c>
      <c r="F302" s="34" t="s">
        <v>182</v>
      </c>
      <c r="G302" s="34" t="s">
        <v>1460</v>
      </c>
      <c r="H302" s="34">
        <v>1407307</v>
      </c>
      <c r="I302" s="34"/>
      <c r="J302" s="34" t="s">
        <v>180</v>
      </c>
      <c r="K302" s="34" t="s">
        <v>179</v>
      </c>
      <c r="L302" s="34" t="s">
        <v>1118</v>
      </c>
      <c r="M302" s="34"/>
      <c r="N302" s="34" t="s">
        <v>905</v>
      </c>
      <c r="O302" s="34" t="s">
        <v>297</v>
      </c>
      <c r="P302" s="34"/>
      <c r="Q302" s="34" t="s">
        <v>296</v>
      </c>
      <c r="R302" s="34" t="s">
        <v>906</v>
      </c>
      <c r="S302" s="34"/>
      <c r="T302" s="34" t="s">
        <v>907</v>
      </c>
      <c r="U302" s="34"/>
      <c r="V302" s="34" t="s">
        <v>949</v>
      </c>
      <c r="W302" s="34"/>
      <c r="X302" s="34" t="s">
        <v>909</v>
      </c>
      <c r="Y302" s="34" t="s">
        <v>47</v>
      </c>
      <c r="Z302" s="34">
        <v>2142</v>
      </c>
      <c r="AA302" s="34" t="s">
        <v>393</v>
      </c>
      <c r="AB302" s="34" t="s">
        <v>393</v>
      </c>
      <c r="AC302" s="34" t="s">
        <v>1118</v>
      </c>
      <c r="AD302" s="34" t="s">
        <v>383</v>
      </c>
      <c r="AE302" s="34" t="s">
        <v>382</v>
      </c>
      <c r="AF302" s="34" t="s">
        <v>377</v>
      </c>
      <c r="AG302" s="34"/>
      <c r="AH302" s="34"/>
      <c r="AI302" s="34">
        <v>43926</v>
      </c>
      <c r="AJ302" s="34">
        <v>25</v>
      </c>
      <c r="AK302" s="34">
        <v>300</v>
      </c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 t="s">
        <v>28</v>
      </c>
      <c r="BH302" s="34"/>
      <c r="BI302" s="34" t="s">
        <v>168</v>
      </c>
      <c r="BJ302" s="34"/>
      <c r="BK302" s="34" t="s">
        <v>50</v>
      </c>
      <c r="BL302" s="34" t="s">
        <v>167</v>
      </c>
      <c r="BM302" s="34" t="s">
        <v>166</v>
      </c>
      <c r="BN302" s="34">
        <v>43979.302411990742</v>
      </c>
      <c r="BO302" s="34"/>
      <c r="BP302" s="34"/>
      <c r="BQ302" s="34"/>
      <c r="BR302" s="34" t="s">
        <v>165</v>
      </c>
      <c r="BS302" s="34">
        <v>4.05212020176224E+18</v>
      </c>
      <c r="BT302" s="34" t="s">
        <v>164</v>
      </c>
      <c r="BU302" s="34" t="s">
        <v>1119</v>
      </c>
      <c r="BV302" s="34">
        <v>2020</v>
      </c>
      <c r="BW302" s="34" t="s">
        <v>163</v>
      </c>
      <c r="BX302" s="34"/>
      <c r="BY302" s="34">
        <v>4.0527202017721999E+18</v>
      </c>
      <c r="BZ302" s="34" t="s">
        <v>1461</v>
      </c>
      <c r="CA302" s="34" t="s">
        <v>161</v>
      </c>
    </row>
    <row r="303" spans="1:79" x14ac:dyDescent="0.25">
      <c r="A303" s="34" t="s">
        <v>374</v>
      </c>
      <c r="B303" s="34" t="s">
        <v>287</v>
      </c>
      <c r="C303" s="34">
        <v>2020</v>
      </c>
      <c r="D303" s="34" t="s">
        <v>644</v>
      </c>
      <c r="E303" s="34">
        <v>2.0200520923750202E+17</v>
      </c>
      <c r="F303" s="34" t="s">
        <v>182</v>
      </c>
      <c r="G303" s="34" t="s">
        <v>1462</v>
      </c>
      <c r="H303" s="34">
        <v>1407307</v>
      </c>
      <c r="I303" s="34"/>
      <c r="J303" s="34" t="s">
        <v>180</v>
      </c>
      <c r="K303" s="34" t="s">
        <v>179</v>
      </c>
      <c r="L303" s="34"/>
      <c r="M303" s="34"/>
      <c r="N303" s="34" t="s">
        <v>905</v>
      </c>
      <c r="O303" s="34" t="s">
        <v>297</v>
      </c>
      <c r="P303" s="34"/>
      <c r="Q303" s="34" t="s">
        <v>296</v>
      </c>
      <c r="R303" s="34" t="s">
        <v>906</v>
      </c>
      <c r="S303" s="34"/>
      <c r="T303" s="34" t="s">
        <v>907</v>
      </c>
      <c r="U303" s="34"/>
      <c r="V303" s="34" t="s">
        <v>949</v>
      </c>
      <c r="W303" s="34"/>
      <c r="X303" s="34" t="s">
        <v>909</v>
      </c>
      <c r="Y303" s="34" t="s">
        <v>47</v>
      </c>
      <c r="Z303" s="34">
        <v>2142</v>
      </c>
      <c r="AA303" s="34" t="s">
        <v>393</v>
      </c>
      <c r="AB303" s="34" t="s">
        <v>393</v>
      </c>
      <c r="AC303" s="34"/>
      <c r="AD303" s="34"/>
      <c r="AE303" s="34"/>
      <c r="AF303" s="34" t="s">
        <v>377</v>
      </c>
      <c r="AG303" s="34"/>
      <c r="AH303" s="34"/>
      <c r="AI303" s="34">
        <v>43941</v>
      </c>
      <c r="AJ303" s="34">
        <v>100</v>
      </c>
      <c r="AK303" s="34">
        <v>200</v>
      </c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 t="s">
        <v>50</v>
      </c>
      <c r="BL303" s="34" t="s">
        <v>167</v>
      </c>
      <c r="BM303" s="34" t="s">
        <v>166</v>
      </c>
      <c r="BN303" s="34">
        <v>43979.302411990742</v>
      </c>
      <c r="BO303" s="34"/>
      <c r="BP303" s="34"/>
      <c r="BQ303" s="34"/>
      <c r="BR303" s="34" t="s">
        <v>165</v>
      </c>
      <c r="BS303" s="34">
        <v>4.05212020176224E+18</v>
      </c>
      <c r="BT303" s="34" t="s">
        <v>164</v>
      </c>
      <c r="BU303" s="34" t="s">
        <v>400</v>
      </c>
      <c r="BV303" s="34">
        <v>2020</v>
      </c>
      <c r="BW303" s="34" t="s">
        <v>163</v>
      </c>
      <c r="BX303" s="34"/>
      <c r="BY303" s="34">
        <v>4.0527202017721999E+18</v>
      </c>
      <c r="BZ303" s="34" t="s">
        <v>1463</v>
      </c>
      <c r="CA303" s="34" t="s">
        <v>161</v>
      </c>
    </row>
    <row r="304" spans="1:79" x14ac:dyDescent="0.25">
      <c r="A304" s="34" t="s">
        <v>374</v>
      </c>
      <c r="B304" s="34" t="s">
        <v>287</v>
      </c>
      <c r="C304" s="34">
        <v>2020</v>
      </c>
      <c r="D304" s="34" t="s">
        <v>644</v>
      </c>
      <c r="E304" s="34">
        <v>2.0200520923750202E+17</v>
      </c>
      <c r="F304" s="34" t="s">
        <v>182</v>
      </c>
      <c r="G304" s="34" t="s">
        <v>1464</v>
      </c>
      <c r="H304" s="34">
        <v>1407307</v>
      </c>
      <c r="I304" s="34"/>
      <c r="J304" s="34" t="s">
        <v>180</v>
      </c>
      <c r="K304" s="34" t="s">
        <v>179</v>
      </c>
      <c r="L304" s="34"/>
      <c r="M304" s="34"/>
      <c r="N304" s="34" t="s">
        <v>905</v>
      </c>
      <c r="O304" s="34" t="s">
        <v>297</v>
      </c>
      <c r="P304" s="34"/>
      <c r="Q304" s="34" t="s">
        <v>296</v>
      </c>
      <c r="R304" s="34" t="s">
        <v>906</v>
      </c>
      <c r="S304" s="34"/>
      <c r="T304" s="34" t="s">
        <v>907</v>
      </c>
      <c r="U304" s="34"/>
      <c r="V304" s="34" t="s">
        <v>949</v>
      </c>
      <c r="W304" s="34"/>
      <c r="X304" s="34" t="s">
        <v>909</v>
      </c>
      <c r="Y304" s="34" t="s">
        <v>47</v>
      </c>
      <c r="Z304" s="34">
        <v>2142</v>
      </c>
      <c r="AA304" s="34" t="s">
        <v>393</v>
      </c>
      <c r="AB304" s="34" t="s">
        <v>393</v>
      </c>
      <c r="AC304" s="34"/>
      <c r="AD304" s="34"/>
      <c r="AE304" s="34"/>
      <c r="AF304" s="34" t="s">
        <v>364</v>
      </c>
      <c r="AG304" s="34"/>
      <c r="AH304" s="34"/>
      <c r="AI304" s="34">
        <v>43937</v>
      </c>
      <c r="AJ304" s="34">
        <v>10</v>
      </c>
      <c r="AK304" s="34">
        <v>184.8</v>
      </c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 t="s">
        <v>50</v>
      </c>
      <c r="BL304" s="34" t="s">
        <v>167</v>
      </c>
      <c r="BM304" s="34" t="s">
        <v>166</v>
      </c>
      <c r="BN304" s="34">
        <v>43979.316903599538</v>
      </c>
      <c r="BO304" s="34"/>
      <c r="BP304" s="34"/>
      <c r="BQ304" s="34"/>
      <c r="BR304" s="34" t="s">
        <v>165</v>
      </c>
      <c r="BS304" s="34">
        <v>4.05212020176224E+18</v>
      </c>
      <c r="BT304" s="34" t="s">
        <v>164</v>
      </c>
      <c r="BU304" s="34" t="s">
        <v>362</v>
      </c>
      <c r="BV304" s="34">
        <v>2020</v>
      </c>
      <c r="BW304" s="34" t="s">
        <v>163</v>
      </c>
      <c r="BX304" s="34"/>
      <c r="BY304" s="34">
        <v>4.0527202017721999E+18</v>
      </c>
      <c r="BZ304" s="34" t="s">
        <v>1456</v>
      </c>
      <c r="CA304" s="34" t="s">
        <v>161</v>
      </c>
    </row>
    <row r="305" spans="1:79" x14ac:dyDescent="0.25">
      <c r="A305" s="34" t="s">
        <v>374</v>
      </c>
      <c r="B305" s="34" t="s">
        <v>287</v>
      </c>
      <c r="C305" s="34">
        <v>2020</v>
      </c>
      <c r="D305" s="34" t="s">
        <v>644</v>
      </c>
      <c r="E305" s="34">
        <v>2.0200520923750202E+17</v>
      </c>
      <c r="F305" s="34" t="s">
        <v>182</v>
      </c>
      <c r="G305" s="34" t="s">
        <v>1465</v>
      </c>
      <c r="H305" s="34">
        <v>1407307</v>
      </c>
      <c r="I305" s="34"/>
      <c r="J305" s="34" t="s">
        <v>180</v>
      </c>
      <c r="K305" s="34" t="s">
        <v>179</v>
      </c>
      <c r="L305" s="34"/>
      <c r="M305" s="34"/>
      <c r="N305" s="34" t="s">
        <v>905</v>
      </c>
      <c r="O305" s="34" t="s">
        <v>297</v>
      </c>
      <c r="P305" s="34"/>
      <c r="Q305" s="34" t="s">
        <v>296</v>
      </c>
      <c r="R305" s="34" t="s">
        <v>906</v>
      </c>
      <c r="S305" s="34"/>
      <c r="T305" s="34" t="s">
        <v>907</v>
      </c>
      <c r="U305" s="34"/>
      <c r="V305" s="34" t="s">
        <v>949</v>
      </c>
      <c r="W305" s="34"/>
      <c r="X305" s="34" t="s">
        <v>909</v>
      </c>
      <c r="Y305" s="34" t="s">
        <v>47</v>
      </c>
      <c r="Z305" s="34">
        <v>2142</v>
      </c>
      <c r="AA305" s="34" t="s">
        <v>393</v>
      </c>
      <c r="AB305" s="34" t="s">
        <v>393</v>
      </c>
      <c r="AC305" s="34"/>
      <c r="AD305" s="34"/>
      <c r="AE305" s="34"/>
      <c r="AF305" s="34" t="s">
        <v>364</v>
      </c>
      <c r="AG305" s="34"/>
      <c r="AH305" s="34"/>
      <c r="AI305" s="34">
        <v>43941</v>
      </c>
      <c r="AJ305" s="34">
        <v>10</v>
      </c>
      <c r="AK305" s="34">
        <v>184.8</v>
      </c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 t="s">
        <v>50</v>
      </c>
      <c r="BL305" s="34" t="s">
        <v>167</v>
      </c>
      <c r="BM305" s="34" t="s">
        <v>166</v>
      </c>
      <c r="BN305" s="34">
        <v>43979.320468472222</v>
      </c>
      <c r="BO305" s="34"/>
      <c r="BP305" s="34"/>
      <c r="BQ305" s="34"/>
      <c r="BR305" s="34" t="s">
        <v>165</v>
      </c>
      <c r="BS305" s="34">
        <v>4.05212020176224E+18</v>
      </c>
      <c r="BT305" s="34" t="s">
        <v>164</v>
      </c>
      <c r="BU305" s="34" t="s">
        <v>362</v>
      </c>
      <c r="BV305" s="34">
        <v>2020</v>
      </c>
      <c r="BW305" s="34" t="s">
        <v>163</v>
      </c>
      <c r="BX305" s="34"/>
      <c r="BY305" s="34">
        <v>4.0527202017721999E+18</v>
      </c>
      <c r="BZ305" s="34" t="s">
        <v>1463</v>
      </c>
      <c r="CA305" s="34" t="s">
        <v>161</v>
      </c>
    </row>
    <row r="306" spans="1:79" x14ac:dyDescent="0.25">
      <c r="A306" s="34" t="s">
        <v>374</v>
      </c>
      <c r="B306" s="34" t="s">
        <v>287</v>
      </c>
      <c r="C306" s="34">
        <v>2020</v>
      </c>
      <c r="D306" s="34" t="s">
        <v>644</v>
      </c>
      <c r="E306" s="34">
        <v>2.0200520923750202E+17</v>
      </c>
      <c r="F306" s="34" t="s">
        <v>182</v>
      </c>
      <c r="G306" s="34" t="s">
        <v>1466</v>
      </c>
      <c r="H306" s="34">
        <v>1407307</v>
      </c>
      <c r="I306" s="34"/>
      <c r="J306" s="34" t="s">
        <v>180</v>
      </c>
      <c r="K306" s="34" t="s">
        <v>179</v>
      </c>
      <c r="L306" s="34" t="s">
        <v>1118</v>
      </c>
      <c r="M306" s="34"/>
      <c r="N306" s="34" t="s">
        <v>905</v>
      </c>
      <c r="O306" s="34" t="s">
        <v>297</v>
      </c>
      <c r="P306" s="34"/>
      <c r="Q306" s="34" t="s">
        <v>296</v>
      </c>
      <c r="R306" s="34" t="s">
        <v>906</v>
      </c>
      <c r="S306" s="34"/>
      <c r="T306" s="34" t="s">
        <v>907</v>
      </c>
      <c r="U306" s="34"/>
      <c r="V306" s="34" t="s">
        <v>949</v>
      </c>
      <c r="W306" s="34"/>
      <c r="X306" s="34" t="s">
        <v>909</v>
      </c>
      <c r="Y306" s="34" t="s">
        <v>47</v>
      </c>
      <c r="Z306" s="34">
        <v>2142</v>
      </c>
      <c r="AA306" s="34" t="s">
        <v>393</v>
      </c>
      <c r="AB306" s="34" t="s">
        <v>393</v>
      </c>
      <c r="AC306" s="34" t="s">
        <v>1118</v>
      </c>
      <c r="AD306" s="34" t="s">
        <v>383</v>
      </c>
      <c r="AE306" s="34" t="s">
        <v>382</v>
      </c>
      <c r="AF306" s="34" t="s">
        <v>377</v>
      </c>
      <c r="AG306" s="34"/>
      <c r="AH306" s="34"/>
      <c r="AI306" s="34">
        <v>43936</v>
      </c>
      <c r="AJ306" s="34">
        <v>100</v>
      </c>
      <c r="AK306" s="34">
        <v>300</v>
      </c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 t="s">
        <v>28</v>
      </c>
      <c r="BH306" s="34"/>
      <c r="BI306" s="34" t="s">
        <v>168</v>
      </c>
      <c r="BJ306" s="34"/>
      <c r="BK306" s="34" t="s">
        <v>50</v>
      </c>
      <c r="BL306" s="34" t="s">
        <v>167</v>
      </c>
      <c r="BM306" s="34" t="s">
        <v>166</v>
      </c>
      <c r="BN306" s="34">
        <v>43979.319705729169</v>
      </c>
      <c r="BO306" s="34"/>
      <c r="BP306" s="34"/>
      <c r="BQ306" s="34"/>
      <c r="BR306" s="34" t="s">
        <v>165</v>
      </c>
      <c r="BS306" s="34">
        <v>4.05212020176224E+18</v>
      </c>
      <c r="BT306" s="34" t="s">
        <v>164</v>
      </c>
      <c r="BU306" s="34" t="s">
        <v>1119</v>
      </c>
      <c r="BV306" s="34">
        <v>2020</v>
      </c>
      <c r="BW306" s="34" t="s">
        <v>163</v>
      </c>
      <c r="BX306" s="34"/>
      <c r="BY306" s="34">
        <v>4.0527202017721999E+18</v>
      </c>
      <c r="BZ306" s="34" t="s">
        <v>1467</v>
      </c>
      <c r="CA306" s="34" t="s">
        <v>161</v>
      </c>
    </row>
    <row r="307" spans="1:79" x14ac:dyDescent="0.25">
      <c r="A307" s="34" t="s">
        <v>374</v>
      </c>
      <c r="B307" s="34" t="s">
        <v>287</v>
      </c>
      <c r="C307" s="34">
        <v>2020</v>
      </c>
      <c r="D307" s="34" t="s">
        <v>644</v>
      </c>
      <c r="E307" s="34">
        <v>2.0200520923750202E+17</v>
      </c>
      <c r="F307" s="34" t="s">
        <v>182</v>
      </c>
      <c r="G307" s="34" t="s">
        <v>1468</v>
      </c>
      <c r="H307" s="34">
        <v>1407307</v>
      </c>
      <c r="I307" s="34"/>
      <c r="J307" s="34" t="s">
        <v>180</v>
      </c>
      <c r="K307" s="34" t="s">
        <v>179</v>
      </c>
      <c r="L307" s="34"/>
      <c r="M307" s="34"/>
      <c r="N307" s="34" t="s">
        <v>905</v>
      </c>
      <c r="O307" s="34" t="s">
        <v>297</v>
      </c>
      <c r="P307" s="34"/>
      <c r="Q307" s="34" t="s">
        <v>296</v>
      </c>
      <c r="R307" s="34" t="s">
        <v>906</v>
      </c>
      <c r="S307" s="34"/>
      <c r="T307" s="34" t="s">
        <v>907</v>
      </c>
      <c r="U307" s="34"/>
      <c r="V307" s="34" t="s">
        <v>949</v>
      </c>
      <c r="W307" s="34"/>
      <c r="X307" s="34" t="s">
        <v>909</v>
      </c>
      <c r="Y307" s="34" t="s">
        <v>47</v>
      </c>
      <c r="Z307" s="34">
        <v>2142</v>
      </c>
      <c r="AA307" s="34" t="s">
        <v>393</v>
      </c>
      <c r="AB307" s="34" t="s">
        <v>393</v>
      </c>
      <c r="AC307" s="34"/>
      <c r="AD307" s="34"/>
      <c r="AE307" s="34"/>
      <c r="AF307" s="34" t="s">
        <v>364</v>
      </c>
      <c r="AG307" s="34"/>
      <c r="AH307" s="34"/>
      <c r="AI307" s="34">
        <v>43942</v>
      </c>
      <c r="AJ307" s="34">
        <v>2.5</v>
      </c>
      <c r="AK307" s="34">
        <v>184.8</v>
      </c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 t="s">
        <v>50</v>
      </c>
      <c r="BL307" s="34" t="s">
        <v>167</v>
      </c>
      <c r="BM307" s="34" t="s">
        <v>166</v>
      </c>
      <c r="BN307" s="34">
        <v>43979.332651064811</v>
      </c>
      <c r="BO307" s="34"/>
      <c r="BP307" s="34"/>
      <c r="BQ307" s="34"/>
      <c r="BR307" s="34" t="s">
        <v>165</v>
      </c>
      <c r="BS307" s="34">
        <v>4.05212020176224E+18</v>
      </c>
      <c r="BT307" s="34" t="s">
        <v>164</v>
      </c>
      <c r="BU307" s="34" t="s">
        <v>362</v>
      </c>
      <c r="BV307" s="34">
        <v>2020</v>
      </c>
      <c r="BW307" s="34" t="s">
        <v>163</v>
      </c>
      <c r="BX307" s="34"/>
      <c r="BY307" s="34">
        <v>4.0527202017721999E+18</v>
      </c>
      <c r="BZ307" s="34" t="s">
        <v>1459</v>
      </c>
      <c r="CA307" s="34" t="s">
        <v>161</v>
      </c>
    </row>
    <row r="308" spans="1:79" x14ac:dyDescent="0.25">
      <c r="A308" s="34" t="s">
        <v>1433</v>
      </c>
      <c r="B308" s="34" t="s">
        <v>1434</v>
      </c>
      <c r="C308" s="34">
        <v>2020</v>
      </c>
      <c r="D308" s="34" t="s">
        <v>706</v>
      </c>
      <c r="E308" s="34">
        <v>2.0200620924382099E+17</v>
      </c>
      <c r="F308" s="34" t="s">
        <v>450</v>
      </c>
      <c r="G308" s="34">
        <v>4932551</v>
      </c>
      <c r="H308" s="34">
        <v>1414186</v>
      </c>
      <c r="I308" s="34"/>
      <c r="J308" s="34" t="s">
        <v>180</v>
      </c>
      <c r="K308" s="34" t="s">
        <v>179</v>
      </c>
      <c r="L308" s="34" t="s">
        <v>374</v>
      </c>
      <c r="M308" s="34"/>
      <c r="N308" s="34" t="s">
        <v>905</v>
      </c>
      <c r="O308" s="34" t="s">
        <v>28</v>
      </c>
      <c r="P308" s="34"/>
      <c r="Q308" s="34" t="s">
        <v>28</v>
      </c>
      <c r="R308" s="34" t="s">
        <v>906</v>
      </c>
      <c r="S308" s="34"/>
      <c r="T308" s="34" t="s">
        <v>907</v>
      </c>
      <c r="U308" s="34"/>
      <c r="V308" s="34" t="s">
        <v>908</v>
      </c>
      <c r="W308" s="34"/>
      <c r="X308" s="34" t="s">
        <v>909</v>
      </c>
      <c r="Y308" s="34" t="s">
        <v>47</v>
      </c>
      <c r="Z308" s="34">
        <v>21421229</v>
      </c>
      <c r="AA308" s="34" t="s">
        <v>393</v>
      </c>
      <c r="AB308" s="34" t="s">
        <v>393</v>
      </c>
      <c r="AC308" s="34" t="s">
        <v>374</v>
      </c>
      <c r="AD308" s="34" t="s">
        <v>345</v>
      </c>
      <c r="AE308" s="34" t="s">
        <v>344</v>
      </c>
      <c r="AF308" s="34"/>
      <c r="AG308" s="34"/>
      <c r="AH308" s="34"/>
      <c r="AI308" s="34">
        <v>43967</v>
      </c>
      <c r="AJ308" s="34">
        <v>100</v>
      </c>
      <c r="AK308" s="34">
        <v>300</v>
      </c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 t="s">
        <v>446</v>
      </c>
      <c r="BH308" s="34"/>
      <c r="BI308" s="34" t="s">
        <v>168</v>
      </c>
      <c r="BJ308" s="34">
        <v>2020</v>
      </c>
      <c r="BK308" s="34" t="s">
        <v>50</v>
      </c>
      <c r="BL308" s="34" t="s">
        <v>167</v>
      </c>
      <c r="BM308" s="34" t="s">
        <v>166</v>
      </c>
      <c r="BN308" s="34">
        <v>44008.10139369213</v>
      </c>
      <c r="BO308" s="34"/>
      <c r="BP308" s="34" t="s">
        <v>1469</v>
      </c>
      <c r="BQ308" s="34" t="s">
        <v>877</v>
      </c>
      <c r="BR308" s="34" t="s">
        <v>445</v>
      </c>
      <c r="BS308" s="34">
        <v>4.0620202017761101E+18</v>
      </c>
      <c r="BT308" s="34" t="s">
        <v>164</v>
      </c>
      <c r="BU308" s="34" t="s">
        <v>512</v>
      </c>
      <c r="BV308" s="34">
        <v>2020</v>
      </c>
      <c r="BW308" s="34" t="s">
        <v>163</v>
      </c>
      <c r="BX308" s="34"/>
      <c r="BY308" s="34">
        <v>4.0625202017777398E+18</v>
      </c>
      <c r="BZ308" s="34" t="s">
        <v>1470</v>
      </c>
      <c r="CA308" s="34" t="s">
        <v>161</v>
      </c>
    </row>
    <row r="309" spans="1:79" x14ac:dyDescent="0.25">
      <c r="A309" s="34" t="s">
        <v>1433</v>
      </c>
      <c r="B309" s="34" t="s">
        <v>1434</v>
      </c>
      <c r="C309" s="34">
        <v>2020</v>
      </c>
      <c r="D309" s="34" t="s">
        <v>706</v>
      </c>
      <c r="E309" s="34">
        <v>2.0200620924382099E+17</v>
      </c>
      <c r="F309" s="34" t="s">
        <v>450</v>
      </c>
      <c r="G309" s="34">
        <v>5025695</v>
      </c>
      <c r="H309" s="34">
        <v>1414186</v>
      </c>
      <c r="I309" s="34"/>
      <c r="J309" s="34" t="s">
        <v>180</v>
      </c>
      <c r="K309" s="34" t="s">
        <v>179</v>
      </c>
      <c r="L309" s="34" t="s">
        <v>374</v>
      </c>
      <c r="M309" s="34"/>
      <c r="N309" s="34" t="s">
        <v>905</v>
      </c>
      <c r="O309" s="34" t="s">
        <v>28</v>
      </c>
      <c r="P309" s="34"/>
      <c r="Q309" s="34" t="s">
        <v>28</v>
      </c>
      <c r="R309" s="34" t="s">
        <v>906</v>
      </c>
      <c r="S309" s="34"/>
      <c r="T309" s="34" t="s">
        <v>907</v>
      </c>
      <c r="U309" s="34"/>
      <c r="V309" s="34" t="s">
        <v>908</v>
      </c>
      <c r="W309" s="34"/>
      <c r="X309" s="34" t="s">
        <v>909</v>
      </c>
      <c r="Y309" s="34" t="s">
        <v>47</v>
      </c>
      <c r="Z309" s="34">
        <v>21421229</v>
      </c>
      <c r="AA309" s="34" t="s">
        <v>393</v>
      </c>
      <c r="AB309" s="34" t="s">
        <v>393</v>
      </c>
      <c r="AC309" s="34" t="s">
        <v>374</v>
      </c>
      <c r="AD309" s="34" t="s">
        <v>345</v>
      </c>
      <c r="AE309" s="34" t="s">
        <v>344</v>
      </c>
      <c r="AF309" s="34"/>
      <c r="AG309" s="34"/>
      <c r="AH309" s="34"/>
      <c r="AI309" s="34">
        <v>43970</v>
      </c>
      <c r="AJ309" s="34">
        <v>100</v>
      </c>
      <c r="AK309" s="34">
        <v>400</v>
      </c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 t="s">
        <v>446</v>
      </c>
      <c r="BH309" s="34"/>
      <c r="BI309" s="34" t="s">
        <v>168</v>
      </c>
      <c r="BJ309" s="34">
        <v>2020</v>
      </c>
      <c r="BK309" s="34" t="s">
        <v>50</v>
      </c>
      <c r="BL309" s="34" t="s">
        <v>167</v>
      </c>
      <c r="BM309" s="34" t="s">
        <v>166</v>
      </c>
      <c r="BN309" s="34">
        <v>44008.116540185183</v>
      </c>
      <c r="BO309" s="34"/>
      <c r="BP309" s="34" t="s">
        <v>1471</v>
      </c>
      <c r="BQ309" s="34" t="s">
        <v>877</v>
      </c>
      <c r="BR309" s="34" t="s">
        <v>445</v>
      </c>
      <c r="BS309" s="34">
        <v>4.0620202017761101E+18</v>
      </c>
      <c r="BT309" s="34" t="s">
        <v>164</v>
      </c>
      <c r="BU309" s="34" t="s">
        <v>512</v>
      </c>
      <c r="BV309" s="34">
        <v>2020</v>
      </c>
      <c r="BW309" s="34" t="s">
        <v>163</v>
      </c>
      <c r="BX309" s="34"/>
      <c r="BY309" s="34">
        <v>4.0625202017777398E+18</v>
      </c>
      <c r="BZ309" s="34" t="s">
        <v>1472</v>
      </c>
      <c r="CA309" s="34" t="s">
        <v>161</v>
      </c>
    </row>
    <row r="310" spans="1:79" x14ac:dyDescent="0.25">
      <c r="A310" s="34" t="s">
        <v>374</v>
      </c>
      <c r="B310" s="34" t="s">
        <v>287</v>
      </c>
      <c r="C310" s="34">
        <v>2020</v>
      </c>
      <c r="D310" s="34" t="s">
        <v>706</v>
      </c>
      <c r="E310" s="34">
        <v>2.0200620924188099E+17</v>
      </c>
      <c r="F310" s="34" t="s">
        <v>182</v>
      </c>
      <c r="G310" s="34" t="s">
        <v>1473</v>
      </c>
      <c r="H310" s="34">
        <v>1413483</v>
      </c>
      <c r="I310" s="34"/>
      <c r="J310" s="34" t="s">
        <v>180</v>
      </c>
      <c r="K310" s="34" t="s">
        <v>179</v>
      </c>
      <c r="L310" s="34" t="s">
        <v>1433</v>
      </c>
      <c r="M310" s="34"/>
      <c r="N310" s="34" t="s">
        <v>905</v>
      </c>
      <c r="O310" s="34" t="s">
        <v>297</v>
      </c>
      <c r="P310" s="34"/>
      <c r="Q310" s="34" t="s">
        <v>296</v>
      </c>
      <c r="R310" s="34" t="s">
        <v>906</v>
      </c>
      <c r="S310" s="34"/>
      <c r="T310" s="34" t="s">
        <v>907</v>
      </c>
      <c r="U310" s="34"/>
      <c r="V310" s="34" t="s">
        <v>949</v>
      </c>
      <c r="W310" s="34"/>
      <c r="X310" s="34" t="s">
        <v>909</v>
      </c>
      <c r="Y310" s="34" t="s">
        <v>47</v>
      </c>
      <c r="Z310" s="34">
        <v>2142</v>
      </c>
      <c r="AA310" s="34" t="s">
        <v>393</v>
      </c>
      <c r="AB310" s="34" t="s">
        <v>393</v>
      </c>
      <c r="AC310" s="34" t="s">
        <v>1433</v>
      </c>
      <c r="AD310" s="34" t="s">
        <v>383</v>
      </c>
      <c r="AE310" s="34" t="s">
        <v>382</v>
      </c>
      <c r="AF310" s="34" t="s">
        <v>377</v>
      </c>
      <c r="AG310" s="34"/>
      <c r="AH310" s="34"/>
      <c r="AI310" s="34">
        <v>43967</v>
      </c>
      <c r="AJ310" s="34">
        <v>100</v>
      </c>
      <c r="AK310" s="34">
        <v>400</v>
      </c>
      <c r="AL310" s="34" t="s">
        <v>1474</v>
      </c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 t="s">
        <v>28</v>
      </c>
      <c r="BH310" s="34"/>
      <c r="BI310" s="34" t="s">
        <v>168</v>
      </c>
      <c r="BJ310" s="34"/>
      <c r="BK310" s="34" t="s">
        <v>50</v>
      </c>
      <c r="BL310" s="34" t="s">
        <v>167</v>
      </c>
      <c r="BM310" s="34" t="s">
        <v>166</v>
      </c>
      <c r="BN310" s="34">
        <v>44022.284560300926</v>
      </c>
      <c r="BO310" s="34"/>
      <c r="BP310" s="34"/>
      <c r="BQ310" s="34"/>
      <c r="BR310" s="34" t="s">
        <v>165</v>
      </c>
      <c r="BS310" s="34">
        <v>4.0621202017761597E+18</v>
      </c>
      <c r="BT310" s="34" t="s">
        <v>164</v>
      </c>
      <c r="BU310" s="34" t="s">
        <v>400</v>
      </c>
      <c r="BV310" s="34">
        <v>2020</v>
      </c>
      <c r="BW310" s="34" t="s">
        <v>163</v>
      </c>
      <c r="BX310" s="34"/>
      <c r="BY310" s="34">
        <v>4.0709202017890299E+18</v>
      </c>
      <c r="BZ310" s="34" t="s">
        <v>1475</v>
      </c>
      <c r="CA310" s="34" t="s">
        <v>161</v>
      </c>
    </row>
    <row r="311" spans="1:79" x14ac:dyDescent="0.25">
      <c r="A311" s="34" t="s">
        <v>374</v>
      </c>
      <c r="B311" s="34" t="s">
        <v>287</v>
      </c>
      <c r="C311" s="34">
        <v>2020</v>
      </c>
      <c r="D311" s="34" t="s">
        <v>706</v>
      </c>
      <c r="E311" s="34">
        <v>2.0200620924188099E+17</v>
      </c>
      <c r="F311" s="34" t="s">
        <v>182</v>
      </c>
      <c r="G311" s="34" t="s">
        <v>1476</v>
      </c>
      <c r="H311" s="34">
        <v>1413483</v>
      </c>
      <c r="I311" s="34"/>
      <c r="J311" s="34" t="s">
        <v>180</v>
      </c>
      <c r="K311" s="34" t="s">
        <v>179</v>
      </c>
      <c r="L311" s="34" t="s">
        <v>1118</v>
      </c>
      <c r="M311" s="34"/>
      <c r="N311" s="34" t="s">
        <v>905</v>
      </c>
      <c r="O311" s="34" t="s">
        <v>297</v>
      </c>
      <c r="P311" s="34"/>
      <c r="Q311" s="34" t="s">
        <v>296</v>
      </c>
      <c r="R311" s="34" t="s">
        <v>906</v>
      </c>
      <c r="S311" s="34"/>
      <c r="T311" s="34" t="s">
        <v>907</v>
      </c>
      <c r="U311" s="34"/>
      <c r="V311" s="34" t="s">
        <v>949</v>
      </c>
      <c r="W311" s="34"/>
      <c r="X311" s="34" t="s">
        <v>909</v>
      </c>
      <c r="Y311" s="34" t="s">
        <v>47</v>
      </c>
      <c r="Z311" s="34">
        <v>2142</v>
      </c>
      <c r="AA311" s="34" t="s">
        <v>393</v>
      </c>
      <c r="AB311" s="34" t="s">
        <v>393</v>
      </c>
      <c r="AC311" s="34" t="s">
        <v>1118</v>
      </c>
      <c r="AD311" s="34" t="s">
        <v>383</v>
      </c>
      <c r="AE311" s="34" t="s">
        <v>382</v>
      </c>
      <c r="AF311" s="34" t="s">
        <v>377</v>
      </c>
      <c r="AG311" s="34"/>
      <c r="AH311" s="34"/>
      <c r="AI311" s="34">
        <v>43966</v>
      </c>
      <c r="AJ311" s="34">
        <v>100</v>
      </c>
      <c r="AK311" s="34">
        <v>425</v>
      </c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 t="s">
        <v>28</v>
      </c>
      <c r="BH311" s="34"/>
      <c r="BI311" s="34" t="s">
        <v>168</v>
      </c>
      <c r="BJ311" s="34"/>
      <c r="BK311" s="34" t="s">
        <v>50</v>
      </c>
      <c r="BL311" s="34" t="s">
        <v>167</v>
      </c>
      <c r="BM311" s="34" t="s">
        <v>166</v>
      </c>
      <c r="BN311" s="34">
        <v>44022.301501655093</v>
      </c>
      <c r="BO311" s="34"/>
      <c r="BP311" s="34"/>
      <c r="BQ311" s="34"/>
      <c r="BR311" s="34" t="s">
        <v>165</v>
      </c>
      <c r="BS311" s="34">
        <v>4.0621202017761597E+18</v>
      </c>
      <c r="BT311" s="34" t="s">
        <v>164</v>
      </c>
      <c r="BU311" s="34" t="s">
        <v>1119</v>
      </c>
      <c r="BV311" s="34">
        <v>2020</v>
      </c>
      <c r="BW311" s="34" t="s">
        <v>163</v>
      </c>
      <c r="BX311" s="34"/>
      <c r="BY311" s="34">
        <v>4.0709202017890299E+18</v>
      </c>
      <c r="BZ311" s="34" t="s">
        <v>1475</v>
      </c>
      <c r="CA311" s="34" t="s">
        <v>161</v>
      </c>
    </row>
    <row r="312" spans="1:79" x14ac:dyDescent="0.25">
      <c r="A312" s="34" t="s">
        <v>374</v>
      </c>
      <c r="B312" s="34" t="s">
        <v>287</v>
      </c>
      <c r="C312" s="34">
        <v>2020</v>
      </c>
      <c r="D312" s="34" t="s">
        <v>706</v>
      </c>
      <c r="E312" s="34">
        <v>2.0200620924188099E+17</v>
      </c>
      <c r="F312" s="34" t="s">
        <v>182</v>
      </c>
      <c r="G312" s="34" t="s">
        <v>1477</v>
      </c>
      <c r="H312" s="34">
        <v>1413483</v>
      </c>
      <c r="I312" s="34"/>
      <c r="J312" s="34" t="s">
        <v>180</v>
      </c>
      <c r="K312" s="34" t="s">
        <v>179</v>
      </c>
      <c r="L312" s="34" t="s">
        <v>1118</v>
      </c>
      <c r="M312" s="34"/>
      <c r="N312" s="34" t="s">
        <v>905</v>
      </c>
      <c r="O312" s="34" t="s">
        <v>297</v>
      </c>
      <c r="P312" s="34"/>
      <c r="Q312" s="34" t="s">
        <v>296</v>
      </c>
      <c r="R312" s="34" t="s">
        <v>906</v>
      </c>
      <c r="S312" s="34"/>
      <c r="T312" s="34" t="s">
        <v>907</v>
      </c>
      <c r="U312" s="34"/>
      <c r="V312" s="34" t="s">
        <v>949</v>
      </c>
      <c r="W312" s="34"/>
      <c r="X312" s="34" t="s">
        <v>909</v>
      </c>
      <c r="Y312" s="34" t="s">
        <v>47</v>
      </c>
      <c r="Z312" s="34">
        <v>2142</v>
      </c>
      <c r="AA312" s="34" t="s">
        <v>393</v>
      </c>
      <c r="AB312" s="34" t="s">
        <v>393</v>
      </c>
      <c r="AC312" s="34" t="s">
        <v>1118</v>
      </c>
      <c r="AD312" s="34" t="s">
        <v>383</v>
      </c>
      <c r="AE312" s="34" t="s">
        <v>382</v>
      </c>
      <c r="AF312" s="34" t="s">
        <v>377</v>
      </c>
      <c r="AG312" s="34"/>
      <c r="AH312" s="34"/>
      <c r="AI312" s="34">
        <v>43956</v>
      </c>
      <c r="AJ312" s="34">
        <v>25</v>
      </c>
      <c r="AK312" s="34">
        <v>425</v>
      </c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 t="s">
        <v>28</v>
      </c>
      <c r="BH312" s="34"/>
      <c r="BI312" s="34" t="s">
        <v>168</v>
      </c>
      <c r="BJ312" s="34"/>
      <c r="BK312" s="34" t="s">
        <v>50</v>
      </c>
      <c r="BL312" s="34" t="s">
        <v>167</v>
      </c>
      <c r="BM312" s="34" t="s">
        <v>166</v>
      </c>
      <c r="BN312" s="34">
        <v>44022.315893298612</v>
      </c>
      <c r="BO312" s="34"/>
      <c r="BP312" s="34"/>
      <c r="BQ312" s="34"/>
      <c r="BR312" s="34" t="s">
        <v>165</v>
      </c>
      <c r="BS312" s="34">
        <v>4.0621202017761597E+18</v>
      </c>
      <c r="BT312" s="34" t="s">
        <v>164</v>
      </c>
      <c r="BU312" s="34" t="s">
        <v>1119</v>
      </c>
      <c r="BV312" s="34">
        <v>2020</v>
      </c>
      <c r="BW312" s="34" t="s">
        <v>163</v>
      </c>
      <c r="BX312" s="34"/>
      <c r="BY312" s="34">
        <v>4.0709202017890299E+18</v>
      </c>
      <c r="BZ312" s="34" t="s">
        <v>1478</v>
      </c>
      <c r="CA312" s="34" t="s">
        <v>161</v>
      </c>
    </row>
    <row r="313" spans="1:79" x14ac:dyDescent="0.25">
      <c r="A313" s="34" t="s">
        <v>374</v>
      </c>
      <c r="B313" s="34" t="s">
        <v>287</v>
      </c>
      <c r="C313" s="34">
        <v>2020</v>
      </c>
      <c r="D313" s="34" t="s">
        <v>706</v>
      </c>
      <c r="E313" s="34">
        <v>2.0200620924188099E+17</v>
      </c>
      <c r="F313" s="34" t="s">
        <v>182</v>
      </c>
      <c r="G313" s="34" t="s">
        <v>1479</v>
      </c>
      <c r="H313" s="34">
        <v>1413483</v>
      </c>
      <c r="I313" s="34"/>
      <c r="J313" s="34" t="s">
        <v>180</v>
      </c>
      <c r="K313" s="34" t="s">
        <v>179</v>
      </c>
      <c r="L313" s="34"/>
      <c r="M313" s="34"/>
      <c r="N313" s="34" t="s">
        <v>905</v>
      </c>
      <c r="O313" s="34" t="s">
        <v>297</v>
      </c>
      <c r="P313" s="34"/>
      <c r="Q313" s="34" t="s">
        <v>296</v>
      </c>
      <c r="R313" s="34" t="s">
        <v>906</v>
      </c>
      <c r="S313" s="34"/>
      <c r="T313" s="34" t="s">
        <v>907</v>
      </c>
      <c r="U313" s="34"/>
      <c r="V313" s="34" t="s">
        <v>949</v>
      </c>
      <c r="W313" s="34"/>
      <c r="X313" s="34" t="s">
        <v>909</v>
      </c>
      <c r="Y313" s="34" t="s">
        <v>47</v>
      </c>
      <c r="Z313" s="34">
        <v>2142</v>
      </c>
      <c r="AA313" s="34" t="s">
        <v>393</v>
      </c>
      <c r="AB313" s="34" t="s">
        <v>393</v>
      </c>
      <c r="AC313" s="34"/>
      <c r="AD313" s="34"/>
      <c r="AE313" s="34"/>
      <c r="AF313" s="34" t="s">
        <v>377</v>
      </c>
      <c r="AG313" s="34"/>
      <c r="AH313" s="34"/>
      <c r="AI313" s="34">
        <v>43972</v>
      </c>
      <c r="AJ313" s="34">
        <v>25</v>
      </c>
      <c r="AK313" s="34">
        <v>150</v>
      </c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 t="s">
        <v>50</v>
      </c>
      <c r="BL313" s="34" t="s">
        <v>167</v>
      </c>
      <c r="BM313" s="34" t="s">
        <v>166</v>
      </c>
      <c r="BN313" s="34">
        <v>44022.317297037036</v>
      </c>
      <c r="BO313" s="34"/>
      <c r="BP313" s="34"/>
      <c r="BQ313" s="34"/>
      <c r="BR313" s="34" t="s">
        <v>165</v>
      </c>
      <c r="BS313" s="34">
        <v>4.0621202017761597E+18</v>
      </c>
      <c r="BT313" s="34" t="s">
        <v>164</v>
      </c>
      <c r="BU313" s="34" t="s">
        <v>1458</v>
      </c>
      <c r="BV313" s="34">
        <v>2020</v>
      </c>
      <c r="BW313" s="34" t="s">
        <v>163</v>
      </c>
      <c r="BX313" s="34"/>
      <c r="BY313" s="34">
        <v>4.0709202017890299E+18</v>
      </c>
      <c r="BZ313" s="34" t="s">
        <v>1480</v>
      </c>
      <c r="CA313" s="34" t="s">
        <v>161</v>
      </c>
    </row>
    <row r="314" spans="1:79" x14ac:dyDescent="0.25">
      <c r="A314" s="34" t="s">
        <v>374</v>
      </c>
      <c r="B314" s="34" t="s">
        <v>287</v>
      </c>
      <c r="C314" s="34">
        <v>2020</v>
      </c>
      <c r="D314" s="34" t="s">
        <v>706</v>
      </c>
      <c r="E314" s="34">
        <v>2.0200620924188099E+17</v>
      </c>
      <c r="F314" s="34" t="s">
        <v>182</v>
      </c>
      <c r="G314" s="34" t="s">
        <v>1481</v>
      </c>
      <c r="H314" s="34">
        <v>1413483</v>
      </c>
      <c r="I314" s="34"/>
      <c r="J314" s="34" t="s">
        <v>180</v>
      </c>
      <c r="K314" s="34" t="s">
        <v>179</v>
      </c>
      <c r="L314" s="34"/>
      <c r="M314" s="34"/>
      <c r="N314" s="34" t="s">
        <v>905</v>
      </c>
      <c r="O314" s="34" t="s">
        <v>297</v>
      </c>
      <c r="P314" s="34"/>
      <c r="Q314" s="34" t="s">
        <v>296</v>
      </c>
      <c r="R314" s="34" t="s">
        <v>906</v>
      </c>
      <c r="S314" s="34"/>
      <c r="T314" s="34" t="s">
        <v>907</v>
      </c>
      <c r="U314" s="34"/>
      <c r="V314" s="34" t="s">
        <v>949</v>
      </c>
      <c r="W314" s="34"/>
      <c r="X314" s="34" t="s">
        <v>909</v>
      </c>
      <c r="Y314" s="34" t="s">
        <v>47</v>
      </c>
      <c r="Z314" s="34">
        <v>2142</v>
      </c>
      <c r="AA314" s="34" t="s">
        <v>393</v>
      </c>
      <c r="AB314" s="34" t="s">
        <v>393</v>
      </c>
      <c r="AC314" s="34"/>
      <c r="AD314" s="34">
        <v>15</v>
      </c>
      <c r="AE314" s="34" t="s">
        <v>169</v>
      </c>
      <c r="AF314" s="34" t="s">
        <v>364</v>
      </c>
      <c r="AG314" s="34"/>
      <c r="AH314" s="34"/>
      <c r="AI314" s="34">
        <v>43972</v>
      </c>
      <c r="AJ314" s="34">
        <v>2.5</v>
      </c>
      <c r="AK314" s="34">
        <v>219.8</v>
      </c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 t="s">
        <v>28</v>
      </c>
      <c r="BH314" s="34"/>
      <c r="BI314" s="34" t="s">
        <v>168</v>
      </c>
      <c r="BJ314" s="34"/>
      <c r="BK314" s="34" t="s">
        <v>50</v>
      </c>
      <c r="BL314" s="34" t="s">
        <v>167</v>
      </c>
      <c r="BM314" s="34" t="s">
        <v>166</v>
      </c>
      <c r="BN314" s="34">
        <v>44022.317297048612</v>
      </c>
      <c r="BO314" s="34"/>
      <c r="BP314" s="34"/>
      <c r="BQ314" s="34"/>
      <c r="BR314" s="34" t="s">
        <v>165</v>
      </c>
      <c r="BS314" s="34">
        <v>4.0621202017761597E+18</v>
      </c>
      <c r="BT314" s="34" t="s">
        <v>164</v>
      </c>
      <c r="BU314" s="34" t="s">
        <v>362</v>
      </c>
      <c r="BV314" s="34">
        <v>2020</v>
      </c>
      <c r="BW314" s="34" t="s">
        <v>163</v>
      </c>
      <c r="BX314" s="34"/>
      <c r="BY314" s="34">
        <v>4.0709202017890299E+18</v>
      </c>
      <c r="BZ314" s="34" t="s">
        <v>1480</v>
      </c>
      <c r="CA314" s="34" t="s">
        <v>161</v>
      </c>
    </row>
    <row r="315" spans="1:79" x14ac:dyDescent="0.25">
      <c r="A315" s="34" t="s">
        <v>374</v>
      </c>
      <c r="B315" s="34" t="s">
        <v>287</v>
      </c>
      <c r="C315" s="34">
        <v>2020</v>
      </c>
      <c r="D315" s="34" t="s">
        <v>706</v>
      </c>
      <c r="E315" s="34">
        <v>2.0200620924188099E+17</v>
      </c>
      <c r="F315" s="34" t="s">
        <v>182</v>
      </c>
      <c r="G315" s="34" t="s">
        <v>1482</v>
      </c>
      <c r="H315" s="34">
        <v>1413483</v>
      </c>
      <c r="I315" s="34"/>
      <c r="J315" s="34" t="s">
        <v>180</v>
      </c>
      <c r="K315" s="34" t="s">
        <v>179</v>
      </c>
      <c r="L315" s="34"/>
      <c r="M315" s="34"/>
      <c r="N315" s="34" t="s">
        <v>905</v>
      </c>
      <c r="O315" s="34" t="s">
        <v>297</v>
      </c>
      <c r="P315" s="34"/>
      <c r="Q315" s="34" t="s">
        <v>296</v>
      </c>
      <c r="R315" s="34" t="s">
        <v>906</v>
      </c>
      <c r="S315" s="34"/>
      <c r="T315" s="34" t="s">
        <v>907</v>
      </c>
      <c r="U315" s="34"/>
      <c r="V315" s="34" t="s">
        <v>949</v>
      </c>
      <c r="W315" s="34"/>
      <c r="X315" s="34" t="s">
        <v>909</v>
      </c>
      <c r="Y315" s="34" t="s">
        <v>47</v>
      </c>
      <c r="Z315" s="34">
        <v>2142</v>
      </c>
      <c r="AA315" s="34" t="s">
        <v>393</v>
      </c>
      <c r="AB315" s="34" t="s">
        <v>393</v>
      </c>
      <c r="AC315" s="34"/>
      <c r="AD315" s="34"/>
      <c r="AE315" s="34"/>
      <c r="AF315" s="34" t="s">
        <v>377</v>
      </c>
      <c r="AG315" s="34"/>
      <c r="AH315" s="34"/>
      <c r="AI315" s="34">
        <v>43969</v>
      </c>
      <c r="AJ315" s="34">
        <v>100</v>
      </c>
      <c r="AK315" s="34">
        <v>150</v>
      </c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 t="s">
        <v>50</v>
      </c>
      <c r="BL315" s="34" t="s">
        <v>167</v>
      </c>
      <c r="BM315" s="34" t="s">
        <v>166</v>
      </c>
      <c r="BN315" s="34">
        <v>44022.331875648146</v>
      </c>
      <c r="BO315" s="34"/>
      <c r="BP315" s="34"/>
      <c r="BQ315" s="34"/>
      <c r="BR315" s="34" t="s">
        <v>165</v>
      </c>
      <c r="BS315" s="34">
        <v>4.0621202017761597E+18</v>
      </c>
      <c r="BT315" s="34" t="s">
        <v>164</v>
      </c>
      <c r="BU315" s="34" t="s">
        <v>1458</v>
      </c>
      <c r="BV315" s="34">
        <v>2020</v>
      </c>
      <c r="BW315" s="34" t="s">
        <v>163</v>
      </c>
      <c r="BX315" s="34"/>
      <c r="BY315" s="34">
        <v>4.0709202017890299E+18</v>
      </c>
      <c r="BZ315" s="34" t="s">
        <v>1483</v>
      </c>
      <c r="CA315" s="34" t="s">
        <v>161</v>
      </c>
    </row>
    <row r="316" spans="1:79" x14ac:dyDescent="0.25">
      <c r="A316" s="34" t="s">
        <v>374</v>
      </c>
      <c r="B316" s="34" t="s">
        <v>287</v>
      </c>
      <c r="C316" s="34">
        <v>2020</v>
      </c>
      <c r="D316" s="34" t="s">
        <v>706</v>
      </c>
      <c r="E316" s="34">
        <v>2.0200620924188099E+17</v>
      </c>
      <c r="F316" s="34" t="s">
        <v>182</v>
      </c>
      <c r="G316" s="34" t="s">
        <v>1484</v>
      </c>
      <c r="H316" s="34">
        <v>1413483</v>
      </c>
      <c r="I316" s="34"/>
      <c r="J316" s="34" t="s">
        <v>180</v>
      </c>
      <c r="K316" s="34" t="s">
        <v>179</v>
      </c>
      <c r="L316" s="34" t="s">
        <v>1433</v>
      </c>
      <c r="M316" s="34"/>
      <c r="N316" s="34" t="s">
        <v>905</v>
      </c>
      <c r="O316" s="34" t="s">
        <v>297</v>
      </c>
      <c r="P316" s="34"/>
      <c r="Q316" s="34" t="s">
        <v>296</v>
      </c>
      <c r="R316" s="34" t="s">
        <v>906</v>
      </c>
      <c r="S316" s="34"/>
      <c r="T316" s="34" t="s">
        <v>907</v>
      </c>
      <c r="U316" s="34"/>
      <c r="V316" s="34" t="s">
        <v>949</v>
      </c>
      <c r="W316" s="34"/>
      <c r="X316" s="34" t="s">
        <v>909</v>
      </c>
      <c r="Y316" s="34" t="s">
        <v>47</v>
      </c>
      <c r="Z316" s="34">
        <v>2142</v>
      </c>
      <c r="AA316" s="34" t="s">
        <v>393</v>
      </c>
      <c r="AB316" s="34" t="s">
        <v>393</v>
      </c>
      <c r="AC316" s="34" t="s">
        <v>1433</v>
      </c>
      <c r="AD316" s="34" t="s">
        <v>383</v>
      </c>
      <c r="AE316" s="34" t="s">
        <v>382</v>
      </c>
      <c r="AF316" s="34" t="s">
        <v>377</v>
      </c>
      <c r="AG316" s="34"/>
      <c r="AH316" s="34"/>
      <c r="AI316" s="34">
        <v>43970</v>
      </c>
      <c r="AJ316" s="34">
        <v>100</v>
      </c>
      <c r="AK316" s="34">
        <v>400</v>
      </c>
      <c r="AL316" s="34" t="s">
        <v>1474</v>
      </c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 t="s">
        <v>28</v>
      </c>
      <c r="BH316" s="34"/>
      <c r="BI316" s="34" t="s">
        <v>168</v>
      </c>
      <c r="BJ316" s="34"/>
      <c r="BK316" s="34" t="s">
        <v>50</v>
      </c>
      <c r="BL316" s="34" t="s">
        <v>167</v>
      </c>
      <c r="BM316" s="34" t="s">
        <v>166</v>
      </c>
      <c r="BN316" s="34">
        <v>44022.332442523148</v>
      </c>
      <c r="BO316" s="34"/>
      <c r="BP316" s="34"/>
      <c r="BQ316" s="34"/>
      <c r="BR316" s="34" t="s">
        <v>165</v>
      </c>
      <c r="BS316" s="34">
        <v>4.0621202017761597E+18</v>
      </c>
      <c r="BT316" s="34" t="s">
        <v>164</v>
      </c>
      <c r="BU316" s="34" t="s">
        <v>400</v>
      </c>
      <c r="BV316" s="34">
        <v>2020</v>
      </c>
      <c r="BW316" s="34" t="s">
        <v>163</v>
      </c>
      <c r="BX316" s="34"/>
      <c r="BY316" s="34">
        <v>4.0709202017890299E+18</v>
      </c>
      <c r="BZ316" s="34" t="s">
        <v>1485</v>
      </c>
      <c r="CA316" s="34" t="s">
        <v>161</v>
      </c>
    </row>
    <row r="317" spans="1:79" x14ac:dyDescent="0.25">
      <c r="A317" s="34" t="s">
        <v>374</v>
      </c>
      <c r="B317" s="34" t="s">
        <v>287</v>
      </c>
      <c r="C317" s="34">
        <v>2020</v>
      </c>
      <c r="D317" s="34" t="s">
        <v>706</v>
      </c>
      <c r="E317" s="34">
        <v>2.0200620924188099E+17</v>
      </c>
      <c r="F317" s="34" t="s">
        <v>182</v>
      </c>
      <c r="G317" s="34" t="s">
        <v>1486</v>
      </c>
      <c r="H317" s="34">
        <v>1413483</v>
      </c>
      <c r="I317" s="34"/>
      <c r="J317" s="34" t="s">
        <v>180</v>
      </c>
      <c r="K317" s="34" t="s">
        <v>179</v>
      </c>
      <c r="L317" s="34"/>
      <c r="M317" s="34"/>
      <c r="N317" s="34" t="s">
        <v>905</v>
      </c>
      <c r="O317" s="34" t="s">
        <v>297</v>
      </c>
      <c r="P317" s="34"/>
      <c r="Q317" s="34" t="s">
        <v>296</v>
      </c>
      <c r="R317" s="34" t="s">
        <v>906</v>
      </c>
      <c r="S317" s="34"/>
      <c r="T317" s="34" t="s">
        <v>907</v>
      </c>
      <c r="U317" s="34"/>
      <c r="V317" s="34" t="s">
        <v>949</v>
      </c>
      <c r="W317" s="34"/>
      <c r="X317" s="34" t="s">
        <v>909</v>
      </c>
      <c r="Y317" s="34" t="s">
        <v>47</v>
      </c>
      <c r="Z317" s="34">
        <v>2142</v>
      </c>
      <c r="AA317" s="34" t="s">
        <v>393</v>
      </c>
      <c r="AB317" s="34" t="s">
        <v>393</v>
      </c>
      <c r="AC317" s="34"/>
      <c r="AD317" s="34">
        <v>15</v>
      </c>
      <c r="AE317" s="34" t="s">
        <v>169</v>
      </c>
      <c r="AF317" s="34" t="s">
        <v>364</v>
      </c>
      <c r="AG317" s="34"/>
      <c r="AH317" s="34"/>
      <c r="AI317" s="34">
        <v>43956</v>
      </c>
      <c r="AJ317" s="34">
        <v>2.5</v>
      </c>
      <c r="AK317" s="34">
        <v>219.8</v>
      </c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 t="s">
        <v>28</v>
      </c>
      <c r="BH317" s="34"/>
      <c r="BI317" s="34" t="s">
        <v>168</v>
      </c>
      <c r="BJ317" s="34"/>
      <c r="BK317" s="34" t="s">
        <v>50</v>
      </c>
      <c r="BL317" s="34" t="s">
        <v>167</v>
      </c>
      <c r="BM317" s="34" t="s">
        <v>166</v>
      </c>
      <c r="BN317" s="34">
        <v>44022.340070636572</v>
      </c>
      <c r="BO317" s="34"/>
      <c r="BP317" s="34"/>
      <c r="BQ317" s="34"/>
      <c r="BR317" s="34" t="s">
        <v>165</v>
      </c>
      <c r="BS317" s="34">
        <v>4.0621202017761597E+18</v>
      </c>
      <c r="BT317" s="34" t="s">
        <v>164</v>
      </c>
      <c r="BU317" s="34" t="s">
        <v>362</v>
      </c>
      <c r="BV317" s="34">
        <v>2020</v>
      </c>
      <c r="BW317" s="34" t="s">
        <v>163</v>
      </c>
      <c r="BX317" s="34"/>
      <c r="BY317" s="34">
        <v>4.0709202017890299E+18</v>
      </c>
      <c r="BZ317" s="34" t="s">
        <v>1478</v>
      </c>
      <c r="CA317" s="34" t="s">
        <v>161</v>
      </c>
    </row>
    <row r="318" spans="1:79" x14ac:dyDescent="0.25">
      <c r="A318" s="34" t="s">
        <v>374</v>
      </c>
      <c r="B318" s="34" t="s">
        <v>287</v>
      </c>
      <c r="C318" s="34">
        <v>2020</v>
      </c>
      <c r="D318" s="34" t="s">
        <v>706</v>
      </c>
      <c r="E318" s="34">
        <v>2.0200620924188099E+17</v>
      </c>
      <c r="F318" s="34" t="s">
        <v>182</v>
      </c>
      <c r="G318" s="34" t="s">
        <v>1487</v>
      </c>
      <c r="H318" s="34">
        <v>1413483</v>
      </c>
      <c r="I318" s="34"/>
      <c r="J318" s="34" t="s">
        <v>180</v>
      </c>
      <c r="K318" s="34" t="s">
        <v>179</v>
      </c>
      <c r="L318" s="34"/>
      <c r="M318" s="34"/>
      <c r="N318" s="34" t="s">
        <v>905</v>
      </c>
      <c r="O318" s="34" t="s">
        <v>297</v>
      </c>
      <c r="P318" s="34"/>
      <c r="Q318" s="34" t="s">
        <v>296</v>
      </c>
      <c r="R318" s="34" t="s">
        <v>906</v>
      </c>
      <c r="S318" s="34"/>
      <c r="T318" s="34" t="s">
        <v>907</v>
      </c>
      <c r="U318" s="34"/>
      <c r="V318" s="34" t="s">
        <v>949</v>
      </c>
      <c r="W318" s="34"/>
      <c r="X318" s="34" t="s">
        <v>909</v>
      </c>
      <c r="Y318" s="34" t="s">
        <v>47</v>
      </c>
      <c r="Z318" s="34">
        <v>2142</v>
      </c>
      <c r="AA318" s="34" t="s">
        <v>393</v>
      </c>
      <c r="AB318" s="34" t="s">
        <v>393</v>
      </c>
      <c r="AC318" s="34"/>
      <c r="AD318" s="34">
        <v>15</v>
      </c>
      <c r="AE318" s="34" t="s">
        <v>169</v>
      </c>
      <c r="AF318" s="34" t="s">
        <v>364</v>
      </c>
      <c r="AG318" s="34"/>
      <c r="AH318" s="34"/>
      <c r="AI318" s="34">
        <v>43969</v>
      </c>
      <c r="AJ318" s="34">
        <v>10</v>
      </c>
      <c r="AK318" s="34">
        <v>219.8</v>
      </c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 t="s">
        <v>28</v>
      </c>
      <c r="BH318" s="34"/>
      <c r="BI318" s="34" t="s">
        <v>168</v>
      </c>
      <c r="BJ318" s="34"/>
      <c r="BK318" s="34" t="s">
        <v>50</v>
      </c>
      <c r="BL318" s="34" t="s">
        <v>167</v>
      </c>
      <c r="BM318" s="34" t="s">
        <v>166</v>
      </c>
      <c r="BN318" s="34">
        <v>44022.340070636572</v>
      </c>
      <c r="BO318" s="34"/>
      <c r="BP318" s="34"/>
      <c r="BQ318" s="34"/>
      <c r="BR318" s="34" t="s">
        <v>165</v>
      </c>
      <c r="BS318" s="34">
        <v>4.0621202017761597E+18</v>
      </c>
      <c r="BT318" s="34" t="s">
        <v>164</v>
      </c>
      <c r="BU318" s="34" t="s">
        <v>362</v>
      </c>
      <c r="BV318" s="34">
        <v>2020</v>
      </c>
      <c r="BW318" s="34" t="s">
        <v>163</v>
      </c>
      <c r="BX318" s="34"/>
      <c r="BY318" s="34">
        <v>4.0709202017890299E+18</v>
      </c>
      <c r="BZ318" s="34" t="s">
        <v>1483</v>
      </c>
      <c r="CA318" s="34" t="s">
        <v>161</v>
      </c>
    </row>
    <row r="319" spans="1:79" x14ac:dyDescent="0.25">
      <c r="A319" s="34" t="s">
        <v>374</v>
      </c>
      <c r="B319" s="34" t="s">
        <v>287</v>
      </c>
      <c r="C319" s="34">
        <v>2020</v>
      </c>
      <c r="D319" s="34" t="s">
        <v>706</v>
      </c>
      <c r="E319" s="34">
        <v>2.0200620924188099E+17</v>
      </c>
      <c r="F319" s="34" t="s">
        <v>182</v>
      </c>
      <c r="G319" s="34" t="s">
        <v>1488</v>
      </c>
      <c r="H319" s="34">
        <v>1413483</v>
      </c>
      <c r="I319" s="34"/>
      <c r="J319" s="34" t="s">
        <v>180</v>
      </c>
      <c r="K319" s="34" t="s">
        <v>179</v>
      </c>
      <c r="L319" s="34"/>
      <c r="M319" s="34"/>
      <c r="N319" s="34" t="s">
        <v>905</v>
      </c>
      <c r="O319" s="34" t="s">
        <v>297</v>
      </c>
      <c r="P319" s="34"/>
      <c r="Q319" s="34" t="s">
        <v>296</v>
      </c>
      <c r="R319" s="34" t="s">
        <v>906</v>
      </c>
      <c r="S319" s="34"/>
      <c r="T319" s="34" t="s">
        <v>907</v>
      </c>
      <c r="U319" s="34"/>
      <c r="V319" s="34" t="s">
        <v>949</v>
      </c>
      <c r="W319" s="34"/>
      <c r="X319" s="34" t="s">
        <v>909</v>
      </c>
      <c r="Y319" s="34" t="s">
        <v>47</v>
      </c>
      <c r="Z319" s="34">
        <v>2142</v>
      </c>
      <c r="AA319" s="34" t="s">
        <v>393</v>
      </c>
      <c r="AB319" s="34" t="s">
        <v>393</v>
      </c>
      <c r="AC319" s="34"/>
      <c r="AD319" s="34">
        <v>15</v>
      </c>
      <c r="AE319" s="34" t="s">
        <v>169</v>
      </c>
      <c r="AF319" s="34" t="s">
        <v>364</v>
      </c>
      <c r="AG319" s="34"/>
      <c r="AH319" s="34"/>
      <c r="AI319" s="34">
        <v>43967</v>
      </c>
      <c r="AJ319" s="34">
        <v>10</v>
      </c>
      <c r="AK319" s="34">
        <v>219.8</v>
      </c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 t="s">
        <v>28</v>
      </c>
      <c r="BH319" s="34"/>
      <c r="BI319" s="34" t="s">
        <v>168</v>
      </c>
      <c r="BJ319" s="34"/>
      <c r="BK319" s="34" t="s">
        <v>50</v>
      </c>
      <c r="BL319" s="34" t="s">
        <v>167</v>
      </c>
      <c r="BM319" s="34" t="s">
        <v>166</v>
      </c>
      <c r="BN319" s="34">
        <v>44022.340070636572</v>
      </c>
      <c r="BO319" s="34"/>
      <c r="BP319" s="34"/>
      <c r="BQ319" s="34"/>
      <c r="BR319" s="34" t="s">
        <v>165</v>
      </c>
      <c r="BS319" s="34">
        <v>4.0621202017761597E+18</v>
      </c>
      <c r="BT319" s="34" t="s">
        <v>164</v>
      </c>
      <c r="BU319" s="34" t="s">
        <v>362</v>
      </c>
      <c r="BV319" s="34">
        <v>2020</v>
      </c>
      <c r="BW319" s="34" t="s">
        <v>163</v>
      </c>
      <c r="BX319" s="34"/>
      <c r="BY319" s="34">
        <v>4.0709202017890299E+18</v>
      </c>
      <c r="BZ319" s="34" t="s">
        <v>1489</v>
      </c>
      <c r="CA319" s="34" t="s">
        <v>161</v>
      </c>
    </row>
    <row r="320" spans="1:79" x14ac:dyDescent="0.25">
      <c r="A320" s="34" t="s">
        <v>374</v>
      </c>
      <c r="B320" s="34" t="s">
        <v>287</v>
      </c>
      <c r="C320" s="34">
        <v>2020</v>
      </c>
      <c r="D320" s="34" t="s">
        <v>706</v>
      </c>
      <c r="E320" s="34">
        <v>2.0200620924188099E+17</v>
      </c>
      <c r="F320" s="34" t="s">
        <v>182</v>
      </c>
      <c r="G320" s="34" t="s">
        <v>1490</v>
      </c>
      <c r="H320" s="34">
        <v>1413483</v>
      </c>
      <c r="I320" s="34"/>
      <c r="J320" s="34" t="s">
        <v>180</v>
      </c>
      <c r="K320" s="34" t="s">
        <v>179</v>
      </c>
      <c r="L320" s="34"/>
      <c r="M320" s="34"/>
      <c r="N320" s="34" t="s">
        <v>905</v>
      </c>
      <c r="O320" s="34" t="s">
        <v>297</v>
      </c>
      <c r="P320" s="34"/>
      <c r="Q320" s="34" t="s">
        <v>296</v>
      </c>
      <c r="R320" s="34" t="s">
        <v>906</v>
      </c>
      <c r="S320" s="34"/>
      <c r="T320" s="34" t="s">
        <v>907</v>
      </c>
      <c r="U320" s="34"/>
      <c r="V320" s="34" t="s">
        <v>949</v>
      </c>
      <c r="W320" s="34"/>
      <c r="X320" s="34" t="s">
        <v>909</v>
      </c>
      <c r="Y320" s="34" t="s">
        <v>47</v>
      </c>
      <c r="Z320" s="34">
        <v>2142</v>
      </c>
      <c r="AA320" s="34" t="s">
        <v>393</v>
      </c>
      <c r="AB320" s="34" t="s">
        <v>393</v>
      </c>
      <c r="AC320" s="34"/>
      <c r="AD320" s="34">
        <v>15</v>
      </c>
      <c r="AE320" s="34" t="s">
        <v>169</v>
      </c>
      <c r="AF320" s="34" t="s">
        <v>364</v>
      </c>
      <c r="AG320" s="34"/>
      <c r="AH320" s="34"/>
      <c r="AI320" s="34">
        <v>43970</v>
      </c>
      <c r="AJ320" s="34">
        <v>10</v>
      </c>
      <c r="AK320" s="34">
        <v>219.8</v>
      </c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 t="s">
        <v>28</v>
      </c>
      <c r="BH320" s="34"/>
      <c r="BI320" s="34" t="s">
        <v>168</v>
      </c>
      <c r="BJ320" s="34"/>
      <c r="BK320" s="34" t="s">
        <v>50</v>
      </c>
      <c r="BL320" s="34" t="s">
        <v>167</v>
      </c>
      <c r="BM320" s="34" t="s">
        <v>166</v>
      </c>
      <c r="BN320" s="34">
        <v>44022.340070636572</v>
      </c>
      <c r="BO320" s="34"/>
      <c r="BP320" s="34"/>
      <c r="BQ320" s="34"/>
      <c r="BR320" s="34" t="s">
        <v>165</v>
      </c>
      <c r="BS320" s="34">
        <v>4.0621202017761597E+18</v>
      </c>
      <c r="BT320" s="34" t="s">
        <v>164</v>
      </c>
      <c r="BU320" s="34" t="s">
        <v>362</v>
      </c>
      <c r="BV320" s="34">
        <v>2020</v>
      </c>
      <c r="BW320" s="34" t="s">
        <v>163</v>
      </c>
      <c r="BX320" s="34"/>
      <c r="BY320" s="34">
        <v>4.0709202017890299E+18</v>
      </c>
      <c r="BZ320" s="34" t="s">
        <v>1485</v>
      </c>
      <c r="CA320" s="34" t="s">
        <v>161</v>
      </c>
    </row>
    <row r="321" spans="1:79" x14ac:dyDescent="0.25">
      <c r="A321" s="34" t="s">
        <v>1491</v>
      </c>
      <c r="B321" s="34" t="s">
        <v>1492</v>
      </c>
      <c r="C321" s="34">
        <v>2020</v>
      </c>
      <c r="D321" s="34" t="s">
        <v>451</v>
      </c>
      <c r="E321" s="34">
        <v>2.0200819926140701E+17</v>
      </c>
      <c r="F321" s="34" t="s">
        <v>182</v>
      </c>
      <c r="G321" s="34">
        <v>12632999</v>
      </c>
      <c r="H321" s="34">
        <v>1433430</v>
      </c>
      <c r="I321" s="34"/>
      <c r="J321" s="34" t="s">
        <v>180</v>
      </c>
      <c r="K321" s="34" t="s">
        <v>179</v>
      </c>
      <c r="L321" s="34"/>
      <c r="M321" s="34"/>
      <c r="N321" s="34" t="s">
        <v>905</v>
      </c>
      <c r="O321" s="34" t="s">
        <v>66</v>
      </c>
      <c r="P321" s="34"/>
      <c r="Q321" s="34" t="s">
        <v>296</v>
      </c>
      <c r="R321" s="34" t="s">
        <v>906</v>
      </c>
      <c r="S321" s="34"/>
      <c r="T321" s="34" t="s">
        <v>907</v>
      </c>
      <c r="U321" s="34"/>
      <c r="V321" s="34" t="s">
        <v>908</v>
      </c>
      <c r="W321" s="34"/>
      <c r="X321" s="34" t="s">
        <v>909</v>
      </c>
      <c r="Y321" s="34" t="s">
        <v>47</v>
      </c>
      <c r="Z321" s="34">
        <v>21421229</v>
      </c>
      <c r="AA321" s="34" t="s">
        <v>910</v>
      </c>
      <c r="AB321" s="34" t="s">
        <v>393</v>
      </c>
      <c r="AC321" s="34"/>
      <c r="AD321" s="34"/>
      <c r="AE321" s="34"/>
      <c r="AF321" s="34"/>
      <c r="AG321" s="34"/>
      <c r="AH321" s="34"/>
      <c r="AI321" s="34">
        <v>44024</v>
      </c>
      <c r="AJ321" s="34">
        <v>104.99</v>
      </c>
      <c r="AK321" s="34">
        <v>104.99</v>
      </c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 t="s">
        <v>50</v>
      </c>
      <c r="BL321" s="34" t="s">
        <v>167</v>
      </c>
      <c r="BM321" s="34" t="s">
        <v>166</v>
      </c>
      <c r="BN321" s="34">
        <v>44077.152543344906</v>
      </c>
      <c r="BO321" s="34"/>
      <c r="BP321" s="34" t="s">
        <v>1493</v>
      </c>
      <c r="BQ321" s="34" t="s">
        <v>419</v>
      </c>
      <c r="BR321" s="34" t="s">
        <v>165</v>
      </c>
      <c r="BS321" s="34">
        <v>4.0820202018293499E+18</v>
      </c>
      <c r="BT321" s="34" t="s">
        <v>164</v>
      </c>
      <c r="BU321" s="34" t="s">
        <v>512</v>
      </c>
      <c r="BV321" s="34">
        <v>2020</v>
      </c>
      <c r="BW321" s="34" t="s">
        <v>163</v>
      </c>
      <c r="BX321" s="34"/>
      <c r="BY321" s="34">
        <v>4.0903202018344699E+18</v>
      </c>
      <c r="BZ321" s="34" t="s">
        <v>1494</v>
      </c>
      <c r="CA321" s="34" t="s">
        <v>161</v>
      </c>
    </row>
    <row r="322" spans="1:79" x14ac:dyDescent="0.25">
      <c r="A322" s="34" t="s">
        <v>1491</v>
      </c>
      <c r="B322" s="34" t="s">
        <v>1492</v>
      </c>
      <c r="C322" s="34">
        <v>2020</v>
      </c>
      <c r="D322" s="34" t="s">
        <v>451</v>
      </c>
      <c r="E322" s="34">
        <v>2.0200819926140701E+17</v>
      </c>
      <c r="F322" s="34" t="s">
        <v>182</v>
      </c>
      <c r="G322" s="34">
        <v>12855241</v>
      </c>
      <c r="H322" s="34">
        <v>1433430</v>
      </c>
      <c r="I322" s="34"/>
      <c r="J322" s="34" t="s">
        <v>180</v>
      </c>
      <c r="K322" s="34" t="s">
        <v>179</v>
      </c>
      <c r="L322" s="34" t="s">
        <v>374</v>
      </c>
      <c r="M322" s="34"/>
      <c r="N322" s="34" t="s">
        <v>905</v>
      </c>
      <c r="O322" s="34" t="s">
        <v>66</v>
      </c>
      <c r="P322" s="34"/>
      <c r="Q322" s="34" t="s">
        <v>296</v>
      </c>
      <c r="R322" s="34" t="s">
        <v>906</v>
      </c>
      <c r="S322" s="34"/>
      <c r="T322" s="34" t="s">
        <v>907</v>
      </c>
      <c r="U322" s="34"/>
      <c r="V322" s="34" t="s">
        <v>908</v>
      </c>
      <c r="W322" s="34"/>
      <c r="X322" s="34" t="s">
        <v>909</v>
      </c>
      <c r="Y322" s="34" t="s">
        <v>47</v>
      </c>
      <c r="Z322" s="34">
        <v>21421229</v>
      </c>
      <c r="AA322" s="34" t="s">
        <v>910</v>
      </c>
      <c r="AB322" s="34" t="s">
        <v>393</v>
      </c>
      <c r="AC322" s="34" t="s">
        <v>374</v>
      </c>
      <c r="AD322" s="34" t="s">
        <v>345</v>
      </c>
      <c r="AE322" s="34" t="s">
        <v>344</v>
      </c>
      <c r="AF322" s="34"/>
      <c r="AG322" s="34"/>
      <c r="AH322" s="34"/>
      <c r="AI322" s="34">
        <v>44035</v>
      </c>
      <c r="AJ322" s="34">
        <v>105</v>
      </c>
      <c r="AK322" s="34">
        <v>209.99</v>
      </c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 t="s">
        <v>28</v>
      </c>
      <c r="BH322" s="34"/>
      <c r="BI322" s="34" t="s">
        <v>168</v>
      </c>
      <c r="BJ322" s="34"/>
      <c r="BK322" s="34" t="s">
        <v>50</v>
      </c>
      <c r="BL322" s="34" t="s">
        <v>167</v>
      </c>
      <c r="BM322" s="34" t="s">
        <v>166</v>
      </c>
      <c r="BN322" s="34">
        <v>44077.152543344906</v>
      </c>
      <c r="BO322" s="34"/>
      <c r="BP322" s="34" t="s">
        <v>1495</v>
      </c>
      <c r="BQ322" s="34" t="s">
        <v>419</v>
      </c>
      <c r="BR322" s="34" t="s">
        <v>165</v>
      </c>
      <c r="BS322" s="34">
        <v>4.0820202018293499E+18</v>
      </c>
      <c r="BT322" s="34" t="s">
        <v>164</v>
      </c>
      <c r="BU322" s="34" t="s">
        <v>512</v>
      </c>
      <c r="BV322" s="34">
        <v>2020</v>
      </c>
      <c r="BW322" s="34" t="s">
        <v>163</v>
      </c>
      <c r="BX322" s="34"/>
      <c r="BY322" s="34">
        <v>4.0903202018344699E+18</v>
      </c>
      <c r="BZ322" s="34" t="s">
        <v>1496</v>
      </c>
      <c r="CA322" s="34" t="s">
        <v>161</v>
      </c>
    </row>
    <row r="323" spans="1:79" x14ac:dyDescent="0.25">
      <c r="A323" s="34" t="s">
        <v>1491</v>
      </c>
      <c r="B323" s="34" t="s">
        <v>1492</v>
      </c>
      <c r="C323" s="34">
        <v>2020</v>
      </c>
      <c r="D323" s="34" t="s">
        <v>451</v>
      </c>
      <c r="E323" s="34">
        <v>2.0200819926140701E+17</v>
      </c>
      <c r="F323" s="34" t="s">
        <v>182</v>
      </c>
      <c r="G323" s="34">
        <v>12961252</v>
      </c>
      <c r="H323" s="34">
        <v>1433430</v>
      </c>
      <c r="I323" s="34"/>
      <c r="J323" s="34" t="s">
        <v>180</v>
      </c>
      <c r="K323" s="34" t="s">
        <v>179</v>
      </c>
      <c r="L323" s="34" t="s">
        <v>374</v>
      </c>
      <c r="M323" s="34"/>
      <c r="N323" s="34" t="s">
        <v>905</v>
      </c>
      <c r="O323" s="34" t="s">
        <v>66</v>
      </c>
      <c r="P323" s="34"/>
      <c r="Q323" s="34" t="s">
        <v>296</v>
      </c>
      <c r="R323" s="34" t="s">
        <v>906</v>
      </c>
      <c r="S323" s="34"/>
      <c r="T323" s="34" t="s">
        <v>907</v>
      </c>
      <c r="U323" s="34"/>
      <c r="V323" s="34" t="s">
        <v>908</v>
      </c>
      <c r="W323" s="34"/>
      <c r="X323" s="34" t="s">
        <v>909</v>
      </c>
      <c r="Y323" s="34" t="s">
        <v>47</v>
      </c>
      <c r="Z323" s="34">
        <v>21421229</v>
      </c>
      <c r="AA323" s="34" t="s">
        <v>910</v>
      </c>
      <c r="AB323" s="34" t="s">
        <v>393</v>
      </c>
      <c r="AC323" s="34" t="s">
        <v>374</v>
      </c>
      <c r="AD323" s="34" t="s">
        <v>345</v>
      </c>
      <c r="AE323" s="34" t="s">
        <v>344</v>
      </c>
      <c r="AF323" s="34"/>
      <c r="AG323" s="34"/>
      <c r="AH323" s="34"/>
      <c r="AI323" s="34">
        <v>44039</v>
      </c>
      <c r="AJ323" s="34">
        <v>100</v>
      </c>
      <c r="AK323" s="34">
        <v>309.99</v>
      </c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 t="s">
        <v>28</v>
      </c>
      <c r="BH323" s="34"/>
      <c r="BI323" s="34" t="s">
        <v>168</v>
      </c>
      <c r="BJ323" s="34"/>
      <c r="BK323" s="34" t="s">
        <v>50</v>
      </c>
      <c r="BL323" s="34" t="s">
        <v>167</v>
      </c>
      <c r="BM323" s="34" t="s">
        <v>166</v>
      </c>
      <c r="BN323" s="34">
        <v>44077.152543344906</v>
      </c>
      <c r="BO323" s="34"/>
      <c r="BP323" s="34" t="s">
        <v>1497</v>
      </c>
      <c r="BQ323" s="34" t="s">
        <v>419</v>
      </c>
      <c r="BR323" s="34" t="s">
        <v>165</v>
      </c>
      <c r="BS323" s="34">
        <v>4.0820202018293499E+18</v>
      </c>
      <c r="BT323" s="34" t="s">
        <v>164</v>
      </c>
      <c r="BU323" s="34" t="s">
        <v>512</v>
      </c>
      <c r="BV323" s="34">
        <v>2020</v>
      </c>
      <c r="BW323" s="34" t="s">
        <v>163</v>
      </c>
      <c r="BX323" s="34"/>
      <c r="BY323" s="34">
        <v>4.0903202018344699E+18</v>
      </c>
      <c r="BZ323" s="34" t="s">
        <v>1498</v>
      </c>
      <c r="CA323" s="34" t="s">
        <v>161</v>
      </c>
    </row>
    <row r="324" spans="1:79" x14ac:dyDescent="0.25">
      <c r="A324" s="34" t="s">
        <v>1104</v>
      </c>
      <c r="B324" s="34" t="s">
        <v>1499</v>
      </c>
      <c r="C324" s="34">
        <v>2019</v>
      </c>
      <c r="D324" s="34" t="s">
        <v>422</v>
      </c>
      <c r="E324" s="34">
        <v>2.0200318920388998E+17</v>
      </c>
      <c r="F324" s="34" t="s">
        <v>182</v>
      </c>
      <c r="G324" s="34" t="s">
        <v>1500</v>
      </c>
      <c r="H324" s="34">
        <v>1390490</v>
      </c>
      <c r="I324" s="34"/>
      <c r="J324" s="34" t="s">
        <v>180</v>
      </c>
      <c r="K324" s="34" t="s">
        <v>179</v>
      </c>
      <c r="L324" s="34" t="s">
        <v>374</v>
      </c>
      <c r="M324" s="34"/>
      <c r="N324" s="34" t="s">
        <v>905</v>
      </c>
      <c r="O324" s="34" t="s">
        <v>297</v>
      </c>
      <c r="P324" s="34"/>
      <c r="Q324" s="34" t="s">
        <v>296</v>
      </c>
      <c r="R324" s="34" t="s">
        <v>906</v>
      </c>
      <c r="S324" s="34"/>
      <c r="T324" s="34" t="s">
        <v>907</v>
      </c>
      <c r="U324" s="34"/>
      <c r="V324" s="34" t="s">
        <v>908</v>
      </c>
      <c r="W324" s="34"/>
      <c r="X324" s="34" t="s">
        <v>909</v>
      </c>
      <c r="Y324" s="34" t="s">
        <v>47</v>
      </c>
      <c r="Z324" s="34">
        <v>21421229</v>
      </c>
      <c r="AA324" s="34" t="s">
        <v>1028</v>
      </c>
      <c r="AB324" s="34" t="s">
        <v>393</v>
      </c>
      <c r="AC324" s="34" t="s">
        <v>374</v>
      </c>
      <c r="AD324" s="34" t="s">
        <v>345</v>
      </c>
      <c r="AE324" s="34" t="s">
        <v>344</v>
      </c>
      <c r="AF324" s="34"/>
      <c r="AG324" s="34"/>
      <c r="AH324" s="34"/>
      <c r="AI324" s="34">
        <v>43736</v>
      </c>
      <c r="AJ324" s="34">
        <v>50</v>
      </c>
      <c r="AK324" s="34">
        <v>250</v>
      </c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 t="s">
        <v>50</v>
      </c>
      <c r="BL324" s="34" t="s">
        <v>167</v>
      </c>
      <c r="BM324" s="34" t="s">
        <v>166</v>
      </c>
      <c r="BN324" s="34">
        <v>44079.155190625002</v>
      </c>
      <c r="BO324" s="34"/>
      <c r="BP324" s="34" t="s">
        <v>1501</v>
      </c>
      <c r="BQ324" s="34" t="s">
        <v>419</v>
      </c>
      <c r="BR324" s="34" t="s">
        <v>165</v>
      </c>
      <c r="BS324" s="34">
        <v>4.0318202017037302E+18</v>
      </c>
      <c r="BT324" s="34" t="s">
        <v>164</v>
      </c>
      <c r="BU324" s="34" t="s">
        <v>512</v>
      </c>
      <c r="BV324" s="34">
        <v>2020</v>
      </c>
      <c r="BW324" s="34" t="s">
        <v>163</v>
      </c>
      <c r="BX324" s="34"/>
      <c r="BY324" s="34">
        <v>4.0322202017041398E+18</v>
      </c>
      <c r="BZ324" s="34" t="s">
        <v>1502</v>
      </c>
      <c r="CA324" s="34" t="s">
        <v>161</v>
      </c>
    </row>
    <row r="325" spans="1:79" x14ac:dyDescent="0.25">
      <c r="A325" s="34" t="s">
        <v>1104</v>
      </c>
      <c r="B325" s="34" t="s">
        <v>1499</v>
      </c>
      <c r="C325" s="34">
        <v>2019</v>
      </c>
      <c r="D325" s="34" t="s">
        <v>422</v>
      </c>
      <c r="E325" s="34">
        <v>2.0200318920388998E+17</v>
      </c>
      <c r="F325" s="34" t="s">
        <v>182</v>
      </c>
      <c r="G325" s="34" t="s">
        <v>1503</v>
      </c>
      <c r="H325" s="34">
        <v>1390490</v>
      </c>
      <c r="I325" s="34"/>
      <c r="J325" s="34" t="s">
        <v>180</v>
      </c>
      <c r="K325" s="34" t="s">
        <v>179</v>
      </c>
      <c r="L325" s="34" t="s">
        <v>374</v>
      </c>
      <c r="M325" s="34"/>
      <c r="N325" s="34" t="s">
        <v>905</v>
      </c>
      <c r="O325" s="34" t="s">
        <v>297</v>
      </c>
      <c r="P325" s="34"/>
      <c r="Q325" s="34" t="s">
        <v>296</v>
      </c>
      <c r="R325" s="34" t="s">
        <v>906</v>
      </c>
      <c r="S325" s="34"/>
      <c r="T325" s="34" t="s">
        <v>907</v>
      </c>
      <c r="U325" s="34"/>
      <c r="V325" s="34" t="s">
        <v>908</v>
      </c>
      <c r="W325" s="34"/>
      <c r="X325" s="34" t="s">
        <v>909</v>
      </c>
      <c r="Y325" s="34" t="s">
        <v>47</v>
      </c>
      <c r="Z325" s="34">
        <v>21421229</v>
      </c>
      <c r="AA325" s="34" t="s">
        <v>1028</v>
      </c>
      <c r="AB325" s="34" t="s">
        <v>393</v>
      </c>
      <c r="AC325" s="34" t="s">
        <v>374</v>
      </c>
      <c r="AD325" s="34" t="s">
        <v>345</v>
      </c>
      <c r="AE325" s="34" t="s">
        <v>344</v>
      </c>
      <c r="AF325" s="34"/>
      <c r="AG325" s="34"/>
      <c r="AH325" s="34"/>
      <c r="AI325" s="34">
        <v>43765</v>
      </c>
      <c r="AJ325" s="34">
        <v>50</v>
      </c>
      <c r="AK325" s="34">
        <v>300</v>
      </c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 t="s">
        <v>50</v>
      </c>
      <c r="BL325" s="34" t="s">
        <v>167</v>
      </c>
      <c r="BM325" s="34" t="s">
        <v>166</v>
      </c>
      <c r="BN325" s="34">
        <v>44079.155190636571</v>
      </c>
      <c r="BO325" s="34"/>
      <c r="BP325" s="34" t="s">
        <v>1504</v>
      </c>
      <c r="BQ325" s="34" t="s">
        <v>419</v>
      </c>
      <c r="BR325" s="34" t="s">
        <v>165</v>
      </c>
      <c r="BS325" s="34">
        <v>4.0318202017037302E+18</v>
      </c>
      <c r="BT325" s="34" t="s">
        <v>164</v>
      </c>
      <c r="BU325" s="34" t="s">
        <v>512</v>
      </c>
      <c r="BV325" s="34">
        <v>2020</v>
      </c>
      <c r="BW325" s="34" t="s">
        <v>163</v>
      </c>
      <c r="BX325" s="34"/>
      <c r="BY325" s="34">
        <v>4.0322202017041398E+18</v>
      </c>
      <c r="BZ325" s="34" t="s">
        <v>1502</v>
      </c>
      <c r="CA325" s="34" t="s">
        <v>161</v>
      </c>
    </row>
    <row r="326" spans="1:79" x14ac:dyDescent="0.25">
      <c r="A326" s="34" t="s">
        <v>1104</v>
      </c>
      <c r="B326" s="34" t="s">
        <v>1499</v>
      </c>
      <c r="C326" s="34">
        <v>2019</v>
      </c>
      <c r="D326" s="34" t="s">
        <v>422</v>
      </c>
      <c r="E326" s="34">
        <v>2.0200318920388998E+17</v>
      </c>
      <c r="F326" s="34" t="s">
        <v>182</v>
      </c>
      <c r="G326" s="34" t="s">
        <v>1505</v>
      </c>
      <c r="H326" s="34">
        <v>1390490</v>
      </c>
      <c r="I326" s="34"/>
      <c r="J326" s="34" t="s">
        <v>180</v>
      </c>
      <c r="K326" s="34" t="s">
        <v>179</v>
      </c>
      <c r="L326" s="34" t="s">
        <v>374</v>
      </c>
      <c r="M326" s="34"/>
      <c r="N326" s="34" t="s">
        <v>905</v>
      </c>
      <c r="O326" s="34" t="s">
        <v>297</v>
      </c>
      <c r="P326" s="34"/>
      <c r="Q326" s="34" t="s">
        <v>296</v>
      </c>
      <c r="R326" s="34" t="s">
        <v>906</v>
      </c>
      <c r="S326" s="34"/>
      <c r="T326" s="34" t="s">
        <v>907</v>
      </c>
      <c r="U326" s="34"/>
      <c r="V326" s="34" t="s">
        <v>908</v>
      </c>
      <c r="W326" s="34"/>
      <c r="X326" s="34" t="s">
        <v>909</v>
      </c>
      <c r="Y326" s="34" t="s">
        <v>47</v>
      </c>
      <c r="Z326" s="34">
        <v>21421229</v>
      </c>
      <c r="AA326" s="34" t="s">
        <v>1028</v>
      </c>
      <c r="AB326" s="34" t="s">
        <v>393</v>
      </c>
      <c r="AC326" s="34" t="s">
        <v>374</v>
      </c>
      <c r="AD326" s="34" t="s">
        <v>345</v>
      </c>
      <c r="AE326" s="34" t="s">
        <v>344</v>
      </c>
      <c r="AF326" s="34"/>
      <c r="AG326" s="34"/>
      <c r="AH326" s="34"/>
      <c r="AI326" s="34">
        <v>43807</v>
      </c>
      <c r="AJ326" s="34">
        <v>100</v>
      </c>
      <c r="AK326" s="34">
        <v>400</v>
      </c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 t="s">
        <v>50</v>
      </c>
      <c r="BL326" s="34" t="s">
        <v>167</v>
      </c>
      <c r="BM326" s="34" t="s">
        <v>166</v>
      </c>
      <c r="BN326" s="34">
        <v>44079.155190636571</v>
      </c>
      <c r="BO326" s="34"/>
      <c r="BP326" s="34" t="s">
        <v>1506</v>
      </c>
      <c r="BQ326" s="34" t="s">
        <v>419</v>
      </c>
      <c r="BR326" s="34" t="s">
        <v>165</v>
      </c>
      <c r="BS326" s="34">
        <v>4.0318202017037302E+18</v>
      </c>
      <c r="BT326" s="34" t="s">
        <v>164</v>
      </c>
      <c r="BU326" s="34" t="s">
        <v>512</v>
      </c>
      <c r="BV326" s="34">
        <v>2020</v>
      </c>
      <c r="BW326" s="34" t="s">
        <v>163</v>
      </c>
      <c r="BX326" s="34"/>
      <c r="BY326" s="34">
        <v>4.0322202017041398E+18</v>
      </c>
      <c r="BZ326" s="34" t="s">
        <v>1507</v>
      </c>
      <c r="CA326" s="34" t="s">
        <v>161</v>
      </c>
    </row>
    <row r="327" spans="1:79" x14ac:dyDescent="0.25">
      <c r="A327" s="34" t="s">
        <v>1061</v>
      </c>
      <c r="B327" s="34" t="s">
        <v>1062</v>
      </c>
      <c r="C327" s="34">
        <v>2019</v>
      </c>
      <c r="D327" s="34" t="s">
        <v>422</v>
      </c>
      <c r="E327" s="34">
        <v>2.0200409921662899E+17</v>
      </c>
      <c r="F327" s="34" t="s">
        <v>182</v>
      </c>
      <c r="G327" s="34" t="s">
        <v>1508</v>
      </c>
      <c r="H327" s="34">
        <v>1394564</v>
      </c>
      <c r="I327" s="34"/>
      <c r="J327" s="34" t="s">
        <v>180</v>
      </c>
      <c r="K327" s="34" t="s">
        <v>179</v>
      </c>
      <c r="L327" s="34" t="s">
        <v>374</v>
      </c>
      <c r="M327" s="34"/>
      <c r="N327" s="34" t="s">
        <v>905</v>
      </c>
      <c r="O327" s="34" t="s">
        <v>75</v>
      </c>
      <c r="P327" s="34"/>
      <c r="Q327" s="34" t="s">
        <v>28</v>
      </c>
      <c r="R327" s="34" t="s">
        <v>906</v>
      </c>
      <c r="S327" s="34"/>
      <c r="T327" s="34" t="s">
        <v>907</v>
      </c>
      <c r="U327" s="34"/>
      <c r="V327" s="34" t="s">
        <v>908</v>
      </c>
      <c r="W327" s="34"/>
      <c r="X327" s="34" t="s">
        <v>909</v>
      </c>
      <c r="Y327" s="34" t="s">
        <v>47</v>
      </c>
      <c r="Z327" s="34">
        <v>21421229</v>
      </c>
      <c r="AA327" s="34" t="s">
        <v>393</v>
      </c>
      <c r="AB327" s="34" t="s">
        <v>393</v>
      </c>
      <c r="AC327" s="34" t="s">
        <v>374</v>
      </c>
      <c r="AD327" s="34" t="s">
        <v>345</v>
      </c>
      <c r="AE327" s="34" t="s">
        <v>344</v>
      </c>
      <c r="AF327" s="34"/>
      <c r="AG327" s="34"/>
      <c r="AH327" s="34"/>
      <c r="AI327" s="34">
        <v>43762</v>
      </c>
      <c r="AJ327" s="34">
        <v>50</v>
      </c>
      <c r="AK327" s="34">
        <v>489</v>
      </c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 t="s">
        <v>446</v>
      </c>
      <c r="BH327" s="34" t="s">
        <v>168</v>
      </c>
      <c r="BI327" s="34" t="s">
        <v>168</v>
      </c>
      <c r="BJ327" s="34">
        <v>2020</v>
      </c>
      <c r="BK327" s="34" t="s">
        <v>50</v>
      </c>
      <c r="BL327" s="34" t="s">
        <v>167</v>
      </c>
      <c r="BM327" s="34" t="s">
        <v>166</v>
      </c>
      <c r="BN327" s="34">
        <v>44079.171666122682</v>
      </c>
      <c r="BO327" s="34"/>
      <c r="BP327" s="34" t="s">
        <v>1509</v>
      </c>
      <c r="BQ327" s="34" t="s">
        <v>419</v>
      </c>
      <c r="BR327" s="34" t="s">
        <v>513</v>
      </c>
      <c r="BS327" s="34">
        <v>4.0410202017350001E+18</v>
      </c>
      <c r="BT327" s="34" t="s">
        <v>164</v>
      </c>
      <c r="BU327" s="34" t="s">
        <v>512</v>
      </c>
      <c r="BV327" s="34">
        <v>2020</v>
      </c>
      <c r="BW327" s="34" t="s">
        <v>163</v>
      </c>
      <c r="BX327" s="34"/>
      <c r="BY327" s="34">
        <v>4.04102020173504E+18</v>
      </c>
      <c r="BZ327" s="34" t="s">
        <v>1510</v>
      </c>
      <c r="CA327" s="34" t="s">
        <v>161</v>
      </c>
    </row>
    <row r="328" spans="1:79" x14ac:dyDescent="0.25">
      <c r="A328" s="34" t="s">
        <v>1433</v>
      </c>
      <c r="B328" s="34" t="s">
        <v>1434</v>
      </c>
      <c r="C328" s="34">
        <v>2020</v>
      </c>
      <c r="D328" s="34" t="s">
        <v>553</v>
      </c>
      <c r="E328" s="34">
        <v>2.02007209260644E+17</v>
      </c>
      <c r="F328" s="34" t="s">
        <v>450</v>
      </c>
      <c r="G328" s="34">
        <v>6253562</v>
      </c>
      <c r="H328" s="34">
        <v>1427451</v>
      </c>
      <c r="I328" s="34"/>
      <c r="J328" s="34" t="s">
        <v>180</v>
      </c>
      <c r="K328" s="34" t="s">
        <v>179</v>
      </c>
      <c r="L328" s="34" t="s">
        <v>374</v>
      </c>
      <c r="M328" s="34"/>
      <c r="N328" s="34" t="s">
        <v>905</v>
      </c>
      <c r="O328" s="34" t="s">
        <v>28</v>
      </c>
      <c r="P328" s="34"/>
      <c r="Q328" s="34" t="s">
        <v>28</v>
      </c>
      <c r="R328" s="34" t="s">
        <v>906</v>
      </c>
      <c r="S328" s="34"/>
      <c r="T328" s="34" t="s">
        <v>907</v>
      </c>
      <c r="U328" s="34"/>
      <c r="V328" s="34" t="s">
        <v>908</v>
      </c>
      <c r="W328" s="34"/>
      <c r="X328" s="34" t="s">
        <v>909</v>
      </c>
      <c r="Y328" s="34" t="s">
        <v>47</v>
      </c>
      <c r="Z328" s="34">
        <v>21421229</v>
      </c>
      <c r="AA328" s="34" t="s">
        <v>393</v>
      </c>
      <c r="AB328" s="34" t="s">
        <v>393</v>
      </c>
      <c r="AC328" s="34" t="s">
        <v>374</v>
      </c>
      <c r="AD328" s="34" t="s">
        <v>345</v>
      </c>
      <c r="AE328" s="34" t="s">
        <v>344</v>
      </c>
      <c r="AF328" s="34"/>
      <c r="AG328" s="34"/>
      <c r="AH328" s="34"/>
      <c r="AI328" s="34">
        <v>43998</v>
      </c>
      <c r="AJ328" s="34">
        <v>100</v>
      </c>
      <c r="AK328" s="34">
        <v>500</v>
      </c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 t="s">
        <v>446</v>
      </c>
      <c r="BH328" s="34"/>
      <c r="BI328" s="34" t="s">
        <v>168</v>
      </c>
      <c r="BJ328" s="34">
        <v>2020</v>
      </c>
      <c r="BK328" s="34" t="s">
        <v>50</v>
      </c>
      <c r="BL328" s="34" t="s">
        <v>167</v>
      </c>
      <c r="BM328" s="34" t="s">
        <v>166</v>
      </c>
      <c r="BN328" s="34">
        <v>44034.129779421295</v>
      </c>
      <c r="BO328" s="34"/>
      <c r="BP328" s="34" t="s">
        <v>1511</v>
      </c>
      <c r="BQ328" s="34" t="s">
        <v>877</v>
      </c>
      <c r="BR328" s="34" t="s">
        <v>445</v>
      </c>
      <c r="BS328" s="34">
        <v>4.0721202017922601E+18</v>
      </c>
      <c r="BT328" s="34" t="s">
        <v>164</v>
      </c>
      <c r="BU328" s="34" t="s">
        <v>512</v>
      </c>
      <c r="BV328" s="34">
        <v>2020</v>
      </c>
      <c r="BW328" s="34" t="s">
        <v>163</v>
      </c>
      <c r="BX328" s="34"/>
      <c r="BY328" s="34">
        <v>4.07212020179347E+18</v>
      </c>
      <c r="BZ328" s="34" t="s">
        <v>1512</v>
      </c>
      <c r="CA328" s="34" t="s">
        <v>161</v>
      </c>
    </row>
    <row r="329" spans="1:79" x14ac:dyDescent="0.25">
      <c r="A329" s="34" t="s">
        <v>374</v>
      </c>
      <c r="B329" s="34" t="s">
        <v>287</v>
      </c>
      <c r="C329" s="34">
        <v>2020</v>
      </c>
      <c r="D329" s="34" t="s">
        <v>494</v>
      </c>
      <c r="E329" s="34">
        <v>2.0201214938057501E+17</v>
      </c>
      <c r="F329" s="34" t="s">
        <v>182</v>
      </c>
      <c r="G329" s="34" t="s">
        <v>1513</v>
      </c>
      <c r="H329" s="34">
        <v>1482832</v>
      </c>
      <c r="I329" s="34"/>
      <c r="J329" s="34" t="s">
        <v>180</v>
      </c>
      <c r="K329" s="34" t="s">
        <v>179</v>
      </c>
      <c r="L329" s="34"/>
      <c r="M329" s="34"/>
      <c r="N329" s="34" t="s">
        <v>905</v>
      </c>
      <c r="O329" s="34" t="s">
        <v>297</v>
      </c>
      <c r="P329" s="34"/>
      <c r="Q329" s="34" t="s">
        <v>296</v>
      </c>
      <c r="R329" s="34" t="s">
        <v>906</v>
      </c>
      <c r="S329" s="34"/>
      <c r="T329" s="34" t="s">
        <v>907</v>
      </c>
      <c r="U329" s="34"/>
      <c r="V329" s="34" t="s">
        <v>949</v>
      </c>
      <c r="W329" s="34"/>
      <c r="X329" s="34" t="s">
        <v>909</v>
      </c>
      <c r="Y329" s="34" t="s">
        <v>47</v>
      </c>
      <c r="Z329" s="34">
        <v>2142</v>
      </c>
      <c r="AA329" s="34" t="s">
        <v>393</v>
      </c>
      <c r="AB329" s="34" t="s">
        <v>393</v>
      </c>
      <c r="AC329" s="34"/>
      <c r="AD329" s="34"/>
      <c r="AE329" s="34"/>
      <c r="AF329" s="34" t="s">
        <v>377</v>
      </c>
      <c r="AG329" s="34"/>
      <c r="AH329" s="34"/>
      <c r="AI329" s="34">
        <v>44076</v>
      </c>
      <c r="AJ329" s="34">
        <v>50</v>
      </c>
      <c r="AK329" s="34">
        <v>150</v>
      </c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 t="s">
        <v>363</v>
      </c>
      <c r="BG329" s="34"/>
      <c r="BH329" s="34"/>
      <c r="BI329" s="34"/>
      <c r="BJ329" s="34"/>
      <c r="BK329" s="34" t="s">
        <v>50</v>
      </c>
      <c r="BL329" s="34" t="s">
        <v>167</v>
      </c>
      <c r="BM329" s="34" t="s">
        <v>166</v>
      </c>
      <c r="BN329" s="34">
        <v>44218.677976273146</v>
      </c>
      <c r="BO329" s="34"/>
      <c r="BP329" s="34"/>
      <c r="BQ329" s="34"/>
      <c r="BR329" s="34" t="s">
        <v>165</v>
      </c>
      <c r="BS329" s="34">
        <v>4.1216202019742802E+18</v>
      </c>
      <c r="BT329" s="34" t="s">
        <v>164</v>
      </c>
      <c r="BU329" s="34" t="s">
        <v>1514</v>
      </c>
      <c r="BV329" s="34">
        <v>2020</v>
      </c>
      <c r="BW329" s="34" t="s">
        <v>163</v>
      </c>
      <c r="BX329" s="34"/>
      <c r="BY329" s="34">
        <v>4.0121202120969098E+18</v>
      </c>
      <c r="BZ329" s="34" t="s">
        <v>1515</v>
      </c>
      <c r="CA329" s="34" t="s">
        <v>161</v>
      </c>
    </row>
    <row r="330" spans="1:79" x14ac:dyDescent="0.25">
      <c r="A330" s="34" t="s">
        <v>374</v>
      </c>
      <c r="B330" s="34" t="s">
        <v>287</v>
      </c>
      <c r="C330" s="34">
        <v>2020</v>
      </c>
      <c r="D330" s="34" t="s">
        <v>494</v>
      </c>
      <c r="E330" s="34">
        <v>2.0201214938057501E+17</v>
      </c>
      <c r="F330" s="34" t="s">
        <v>182</v>
      </c>
      <c r="G330" s="34" t="s">
        <v>1516</v>
      </c>
      <c r="H330" s="34">
        <v>1482832</v>
      </c>
      <c r="I330" s="34"/>
      <c r="J330" s="34" t="s">
        <v>180</v>
      </c>
      <c r="K330" s="34" t="s">
        <v>179</v>
      </c>
      <c r="L330" s="34"/>
      <c r="M330" s="34"/>
      <c r="N330" s="34" t="s">
        <v>905</v>
      </c>
      <c r="O330" s="34" t="s">
        <v>297</v>
      </c>
      <c r="P330" s="34"/>
      <c r="Q330" s="34" t="s">
        <v>296</v>
      </c>
      <c r="R330" s="34" t="s">
        <v>906</v>
      </c>
      <c r="S330" s="34"/>
      <c r="T330" s="34" t="s">
        <v>907</v>
      </c>
      <c r="U330" s="34"/>
      <c r="V330" s="34" t="s">
        <v>949</v>
      </c>
      <c r="W330" s="34"/>
      <c r="X330" s="34" t="s">
        <v>909</v>
      </c>
      <c r="Y330" s="34" t="s">
        <v>47</v>
      </c>
      <c r="Z330" s="34">
        <v>2142</v>
      </c>
      <c r="AA330" s="34" t="s">
        <v>393</v>
      </c>
      <c r="AB330" s="34" t="s">
        <v>393</v>
      </c>
      <c r="AC330" s="34"/>
      <c r="AD330" s="34"/>
      <c r="AE330" s="34"/>
      <c r="AF330" s="34" t="s">
        <v>377</v>
      </c>
      <c r="AG330" s="34"/>
      <c r="AH330" s="34"/>
      <c r="AI330" s="34">
        <v>44076</v>
      </c>
      <c r="AJ330" s="34">
        <v>25</v>
      </c>
      <c r="AK330" s="34">
        <v>25</v>
      </c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 t="s">
        <v>363</v>
      </c>
      <c r="BG330" s="34"/>
      <c r="BH330" s="34"/>
      <c r="BI330" s="34"/>
      <c r="BJ330" s="34"/>
      <c r="BK330" s="34" t="s">
        <v>50</v>
      </c>
      <c r="BL330" s="34" t="s">
        <v>167</v>
      </c>
      <c r="BM330" s="34" t="s">
        <v>166</v>
      </c>
      <c r="BN330" s="34">
        <v>44218.683152789352</v>
      </c>
      <c r="BO330" s="34"/>
      <c r="BP330" s="34"/>
      <c r="BQ330" s="34"/>
      <c r="BR330" s="34" t="s">
        <v>165</v>
      </c>
      <c r="BS330" s="34">
        <v>4.1216202019742802E+18</v>
      </c>
      <c r="BT330" s="34" t="s">
        <v>164</v>
      </c>
      <c r="BU330" s="34" t="s">
        <v>1517</v>
      </c>
      <c r="BV330" s="34">
        <v>2020</v>
      </c>
      <c r="BW330" s="34" t="s">
        <v>163</v>
      </c>
      <c r="BX330" s="34"/>
      <c r="BY330" s="34">
        <v>4.0121202120969999E+18</v>
      </c>
      <c r="BZ330" s="34" t="s">
        <v>1518</v>
      </c>
      <c r="CA330" s="34" t="s">
        <v>161</v>
      </c>
    </row>
    <row r="331" spans="1:79" x14ac:dyDescent="0.25">
      <c r="A331" s="34" t="s">
        <v>1057</v>
      </c>
      <c r="B331" s="34" t="s">
        <v>1058</v>
      </c>
      <c r="C331" s="34">
        <v>2020</v>
      </c>
      <c r="D331" s="34" t="s">
        <v>407</v>
      </c>
      <c r="E331" s="34">
        <v>2.0210407944308E+17</v>
      </c>
      <c r="F331" s="34" t="s">
        <v>182</v>
      </c>
      <c r="G331" s="34">
        <v>2791934</v>
      </c>
      <c r="H331" s="34">
        <v>1508322</v>
      </c>
      <c r="I331" s="34"/>
      <c r="J331" s="34" t="s">
        <v>180</v>
      </c>
      <c r="K331" s="34" t="s">
        <v>179</v>
      </c>
      <c r="L331" s="34"/>
      <c r="M331" s="34"/>
      <c r="N331" s="34" t="s">
        <v>905</v>
      </c>
      <c r="O331" s="34" t="s">
        <v>850</v>
      </c>
      <c r="P331" s="34"/>
      <c r="Q331" s="34" t="s">
        <v>296</v>
      </c>
      <c r="R331" s="34" t="s">
        <v>906</v>
      </c>
      <c r="S331" s="34"/>
      <c r="T331" s="34" t="s">
        <v>907</v>
      </c>
      <c r="U331" s="34"/>
      <c r="V331" s="34" t="s">
        <v>908</v>
      </c>
      <c r="W331" s="34" t="s">
        <v>1059</v>
      </c>
      <c r="X331" s="34" t="s">
        <v>909</v>
      </c>
      <c r="Y331" s="34" t="s">
        <v>47</v>
      </c>
      <c r="Z331" s="34">
        <v>21421239</v>
      </c>
      <c r="AA331" s="34" t="s">
        <v>1028</v>
      </c>
      <c r="AB331" s="34" t="s">
        <v>393</v>
      </c>
      <c r="AC331" s="34"/>
      <c r="AD331" s="34">
        <v>15</v>
      </c>
      <c r="AE331" s="34" t="s">
        <v>169</v>
      </c>
      <c r="AF331" s="34"/>
      <c r="AG331" s="34"/>
      <c r="AH331" s="34"/>
      <c r="AI331" s="34">
        <v>43967</v>
      </c>
      <c r="AJ331" s="34">
        <v>50</v>
      </c>
      <c r="AK331" s="34">
        <v>250</v>
      </c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 t="s">
        <v>28</v>
      </c>
      <c r="BH331" s="34"/>
      <c r="BI331" s="34" t="s">
        <v>168</v>
      </c>
      <c r="BJ331" s="34"/>
      <c r="BK331" s="34" t="s">
        <v>0</v>
      </c>
      <c r="BL331" s="34" t="s">
        <v>186</v>
      </c>
      <c r="BM331" s="34" t="s">
        <v>166</v>
      </c>
      <c r="BN331" s="34">
        <v>44295.166808391201</v>
      </c>
      <c r="BO331" s="34"/>
      <c r="BP331" s="34"/>
      <c r="BQ331" s="34"/>
      <c r="BR331" s="34" t="s">
        <v>165</v>
      </c>
      <c r="BS331" s="34">
        <v>4.0407202112765302E+18</v>
      </c>
      <c r="BT331" s="34" t="s">
        <v>164</v>
      </c>
      <c r="BU331" s="34"/>
      <c r="BV331" s="34">
        <v>2020</v>
      </c>
      <c r="BW331" s="34" t="s">
        <v>163</v>
      </c>
      <c r="BX331" s="34"/>
      <c r="BY331" s="34">
        <v>4.0409202112765998E+18</v>
      </c>
      <c r="BZ331" s="34" t="s">
        <v>1519</v>
      </c>
      <c r="CA331" s="34" t="s">
        <v>161</v>
      </c>
    </row>
    <row r="332" spans="1:79" x14ac:dyDescent="0.25">
      <c r="A332" s="34" t="s">
        <v>1057</v>
      </c>
      <c r="B332" s="34" t="s">
        <v>1058</v>
      </c>
      <c r="C332" s="34">
        <v>2020</v>
      </c>
      <c r="D332" s="34" t="s">
        <v>407</v>
      </c>
      <c r="E332" s="34">
        <v>2.0210407944308E+17</v>
      </c>
      <c r="F332" s="34" t="s">
        <v>182</v>
      </c>
      <c r="G332" s="34">
        <v>2791931</v>
      </c>
      <c r="H332" s="34">
        <v>1508322</v>
      </c>
      <c r="I332" s="34"/>
      <c r="J332" s="34" t="s">
        <v>180</v>
      </c>
      <c r="K332" s="34" t="s">
        <v>179</v>
      </c>
      <c r="L332" s="34"/>
      <c r="M332" s="34"/>
      <c r="N332" s="34" t="s">
        <v>905</v>
      </c>
      <c r="O332" s="34" t="s">
        <v>850</v>
      </c>
      <c r="P332" s="34"/>
      <c r="Q332" s="34" t="s">
        <v>296</v>
      </c>
      <c r="R332" s="34" t="s">
        <v>906</v>
      </c>
      <c r="S332" s="34"/>
      <c r="T332" s="34" t="s">
        <v>907</v>
      </c>
      <c r="U332" s="34"/>
      <c r="V332" s="34" t="s">
        <v>908</v>
      </c>
      <c r="W332" s="34" t="s">
        <v>1059</v>
      </c>
      <c r="X332" s="34" t="s">
        <v>909</v>
      </c>
      <c r="Y332" s="34" t="s">
        <v>47</v>
      </c>
      <c r="Z332" s="34">
        <v>21421239</v>
      </c>
      <c r="AA332" s="34" t="s">
        <v>1028</v>
      </c>
      <c r="AB332" s="34" t="s">
        <v>393</v>
      </c>
      <c r="AC332" s="34"/>
      <c r="AD332" s="34">
        <v>15</v>
      </c>
      <c r="AE332" s="34" t="s">
        <v>169</v>
      </c>
      <c r="AF332" s="34"/>
      <c r="AG332" s="34"/>
      <c r="AH332" s="34"/>
      <c r="AI332" s="34">
        <v>43998</v>
      </c>
      <c r="AJ332" s="34">
        <v>50</v>
      </c>
      <c r="AK332" s="34">
        <v>300</v>
      </c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 t="s">
        <v>28</v>
      </c>
      <c r="BH332" s="34"/>
      <c r="BI332" s="34" t="s">
        <v>168</v>
      </c>
      <c r="BJ332" s="34"/>
      <c r="BK332" s="34" t="s">
        <v>0</v>
      </c>
      <c r="BL332" s="34" t="s">
        <v>186</v>
      </c>
      <c r="BM332" s="34" t="s">
        <v>166</v>
      </c>
      <c r="BN332" s="34">
        <v>44295.166808391201</v>
      </c>
      <c r="BO332" s="34"/>
      <c r="BP332" s="34"/>
      <c r="BQ332" s="34"/>
      <c r="BR332" s="34" t="s">
        <v>165</v>
      </c>
      <c r="BS332" s="34">
        <v>4.0407202112765302E+18</v>
      </c>
      <c r="BT332" s="34" t="s">
        <v>164</v>
      </c>
      <c r="BU332" s="34"/>
      <c r="BV332" s="34">
        <v>2020</v>
      </c>
      <c r="BW332" s="34" t="s">
        <v>163</v>
      </c>
      <c r="BX332" s="34"/>
      <c r="BY332" s="34">
        <v>4.0409202112765998E+18</v>
      </c>
      <c r="BZ332" s="34" t="s">
        <v>1519</v>
      </c>
      <c r="CA332" s="34" t="s">
        <v>161</v>
      </c>
    </row>
    <row r="333" spans="1:79" x14ac:dyDescent="0.25">
      <c r="A333" s="34" t="s">
        <v>1057</v>
      </c>
      <c r="B333" s="34" t="s">
        <v>1058</v>
      </c>
      <c r="C333" s="34">
        <v>2020</v>
      </c>
      <c r="D333" s="34" t="s">
        <v>341</v>
      </c>
      <c r="E333" s="34">
        <v>2.0210407944309501E+17</v>
      </c>
      <c r="F333" s="34" t="s">
        <v>182</v>
      </c>
      <c r="G333" s="34">
        <v>3051498</v>
      </c>
      <c r="H333" s="34">
        <v>1508365</v>
      </c>
      <c r="I333" s="34"/>
      <c r="J333" s="34" t="s">
        <v>180</v>
      </c>
      <c r="K333" s="34" t="s">
        <v>179</v>
      </c>
      <c r="L333" s="34"/>
      <c r="M333" s="34"/>
      <c r="N333" s="34" t="s">
        <v>905</v>
      </c>
      <c r="O333" s="34" t="s">
        <v>850</v>
      </c>
      <c r="P333" s="34"/>
      <c r="Q333" s="34" t="s">
        <v>296</v>
      </c>
      <c r="R333" s="34" t="s">
        <v>906</v>
      </c>
      <c r="S333" s="34"/>
      <c r="T333" s="34" t="s">
        <v>907</v>
      </c>
      <c r="U333" s="34"/>
      <c r="V333" s="34" t="s">
        <v>908</v>
      </c>
      <c r="W333" s="34"/>
      <c r="X333" s="34" t="s">
        <v>909</v>
      </c>
      <c r="Y333" s="34" t="s">
        <v>47</v>
      </c>
      <c r="Z333" s="34">
        <v>21421239</v>
      </c>
      <c r="AA333" s="34" t="s">
        <v>1028</v>
      </c>
      <c r="AB333" s="34" t="s">
        <v>393</v>
      </c>
      <c r="AC333" s="34"/>
      <c r="AD333" s="34">
        <v>15</v>
      </c>
      <c r="AE333" s="34" t="s">
        <v>169</v>
      </c>
      <c r="AF333" s="34"/>
      <c r="AG333" s="34"/>
      <c r="AH333" s="34"/>
      <c r="AI333" s="34">
        <v>44018</v>
      </c>
      <c r="AJ333" s="34">
        <v>50</v>
      </c>
      <c r="AK333" s="34">
        <v>350</v>
      </c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 t="s">
        <v>28</v>
      </c>
      <c r="BH333" s="34"/>
      <c r="BI333" s="34" t="s">
        <v>168</v>
      </c>
      <c r="BJ333" s="34"/>
      <c r="BK333" s="34" t="s">
        <v>50</v>
      </c>
      <c r="BL333" s="34" t="s">
        <v>167</v>
      </c>
      <c r="BM333" s="34" t="s">
        <v>166</v>
      </c>
      <c r="BN333" s="34">
        <v>44296.17018119213</v>
      </c>
      <c r="BO333" s="34"/>
      <c r="BP333" s="34"/>
      <c r="BQ333" s="34"/>
      <c r="BR333" s="34" t="s">
        <v>165</v>
      </c>
      <c r="BS333" s="34">
        <v>4.0407202112765302E+18</v>
      </c>
      <c r="BT333" s="34" t="s">
        <v>164</v>
      </c>
      <c r="BU333" s="34"/>
      <c r="BV333" s="34">
        <v>2020</v>
      </c>
      <c r="BW333" s="34" t="s">
        <v>163</v>
      </c>
      <c r="BX333" s="34"/>
      <c r="BY333" s="34">
        <v>4.0410202112767401E+18</v>
      </c>
      <c r="BZ333" s="34" t="s">
        <v>1520</v>
      </c>
      <c r="CA333" s="34" t="s">
        <v>161</v>
      </c>
    </row>
    <row r="334" spans="1:79" x14ac:dyDescent="0.25">
      <c r="A334" s="34" t="s">
        <v>1057</v>
      </c>
      <c r="B334" s="34" t="s">
        <v>1058</v>
      </c>
      <c r="C334" s="34">
        <v>2020</v>
      </c>
      <c r="D334" s="34" t="s">
        <v>341</v>
      </c>
      <c r="E334" s="34">
        <v>2.0210407944309501E+17</v>
      </c>
      <c r="F334" s="34" t="s">
        <v>182</v>
      </c>
      <c r="G334" s="34">
        <v>3236789</v>
      </c>
      <c r="H334" s="34">
        <v>1508365</v>
      </c>
      <c r="I334" s="34"/>
      <c r="J334" s="34" t="s">
        <v>180</v>
      </c>
      <c r="K334" s="34" t="s">
        <v>179</v>
      </c>
      <c r="L334" s="34"/>
      <c r="M334" s="34"/>
      <c r="N334" s="34" t="s">
        <v>905</v>
      </c>
      <c r="O334" s="34" t="s">
        <v>850</v>
      </c>
      <c r="P334" s="34"/>
      <c r="Q334" s="34" t="s">
        <v>296</v>
      </c>
      <c r="R334" s="34" t="s">
        <v>906</v>
      </c>
      <c r="S334" s="34"/>
      <c r="T334" s="34" t="s">
        <v>907</v>
      </c>
      <c r="U334" s="34"/>
      <c r="V334" s="34" t="s">
        <v>908</v>
      </c>
      <c r="W334" s="34"/>
      <c r="X334" s="34" t="s">
        <v>909</v>
      </c>
      <c r="Y334" s="34" t="s">
        <v>47</v>
      </c>
      <c r="Z334" s="34">
        <v>21421239</v>
      </c>
      <c r="AA334" s="34" t="s">
        <v>1028</v>
      </c>
      <c r="AB334" s="34" t="s">
        <v>393</v>
      </c>
      <c r="AC334" s="34"/>
      <c r="AD334" s="34">
        <v>15</v>
      </c>
      <c r="AE334" s="34" t="s">
        <v>169</v>
      </c>
      <c r="AF334" s="34"/>
      <c r="AG334" s="34"/>
      <c r="AH334" s="34"/>
      <c r="AI334" s="34">
        <v>44090</v>
      </c>
      <c r="AJ334" s="34">
        <v>50</v>
      </c>
      <c r="AK334" s="34">
        <v>500</v>
      </c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 t="s">
        <v>28</v>
      </c>
      <c r="BH334" s="34"/>
      <c r="BI334" s="34" t="s">
        <v>168</v>
      </c>
      <c r="BJ334" s="34"/>
      <c r="BK334" s="34" t="s">
        <v>50</v>
      </c>
      <c r="BL334" s="34" t="s">
        <v>167</v>
      </c>
      <c r="BM334" s="34" t="s">
        <v>166</v>
      </c>
      <c r="BN334" s="34">
        <v>44296.17018119213</v>
      </c>
      <c r="BO334" s="34"/>
      <c r="BP334" s="34"/>
      <c r="BQ334" s="34"/>
      <c r="BR334" s="34" t="s">
        <v>165</v>
      </c>
      <c r="BS334" s="34">
        <v>4.0407202112765302E+18</v>
      </c>
      <c r="BT334" s="34" t="s">
        <v>164</v>
      </c>
      <c r="BU334" s="34"/>
      <c r="BV334" s="34">
        <v>2020</v>
      </c>
      <c r="BW334" s="34" t="s">
        <v>163</v>
      </c>
      <c r="BX334" s="34"/>
      <c r="BY334" s="34">
        <v>4.0410202112767401E+18</v>
      </c>
      <c r="BZ334" s="34" t="s">
        <v>1521</v>
      </c>
      <c r="CA334" s="34" t="s">
        <v>161</v>
      </c>
    </row>
    <row r="335" spans="1:79" x14ac:dyDescent="0.25">
      <c r="A335" s="34" t="s">
        <v>1057</v>
      </c>
      <c r="B335" s="34" t="s">
        <v>1058</v>
      </c>
      <c r="C335" s="34">
        <v>2020</v>
      </c>
      <c r="D335" s="34" t="s">
        <v>341</v>
      </c>
      <c r="E335" s="34">
        <v>2.0210407944309501E+17</v>
      </c>
      <c r="F335" s="34" t="s">
        <v>182</v>
      </c>
      <c r="G335" s="34">
        <v>2961036</v>
      </c>
      <c r="H335" s="34">
        <v>1508365</v>
      </c>
      <c r="I335" s="34"/>
      <c r="J335" s="34" t="s">
        <v>180</v>
      </c>
      <c r="K335" s="34" t="s">
        <v>179</v>
      </c>
      <c r="L335" s="34"/>
      <c r="M335" s="34"/>
      <c r="N335" s="34" t="s">
        <v>905</v>
      </c>
      <c r="O335" s="34" t="s">
        <v>850</v>
      </c>
      <c r="P335" s="34"/>
      <c r="Q335" s="34" t="s">
        <v>296</v>
      </c>
      <c r="R335" s="34" t="s">
        <v>906</v>
      </c>
      <c r="S335" s="34"/>
      <c r="T335" s="34" t="s">
        <v>907</v>
      </c>
      <c r="U335" s="34"/>
      <c r="V335" s="34" t="s">
        <v>908</v>
      </c>
      <c r="W335" s="34"/>
      <c r="X335" s="34" t="s">
        <v>909</v>
      </c>
      <c r="Y335" s="34" t="s">
        <v>47</v>
      </c>
      <c r="Z335" s="34">
        <v>21421239</v>
      </c>
      <c r="AA335" s="34" t="s">
        <v>1028</v>
      </c>
      <c r="AB335" s="34" t="s">
        <v>393</v>
      </c>
      <c r="AC335" s="34"/>
      <c r="AD335" s="34">
        <v>15</v>
      </c>
      <c r="AE335" s="34" t="s">
        <v>169</v>
      </c>
      <c r="AF335" s="34"/>
      <c r="AG335" s="34"/>
      <c r="AH335" s="34"/>
      <c r="AI335" s="34">
        <v>44028</v>
      </c>
      <c r="AJ335" s="34">
        <v>50</v>
      </c>
      <c r="AK335" s="34">
        <v>400</v>
      </c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 t="s">
        <v>28</v>
      </c>
      <c r="BH335" s="34"/>
      <c r="BI335" s="34" t="s">
        <v>168</v>
      </c>
      <c r="BJ335" s="34"/>
      <c r="BK335" s="34" t="s">
        <v>50</v>
      </c>
      <c r="BL335" s="34" t="s">
        <v>167</v>
      </c>
      <c r="BM335" s="34" t="s">
        <v>166</v>
      </c>
      <c r="BN335" s="34">
        <v>44296.17018119213</v>
      </c>
      <c r="BO335" s="34"/>
      <c r="BP335" s="34"/>
      <c r="BQ335" s="34"/>
      <c r="BR335" s="34" t="s">
        <v>165</v>
      </c>
      <c r="BS335" s="34">
        <v>4.0407202112765302E+18</v>
      </c>
      <c r="BT335" s="34" t="s">
        <v>164</v>
      </c>
      <c r="BU335" s="34"/>
      <c r="BV335" s="34">
        <v>2020</v>
      </c>
      <c r="BW335" s="34" t="s">
        <v>163</v>
      </c>
      <c r="BX335" s="34"/>
      <c r="BY335" s="34">
        <v>4.0410202112767401E+18</v>
      </c>
      <c r="BZ335" s="34" t="s">
        <v>1520</v>
      </c>
      <c r="CA335" s="34" t="s">
        <v>161</v>
      </c>
    </row>
    <row r="336" spans="1:79" x14ac:dyDescent="0.25">
      <c r="A336" s="34" t="s">
        <v>1057</v>
      </c>
      <c r="B336" s="34" t="s">
        <v>1058</v>
      </c>
      <c r="C336" s="34">
        <v>2020</v>
      </c>
      <c r="D336" s="34" t="s">
        <v>341</v>
      </c>
      <c r="E336" s="34">
        <v>2.0210407944309501E+17</v>
      </c>
      <c r="F336" s="34" t="s">
        <v>182</v>
      </c>
      <c r="G336" s="34">
        <v>3098460</v>
      </c>
      <c r="H336" s="34">
        <v>1508365</v>
      </c>
      <c r="I336" s="34"/>
      <c r="J336" s="34" t="s">
        <v>180</v>
      </c>
      <c r="K336" s="34" t="s">
        <v>179</v>
      </c>
      <c r="L336" s="34"/>
      <c r="M336" s="34"/>
      <c r="N336" s="34" t="s">
        <v>905</v>
      </c>
      <c r="O336" s="34" t="s">
        <v>850</v>
      </c>
      <c r="P336" s="34"/>
      <c r="Q336" s="34" t="s">
        <v>296</v>
      </c>
      <c r="R336" s="34" t="s">
        <v>906</v>
      </c>
      <c r="S336" s="34"/>
      <c r="T336" s="34" t="s">
        <v>907</v>
      </c>
      <c r="U336" s="34"/>
      <c r="V336" s="34" t="s">
        <v>908</v>
      </c>
      <c r="W336" s="34"/>
      <c r="X336" s="34" t="s">
        <v>909</v>
      </c>
      <c r="Y336" s="34" t="s">
        <v>47</v>
      </c>
      <c r="Z336" s="34">
        <v>21421239</v>
      </c>
      <c r="AA336" s="34" t="s">
        <v>1028</v>
      </c>
      <c r="AB336" s="34" t="s">
        <v>393</v>
      </c>
      <c r="AC336" s="34"/>
      <c r="AD336" s="34">
        <v>15</v>
      </c>
      <c r="AE336" s="34" t="s">
        <v>169</v>
      </c>
      <c r="AF336" s="34"/>
      <c r="AG336" s="34"/>
      <c r="AH336" s="34"/>
      <c r="AI336" s="34">
        <v>44059</v>
      </c>
      <c r="AJ336" s="34">
        <v>50</v>
      </c>
      <c r="AK336" s="34">
        <v>450</v>
      </c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 t="s">
        <v>28</v>
      </c>
      <c r="BH336" s="34"/>
      <c r="BI336" s="34" t="s">
        <v>168</v>
      </c>
      <c r="BJ336" s="34"/>
      <c r="BK336" s="34" t="s">
        <v>50</v>
      </c>
      <c r="BL336" s="34" t="s">
        <v>167</v>
      </c>
      <c r="BM336" s="34" t="s">
        <v>166</v>
      </c>
      <c r="BN336" s="34">
        <v>44296.17018119213</v>
      </c>
      <c r="BO336" s="34"/>
      <c r="BP336" s="34"/>
      <c r="BQ336" s="34"/>
      <c r="BR336" s="34" t="s">
        <v>165</v>
      </c>
      <c r="BS336" s="34">
        <v>4.0407202112765302E+18</v>
      </c>
      <c r="BT336" s="34" t="s">
        <v>164</v>
      </c>
      <c r="BU336" s="34"/>
      <c r="BV336" s="34">
        <v>2020</v>
      </c>
      <c r="BW336" s="34" t="s">
        <v>163</v>
      </c>
      <c r="BX336" s="34"/>
      <c r="BY336" s="34">
        <v>4.0410202112767401E+18</v>
      </c>
      <c r="BZ336" s="34" t="s">
        <v>1522</v>
      </c>
      <c r="CA336" s="34" t="s">
        <v>161</v>
      </c>
    </row>
    <row r="337" spans="1:79" x14ac:dyDescent="0.25">
      <c r="A337" s="34" t="s">
        <v>1523</v>
      </c>
      <c r="B337" s="34" t="s">
        <v>1524</v>
      </c>
      <c r="C337" s="34">
        <v>2020</v>
      </c>
      <c r="D337" s="34" t="s">
        <v>407</v>
      </c>
      <c r="E337" s="34">
        <v>2.0200715925004301E+17</v>
      </c>
      <c r="F337" s="34" t="s">
        <v>182</v>
      </c>
      <c r="G337" s="34">
        <v>4948668</v>
      </c>
      <c r="H337" s="34">
        <v>1424774</v>
      </c>
      <c r="I337" s="34"/>
      <c r="J337" s="34" t="s">
        <v>180</v>
      </c>
      <c r="K337" s="34" t="s">
        <v>179</v>
      </c>
      <c r="L337" s="34" t="s">
        <v>374</v>
      </c>
      <c r="M337" s="34"/>
      <c r="N337" s="34" t="s">
        <v>905</v>
      </c>
      <c r="O337" s="34" t="s">
        <v>75</v>
      </c>
      <c r="P337" s="34"/>
      <c r="Q337" s="34" t="s">
        <v>28</v>
      </c>
      <c r="R337" s="34" t="s">
        <v>906</v>
      </c>
      <c r="S337" s="34"/>
      <c r="T337" s="34" t="s">
        <v>907</v>
      </c>
      <c r="U337" s="34"/>
      <c r="V337" s="34" t="s">
        <v>908</v>
      </c>
      <c r="W337" s="34"/>
      <c r="X337" s="34" t="s">
        <v>909</v>
      </c>
      <c r="Y337" s="34" t="s">
        <v>47</v>
      </c>
      <c r="Z337" s="34">
        <v>21421229</v>
      </c>
      <c r="AA337" s="34" t="s">
        <v>1525</v>
      </c>
      <c r="AB337" s="34" t="s">
        <v>1525</v>
      </c>
      <c r="AC337" s="34" t="s">
        <v>374</v>
      </c>
      <c r="AD337" s="34" t="s">
        <v>345</v>
      </c>
      <c r="AE337" s="34" t="s">
        <v>344</v>
      </c>
      <c r="AF337" s="34"/>
      <c r="AG337" s="34"/>
      <c r="AH337" s="34"/>
      <c r="AI337" s="34">
        <v>43998</v>
      </c>
      <c r="AJ337" s="34">
        <v>20</v>
      </c>
      <c r="AK337" s="34">
        <v>254.5</v>
      </c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 t="s">
        <v>501</v>
      </c>
      <c r="BH337" s="34"/>
      <c r="BI337" s="34" t="s">
        <v>500</v>
      </c>
      <c r="BJ337" s="34">
        <v>2020</v>
      </c>
      <c r="BK337" s="34" t="s">
        <v>50</v>
      </c>
      <c r="BL337" s="34" t="s">
        <v>167</v>
      </c>
      <c r="BM337" s="34" t="s">
        <v>166</v>
      </c>
      <c r="BN337" s="34">
        <v>44050.155368657404</v>
      </c>
      <c r="BO337" s="34"/>
      <c r="BP337" s="34" t="s">
        <v>1526</v>
      </c>
      <c r="BQ337" s="34" t="s">
        <v>419</v>
      </c>
      <c r="BR337" s="34" t="s">
        <v>513</v>
      </c>
      <c r="BS337" s="34">
        <v>4.07162020179085E+18</v>
      </c>
      <c r="BT337" s="34" t="s">
        <v>164</v>
      </c>
      <c r="BU337" s="34" t="s">
        <v>512</v>
      </c>
      <c r="BV337" s="34">
        <v>2020</v>
      </c>
      <c r="BW337" s="34" t="s">
        <v>163</v>
      </c>
      <c r="BX337" s="34"/>
      <c r="BY337" s="34">
        <v>4.0807202018133699E+18</v>
      </c>
      <c r="BZ337" s="34" t="s">
        <v>1527</v>
      </c>
      <c r="CA337" s="34" t="s">
        <v>161</v>
      </c>
    </row>
    <row r="338" spans="1:79" x14ac:dyDescent="0.25">
      <c r="A338" s="34" t="s">
        <v>1057</v>
      </c>
      <c r="B338" s="34" t="s">
        <v>1058</v>
      </c>
      <c r="C338" s="34">
        <v>2020</v>
      </c>
      <c r="D338" s="34" t="s">
        <v>300</v>
      </c>
      <c r="E338" s="34">
        <v>2.0210407944311802E+17</v>
      </c>
      <c r="F338" s="34" t="s">
        <v>182</v>
      </c>
      <c r="G338" s="34">
        <v>3685533</v>
      </c>
      <c r="H338" s="34">
        <v>1508394</v>
      </c>
      <c r="I338" s="34"/>
      <c r="J338" s="34" t="s">
        <v>180</v>
      </c>
      <c r="K338" s="34" t="s">
        <v>179</v>
      </c>
      <c r="L338" s="34"/>
      <c r="M338" s="34"/>
      <c r="N338" s="34" t="s">
        <v>905</v>
      </c>
      <c r="O338" s="34" t="s">
        <v>850</v>
      </c>
      <c r="P338" s="34"/>
      <c r="Q338" s="34" t="s">
        <v>296</v>
      </c>
      <c r="R338" s="34" t="s">
        <v>906</v>
      </c>
      <c r="S338" s="34"/>
      <c r="T338" s="34" t="s">
        <v>907</v>
      </c>
      <c r="U338" s="34"/>
      <c r="V338" s="34" t="s">
        <v>908</v>
      </c>
      <c r="W338" s="34"/>
      <c r="X338" s="34" t="s">
        <v>909</v>
      </c>
      <c r="Y338" s="34" t="s">
        <v>47</v>
      </c>
      <c r="Z338" s="34">
        <v>21421239</v>
      </c>
      <c r="AA338" s="34" t="s">
        <v>1028</v>
      </c>
      <c r="AB338" s="34" t="s">
        <v>393</v>
      </c>
      <c r="AC338" s="34"/>
      <c r="AD338" s="34">
        <v>15</v>
      </c>
      <c r="AE338" s="34" t="s">
        <v>169</v>
      </c>
      <c r="AF338" s="34"/>
      <c r="AG338" s="34"/>
      <c r="AH338" s="34"/>
      <c r="AI338" s="34">
        <v>44120</v>
      </c>
      <c r="AJ338" s="34">
        <v>50</v>
      </c>
      <c r="AK338" s="34">
        <v>550</v>
      </c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 t="s">
        <v>28</v>
      </c>
      <c r="BH338" s="34"/>
      <c r="BI338" s="34" t="s">
        <v>168</v>
      </c>
      <c r="BJ338" s="34"/>
      <c r="BK338" s="34" t="s">
        <v>50</v>
      </c>
      <c r="BL338" s="34" t="s">
        <v>167</v>
      </c>
      <c r="BM338" s="34" t="s">
        <v>166</v>
      </c>
      <c r="BN338" s="34">
        <v>44296.172197060187</v>
      </c>
      <c r="BO338" s="34"/>
      <c r="BP338" s="34"/>
      <c r="BQ338" s="34"/>
      <c r="BR338" s="34" t="s">
        <v>165</v>
      </c>
      <c r="BS338" s="34">
        <v>4.0407202112765302E+18</v>
      </c>
      <c r="BT338" s="34" t="s">
        <v>164</v>
      </c>
      <c r="BU338" s="34"/>
      <c r="BV338" s="34">
        <v>2020</v>
      </c>
      <c r="BW338" s="34" t="s">
        <v>163</v>
      </c>
      <c r="BX338" s="34"/>
      <c r="BY338" s="34">
        <v>4.0410202112768302E+18</v>
      </c>
      <c r="BZ338" s="34" t="s">
        <v>1528</v>
      </c>
      <c r="CA338" s="34" t="s">
        <v>161</v>
      </c>
    </row>
    <row r="339" spans="1:79" x14ac:dyDescent="0.25">
      <c r="A339" s="34" t="s">
        <v>1057</v>
      </c>
      <c r="B339" s="34" t="s">
        <v>1058</v>
      </c>
      <c r="C339" s="34">
        <v>2020</v>
      </c>
      <c r="D339" s="34" t="s">
        <v>300</v>
      </c>
      <c r="E339" s="34">
        <v>2.0210407944311802E+17</v>
      </c>
      <c r="F339" s="34" t="s">
        <v>182</v>
      </c>
      <c r="G339" s="34">
        <v>3685532</v>
      </c>
      <c r="H339" s="34">
        <v>1508394</v>
      </c>
      <c r="I339" s="34"/>
      <c r="J339" s="34" t="s">
        <v>180</v>
      </c>
      <c r="K339" s="34" t="s">
        <v>179</v>
      </c>
      <c r="L339" s="34"/>
      <c r="M339" s="34"/>
      <c r="N339" s="34" t="s">
        <v>905</v>
      </c>
      <c r="O339" s="34" t="s">
        <v>850</v>
      </c>
      <c r="P339" s="34"/>
      <c r="Q339" s="34" t="s">
        <v>296</v>
      </c>
      <c r="R339" s="34" t="s">
        <v>906</v>
      </c>
      <c r="S339" s="34"/>
      <c r="T339" s="34" t="s">
        <v>907</v>
      </c>
      <c r="U339" s="34"/>
      <c r="V339" s="34" t="s">
        <v>908</v>
      </c>
      <c r="W339" s="34"/>
      <c r="X339" s="34" t="s">
        <v>909</v>
      </c>
      <c r="Y339" s="34" t="s">
        <v>47</v>
      </c>
      <c r="Z339" s="34">
        <v>21421239</v>
      </c>
      <c r="AA339" s="34" t="s">
        <v>1028</v>
      </c>
      <c r="AB339" s="34" t="s">
        <v>393</v>
      </c>
      <c r="AC339" s="34"/>
      <c r="AD339" s="34">
        <v>15</v>
      </c>
      <c r="AE339" s="34" t="s">
        <v>169</v>
      </c>
      <c r="AF339" s="34"/>
      <c r="AG339" s="34"/>
      <c r="AH339" s="34"/>
      <c r="AI339" s="34">
        <v>44151</v>
      </c>
      <c r="AJ339" s="34">
        <v>50</v>
      </c>
      <c r="AK339" s="34">
        <v>600</v>
      </c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 t="s">
        <v>28</v>
      </c>
      <c r="BH339" s="34"/>
      <c r="BI339" s="34" t="s">
        <v>168</v>
      </c>
      <c r="BJ339" s="34"/>
      <c r="BK339" s="34" t="s">
        <v>50</v>
      </c>
      <c r="BL339" s="34" t="s">
        <v>167</v>
      </c>
      <c r="BM339" s="34" t="s">
        <v>166</v>
      </c>
      <c r="BN339" s="34">
        <v>44296.172197071763</v>
      </c>
      <c r="BO339" s="34"/>
      <c r="BP339" s="34"/>
      <c r="BQ339" s="34"/>
      <c r="BR339" s="34" t="s">
        <v>165</v>
      </c>
      <c r="BS339" s="34">
        <v>4.0407202112765302E+18</v>
      </c>
      <c r="BT339" s="34" t="s">
        <v>164</v>
      </c>
      <c r="BU339" s="34"/>
      <c r="BV339" s="34">
        <v>2020</v>
      </c>
      <c r="BW339" s="34" t="s">
        <v>163</v>
      </c>
      <c r="BX339" s="34"/>
      <c r="BY339" s="34">
        <v>4.0410202112768302E+18</v>
      </c>
      <c r="BZ339" s="34" t="s">
        <v>1529</v>
      </c>
      <c r="CA339" s="34" t="s">
        <v>161</v>
      </c>
    </row>
    <row r="340" spans="1:79" x14ac:dyDescent="0.25">
      <c r="A340" s="34" t="s">
        <v>1523</v>
      </c>
      <c r="B340" s="34" t="s">
        <v>1524</v>
      </c>
      <c r="C340" s="34">
        <v>2020</v>
      </c>
      <c r="D340" s="34" t="s">
        <v>407</v>
      </c>
      <c r="E340" s="34">
        <v>2.0200715925004301E+17</v>
      </c>
      <c r="F340" s="34" t="s">
        <v>182</v>
      </c>
      <c r="G340" s="34">
        <v>5024111</v>
      </c>
      <c r="H340" s="34">
        <v>1424774</v>
      </c>
      <c r="I340" s="34"/>
      <c r="J340" s="34" t="s">
        <v>180</v>
      </c>
      <c r="K340" s="34" t="s">
        <v>179</v>
      </c>
      <c r="L340" s="34" t="s">
        <v>374</v>
      </c>
      <c r="M340" s="34"/>
      <c r="N340" s="34" t="s">
        <v>905</v>
      </c>
      <c r="O340" s="34" t="s">
        <v>75</v>
      </c>
      <c r="P340" s="34"/>
      <c r="Q340" s="34" t="s">
        <v>28</v>
      </c>
      <c r="R340" s="34" t="s">
        <v>906</v>
      </c>
      <c r="S340" s="34"/>
      <c r="T340" s="34" t="s">
        <v>907</v>
      </c>
      <c r="U340" s="34"/>
      <c r="V340" s="34" t="s">
        <v>908</v>
      </c>
      <c r="W340" s="34"/>
      <c r="X340" s="34" t="s">
        <v>909</v>
      </c>
      <c r="Y340" s="34" t="s">
        <v>47</v>
      </c>
      <c r="Z340" s="34">
        <v>21421229</v>
      </c>
      <c r="AA340" s="34" t="s">
        <v>1525</v>
      </c>
      <c r="AB340" s="34" t="s">
        <v>1525</v>
      </c>
      <c r="AC340" s="34" t="s">
        <v>374</v>
      </c>
      <c r="AD340" s="34" t="s">
        <v>345</v>
      </c>
      <c r="AE340" s="34" t="s">
        <v>344</v>
      </c>
      <c r="AF340" s="34"/>
      <c r="AG340" s="34"/>
      <c r="AH340" s="34"/>
      <c r="AI340" s="34">
        <v>44003</v>
      </c>
      <c r="AJ340" s="34">
        <v>50</v>
      </c>
      <c r="AK340" s="34">
        <v>254.5</v>
      </c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 t="s">
        <v>501</v>
      </c>
      <c r="BH340" s="34"/>
      <c r="BI340" s="34" t="s">
        <v>500</v>
      </c>
      <c r="BJ340" s="34">
        <v>2020</v>
      </c>
      <c r="BK340" s="34" t="s">
        <v>50</v>
      </c>
      <c r="BL340" s="34" t="s">
        <v>167</v>
      </c>
      <c r="BM340" s="34" t="s">
        <v>166</v>
      </c>
      <c r="BN340" s="34">
        <v>44050.155368657404</v>
      </c>
      <c r="BO340" s="34"/>
      <c r="BP340" s="34" t="s">
        <v>1530</v>
      </c>
      <c r="BQ340" s="34" t="s">
        <v>419</v>
      </c>
      <c r="BR340" s="34" t="s">
        <v>513</v>
      </c>
      <c r="BS340" s="34">
        <v>4.07162020179085E+18</v>
      </c>
      <c r="BT340" s="34" t="s">
        <v>164</v>
      </c>
      <c r="BU340" s="34" t="s">
        <v>512</v>
      </c>
      <c r="BV340" s="34">
        <v>2020</v>
      </c>
      <c r="BW340" s="34" t="s">
        <v>163</v>
      </c>
      <c r="BX340" s="34"/>
      <c r="BY340" s="34">
        <v>4.0807202018133699E+18</v>
      </c>
      <c r="BZ340" s="34" t="s">
        <v>1531</v>
      </c>
      <c r="CA340" s="34" t="s">
        <v>161</v>
      </c>
    </row>
    <row r="341" spans="1:79" x14ac:dyDescent="0.25">
      <c r="A341" s="34" t="s">
        <v>374</v>
      </c>
      <c r="B341" s="34" t="s">
        <v>287</v>
      </c>
      <c r="C341" s="34">
        <v>2020</v>
      </c>
      <c r="D341" s="34" t="s">
        <v>553</v>
      </c>
      <c r="E341" s="34">
        <v>2.0200720925749901E+17</v>
      </c>
      <c r="F341" s="34" t="s">
        <v>182</v>
      </c>
      <c r="G341" s="34" t="s">
        <v>1532</v>
      </c>
      <c r="H341" s="34">
        <v>1427110</v>
      </c>
      <c r="I341" s="34"/>
      <c r="J341" s="34" t="s">
        <v>180</v>
      </c>
      <c r="K341" s="34" t="s">
        <v>179</v>
      </c>
      <c r="L341" s="34" t="s">
        <v>1118</v>
      </c>
      <c r="M341" s="34"/>
      <c r="N341" s="34" t="s">
        <v>905</v>
      </c>
      <c r="O341" s="34" t="s">
        <v>297</v>
      </c>
      <c r="P341" s="34"/>
      <c r="Q341" s="34" t="s">
        <v>296</v>
      </c>
      <c r="R341" s="34" t="s">
        <v>906</v>
      </c>
      <c r="S341" s="34"/>
      <c r="T341" s="34" t="s">
        <v>907</v>
      </c>
      <c r="U341" s="34"/>
      <c r="V341" s="34" t="s">
        <v>949</v>
      </c>
      <c r="W341" s="34"/>
      <c r="X341" s="34" t="s">
        <v>909</v>
      </c>
      <c r="Y341" s="34" t="s">
        <v>47</v>
      </c>
      <c r="Z341" s="34">
        <v>2142</v>
      </c>
      <c r="AA341" s="34" t="s">
        <v>393</v>
      </c>
      <c r="AB341" s="34" t="s">
        <v>393</v>
      </c>
      <c r="AC341" s="34" t="s">
        <v>1118</v>
      </c>
      <c r="AD341" s="34" t="s">
        <v>383</v>
      </c>
      <c r="AE341" s="34" t="s">
        <v>382</v>
      </c>
      <c r="AF341" s="34" t="s">
        <v>377</v>
      </c>
      <c r="AG341" s="34"/>
      <c r="AH341" s="34"/>
      <c r="AI341" s="34">
        <v>43997</v>
      </c>
      <c r="AJ341" s="34">
        <v>100</v>
      </c>
      <c r="AK341" s="34">
        <v>550</v>
      </c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 t="s">
        <v>28</v>
      </c>
      <c r="BH341" s="34"/>
      <c r="BI341" s="34" t="s">
        <v>168</v>
      </c>
      <c r="BJ341" s="34"/>
      <c r="BK341" s="34" t="s">
        <v>50</v>
      </c>
      <c r="BL341" s="34" t="s">
        <v>167</v>
      </c>
      <c r="BM341" s="34" t="s">
        <v>166</v>
      </c>
      <c r="BN341" s="34">
        <v>44054.283869236111</v>
      </c>
      <c r="BO341" s="34"/>
      <c r="BP341" s="34"/>
      <c r="BQ341" s="34"/>
      <c r="BR341" s="34" t="s">
        <v>165</v>
      </c>
      <c r="BS341" s="34">
        <v>4.0721202017922499E+18</v>
      </c>
      <c r="BT341" s="34" t="s">
        <v>164</v>
      </c>
      <c r="BU341" s="34" t="s">
        <v>1119</v>
      </c>
      <c r="BV341" s="34">
        <v>2020</v>
      </c>
      <c r="BW341" s="34" t="s">
        <v>163</v>
      </c>
      <c r="BX341" s="34"/>
      <c r="BY341" s="34">
        <v>4.08102020182509E+18</v>
      </c>
      <c r="BZ341" s="34" t="s">
        <v>1533</v>
      </c>
      <c r="CA341" s="34" t="s">
        <v>161</v>
      </c>
    </row>
    <row r="342" spans="1:79" x14ac:dyDescent="0.25">
      <c r="A342" s="34" t="s">
        <v>374</v>
      </c>
      <c r="B342" s="34" t="s">
        <v>287</v>
      </c>
      <c r="C342" s="34">
        <v>2020</v>
      </c>
      <c r="D342" s="34" t="s">
        <v>553</v>
      </c>
      <c r="E342" s="34">
        <v>2.0200720925749901E+17</v>
      </c>
      <c r="F342" s="34" t="s">
        <v>182</v>
      </c>
      <c r="G342" s="34" t="s">
        <v>1534</v>
      </c>
      <c r="H342" s="34">
        <v>1427110</v>
      </c>
      <c r="I342" s="34"/>
      <c r="J342" s="34" t="s">
        <v>180</v>
      </c>
      <c r="K342" s="34" t="s">
        <v>179</v>
      </c>
      <c r="L342" s="34"/>
      <c r="M342" s="34"/>
      <c r="N342" s="34" t="s">
        <v>905</v>
      </c>
      <c r="O342" s="34" t="s">
        <v>297</v>
      </c>
      <c r="P342" s="34"/>
      <c r="Q342" s="34" t="s">
        <v>296</v>
      </c>
      <c r="R342" s="34" t="s">
        <v>906</v>
      </c>
      <c r="S342" s="34"/>
      <c r="T342" s="34" t="s">
        <v>907</v>
      </c>
      <c r="U342" s="34"/>
      <c r="V342" s="34" t="s">
        <v>949</v>
      </c>
      <c r="W342" s="34"/>
      <c r="X342" s="34" t="s">
        <v>909</v>
      </c>
      <c r="Y342" s="34" t="s">
        <v>47</v>
      </c>
      <c r="Z342" s="34">
        <v>2142</v>
      </c>
      <c r="AA342" s="34" t="s">
        <v>393</v>
      </c>
      <c r="AB342" s="34" t="s">
        <v>393</v>
      </c>
      <c r="AC342" s="34"/>
      <c r="AD342" s="34">
        <v>15</v>
      </c>
      <c r="AE342" s="34" t="s">
        <v>169</v>
      </c>
      <c r="AF342" s="34" t="s">
        <v>364</v>
      </c>
      <c r="AG342" s="34"/>
      <c r="AH342" s="34"/>
      <c r="AI342" s="34">
        <v>43998</v>
      </c>
      <c r="AJ342" s="34">
        <v>10</v>
      </c>
      <c r="AK342" s="34">
        <v>264.8</v>
      </c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 t="s">
        <v>28</v>
      </c>
      <c r="BH342" s="34"/>
      <c r="BI342" s="34" t="s">
        <v>168</v>
      </c>
      <c r="BJ342" s="34"/>
      <c r="BK342" s="34" t="s">
        <v>50</v>
      </c>
      <c r="BL342" s="34" t="s">
        <v>167</v>
      </c>
      <c r="BM342" s="34" t="s">
        <v>166</v>
      </c>
      <c r="BN342" s="34">
        <v>44054.283869236111</v>
      </c>
      <c r="BO342" s="34"/>
      <c r="BP342" s="34"/>
      <c r="BQ342" s="34"/>
      <c r="BR342" s="34" t="s">
        <v>165</v>
      </c>
      <c r="BS342" s="34">
        <v>4.0721202017922499E+18</v>
      </c>
      <c r="BT342" s="34" t="s">
        <v>164</v>
      </c>
      <c r="BU342" s="34" t="s">
        <v>362</v>
      </c>
      <c r="BV342" s="34">
        <v>2020</v>
      </c>
      <c r="BW342" s="34" t="s">
        <v>163</v>
      </c>
      <c r="BX342" s="34"/>
      <c r="BY342" s="34">
        <v>4.08102020182509E+18</v>
      </c>
      <c r="BZ342" s="34" t="s">
        <v>1535</v>
      </c>
      <c r="CA342" s="34" t="s">
        <v>161</v>
      </c>
    </row>
    <row r="343" spans="1:79" x14ac:dyDescent="0.25">
      <c r="A343" s="34" t="s">
        <v>374</v>
      </c>
      <c r="B343" s="34" t="s">
        <v>287</v>
      </c>
      <c r="C343" s="34">
        <v>2020</v>
      </c>
      <c r="D343" s="34" t="s">
        <v>553</v>
      </c>
      <c r="E343" s="34">
        <v>2.0200720925749901E+17</v>
      </c>
      <c r="F343" s="34" t="s">
        <v>182</v>
      </c>
      <c r="G343" s="34" t="s">
        <v>1536</v>
      </c>
      <c r="H343" s="34">
        <v>1427110</v>
      </c>
      <c r="I343" s="34"/>
      <c r="J343" s="34" t="s">
        <v>180</v>
      </c>
      <c r="K343" s="34" t="s">
        <v>179</v>
      </c>
      <c r="L343" s="34" t="s">
        <v>1433</v>
      </c>
      <c r="M343" s="34"/>
      <c r="N343" s="34" t="s">
        <v>905</v>
      </c>
      <c r="O343" s="34" t="s">
        <v>297</v>
      </c>
      <c r="P343" s="34"/>
      <c r="Q343" s="34" t="s">
        <v>296</v>
      </c>
      <c r="R343" s="34" t="s">
        <v>906</v>
      </c>
      <c r="S343" s="34"/>
      <c r="T343" s="34" t="s">
        <v>907</v>
      </c>
      <c r="U343" s="34"/>
      <c r="V343" s="34" t="s">
        <v>949</v>
      </c>
      <c r="W343" s="34"/>
      <c r="X343" s="34" t="s">
        <v>909</v>
      </c>
      <c r="Y343" s="34" t="s">
        <v>47</v>
      </c>
      <c r="Z343" s="34">
        <v>2142</v>
      </c>
      <c r="AA343" s="34" t="s">
        <v>393</v>
      </c>
      <c r="AB343" s="34" t="s">
        <v>393</v>
      </c>
      <c r="AC343" s="34" t="s">
        <v>1433</v>
      </c>
      <c r="AD343" s="34" t="s">
        <v>383</v>
      </c>
      <c r="AE343" s="34" t="s">
        <v>382</v>
      </c>
      <c r="AF343" s="34" t="s">
        <v>377</v>
      </c>
      <c r="AG343" s="34"/>
      <c r="AH343" s="34"/>
      <c r="AI343" s="34">
        <v>43998</v>
      </c>
      <c r="AJ343" s="34">
        <v>100</v>
      </c>
      <c r="AK343" s="34">
        <v>500</v>
      </c>
      <c r="AL343" s="34" t="s">
        <v>1474</v>
      </c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 t="s">
        <v>28</v>
      </c>
      <c r="BH343" s="34"/>
      <c r="BI343" s="34" t="s">
        <v>168</v>
      </c>
      <c r="BJ343" s="34"/>
      <c r="BK343" s="34" t="s">
        <v>50</v>
      </c>
      <c r="BL343" s="34" t="s">
        <v>167</v>
      </c>
      <c r="BM343" s="34" t="s">
        <v>166</v>
      </c>
      <c r="BN343" s="34">
        <v>44054.283869236111</v>
      </c>
      <c r="BO343" s="34"/>
      <c r="BP343" s="34"/>
      <c r="BQ343" s="34"/>
      <c r="BR343" s="34" t="s">
        <v>165</v>
      </c>
      <c r="BS343" s="34">
        <v>4.0721202017922499E+18</v>
      </c>
      <c r="BT343" s="34" t="s">
        <v>164</v>
      </c>
      <c r="BU343" s="34" t="s">
        <v>400</v>
      </c>
      <c r="BV343" s="34">
        <v>2020</v>
      </c>
      <c r="BW343" s="34" t="s">
        <v>163</v>
      </c>
      <c r="BX343" s="34"/>
      <c r="BY343" s="34">
        <v>4.08102020182509E+18</v>
      </c>
      <c r="BZ343" s="34" t="s">
        <v>1537</v>
      </c>
      <c r="CA343" s="34" t="s">
        <v>161</v>
      </c>
    </row>
    <row r="344" spans="1:79" x14ac:dyDescent="0.25">
      <c r="A344" s="34" t="s">
        <v>374</v>
      </c>
      <c r="B344" s="34" t="s">
        <v>287</v>
      </c>
      <c r="C344" s="34">
        <v>2020</v>
      </c>
      <c r="D344" s="34" t="s">
        <v>553</v>
      </c>
      <c r="E344" s="34">
        <v>2.0200720925749901E+17</v>
      </c>
      <c r="F344" s="34" t="s">
        <v>182</v>
      </c>
      <c r="G344" s="34" t="s">
        <v>1538</v>
      </c>
      <c r="H344" s="34">
        <v>1427110</v>
      </c>
      <c r="I344" s="34"/>
      <c r="J344" s="34" t="s">
        <v>180</v>
      </c>
      <c r="K344" s="34" t="s">
        <v>179</v>
      </c>
      <c r="L344" s="34"/>
      <c r="M344" s="34"/>
      <c r="N344" s="34" t="s">
        <v>905</v>
      </c>
      <c r="O344" s="34" t="s">
        <v>297</v>
      </c>
      <c r="P344" s="34"/>
      <c r="Q344" s="34" t="s">
        <v>296</v>
      </c>
      <c r="R344" s="34" t="s">
        <v>906</v>
      </c>
      <c r="S344" s="34"/>
      <c r="T344" s="34" t="s">
        <v>907</v>
      </c>
      <c r="U344" s="34"/>
      <c r="V344" s="34" t="s">
        <v>949</v>
      </c>
      <c r="W344" s="34"/>
      <c r="X344" s="34" t="s">
        <v>909</v>
      </c>
      <c r="Y344" s="34" t="s">
        <v>47</v>
      </c>
      <c r="Z344" s="34">
        <v>2142</v>
      </c>
      <c r="AA344" s="34" t="s">
        <v>393</v>
      </c>
      <c r="AB344" s="34" t="s">
        <v>393</v>
      </c>
      <c r="AC344" s="34"/>
      <c r="AD344" s="34">
        <v>15</v>
      </c>
      <c r="AE344" s="34" t="s">
        <v>169</v>
      </c>
      <c r="AF344" s="34" t="s">
        <v>364</v>
      </c>
      <c r="AG344" s="34"/>
      <c r="AH344" s="34"/>
      <c r="AI344" s="34">
        <v>44003</v>
      </c>
      <c r="AJ344" s="34">
        <v>10</v>
      </c>
      <c r="AK344" s="34">
        <v>264.8</v>
      </c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 t="s">
        <v>28</v>
      </c>
      <c r="BH344" s="34"/>
      <c r="BI344" s="34" t="s">
        <v>168</v>
      </c>
      <c r="BJ344" s="34"/>
      <c r="BK344" s="34" t="s">
        <v>50</v>
      </c>
      <c r="BL344" s="34" t="s">
        <v>167</v>
      </c>
      <c r="BM344" s="34" t="s">
        <v>166</v>
      </c>
      <c r="BN344" s="34">
        <v>44054.283869236111</v>
      </c>
      <c r="BO344" s="34"/>
      <c r="BP344" s="34"/>
      <c r="BQ344" s="34"/>
      <c r="BR344" s="34" t="s">
        <v>165</v>
      </c>
      <c r="BS344" s="34">
        <v>4.0721202017922499E+18</v>
      </c>
      <c r="BT344" s="34" t="s">
        <v>164</v>
      </c>
      <c r="BU344" s="34" t="s">
        <v>362</v>
      </c>
      <c r="BV344" s="34">
        <v>2020</v>
      </c>
      <c r="BW344" s="34" t="s">
        <v>163</v>
      </c>
      <c r="BX344" s="34"/>
      <c r="BY344" s="34">
        <v>4.08102020182509E+18</v>
      </c>
      <c r="BZ344" s="34" t="s">
        <v>1539</v>
      </c>
      <c r="CA344" s="34" t="s">
        <v>161</v>
      </c>
    </row>
    <row r="345" spans="1:79" x14ac:dyDescent="0.25">
      <c r="A345" s="34" t="s">
        <v>374</v>
      </c>
      <c r="B345" s="34" t="s">
        <v>287</v>
      </c>
      <c r="C345" s="34">
        <v>2020</v>
      </c>
      <c r="D345" s="34" t="s">
        <v>553</v>
      </c>
      <c r="E345" s="34">
        <v>2.0200720925749901E+17</v>
      </c>
      <c r="F345" s="34" t="s">
        <v>182</v>
      </c>
      <c r="G345" s="34" t="s">
        <v>1540</v>
      </c>
      <c r="H345" s="34">
        <v>1427110</v>
      </c>
      <c r="I345" s="34"/>
      <c r="J345" s="34" t="s">
        <v>180</v>
      </c>
      <c r="K345" s="34" t="s">
        <v>179</v>
      </c>
      <c r="L345" s="34"/>
      <c r="M345" s="34"/>
      <c r="N345" s="34" t="s">
        <v>905</v>
      </c>
      <c r="O345" s="34" t="s">
        <v>297</v>
      </c>
      <c r="P345" s="34"/>
      <c r="Q345" s="34" t="s">
        <v>296</v>
      </c>
      <c r="R345" s="34" t="s">
        <v>906</v>
      </c>
      <c r="S345" s="34"/>
      <c r="T345" s="34" t="s">
        <v>907</v>
      </c>
      <c r="U345" s="34"/>
      <c r="V345" s="34" t="s">
        <v>949</v>
      </c>
      <c r="W345" s="34"/>
      <c r="X345" s="34" t="s">
        <v>909</v>
      </c>
      <c r="Y345" s="34" t="s">
        <v>47</v>
      </c>
      <c r="Z345" s="34">
        <v>2142</v>
      </c>
      <c r="AA345" s="34" t="s">
        <v>393</v>
      </c>
      <c r="AB345" s="34" t="s">
        <v>393</v>
      </c>
      <c r="AC345" s="34"/>
      <c r="AD345" s="34"/>
      <c r="AE345" s="34"/>
      <c r="AF345" s="34" t="s">
        <v>377</v>
      </c>
      <c r="AG345" s="34"/>
      <c r="AH345" s="34"/>
      <c r="AI345" s="34">
        <v>43998</v>
      </c>
      <c r="AJ345" s="34">
        <v>20</v>
      </c>
      <c r="AK345" s="34">
        <v>20</v>
      </c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 t="s">
        <v>50</v>
      </c>
      <c r="BL345" s="34" t="s">
        <v>167</v>
      </c>
      <c r="BM345" s="34" t="s">
        <v>166</v>
      </c>
      <c r="BN345" s="34">
        <v>44054.300185300926</v>
      </c>
      <c r="BO345" s="34"/>
      <c r="BP345" s="34"/>
      <c r="BQ345" s="34"/>
      <c r="BR345" s="34" t="s">
        <v>165</v>
      </c>
      <c r="BS345" s="34">
        <v>4.0721202017922499E+18</v>
      </c>
      <c r="BT345" s="34" t="s">
        <v>164</v>
      </c>
      <c r="BU345" s="34" t="s">
        <v>658</v>
      </c>
      <c r="BV345" s="34">
        <v>2020</v>
      </c>
      <c r="BW345" s="34" t="s">
        <v>163</v>
      </c>
      <c r="BX345" s="34"/>
      <c r="BY345" s="34">
        <v>4.08102020182509E+18</v>
      </c>
      <c r="BZ345" s="34" t="s">
        <v>1537</v>
      </c>
      <c r="CA345" s="34" t="s">
        <v>161</v>
      </c>
    </row>
    <row r="346" spans="1:79" x14ac:dyDescent="0.25">
      <c r="A346" s="34" t="s">
        <v>374</v>
      </c>
      <c r="B346" s="34" t="s">
        <v>287</v>
      </c>
      <c r="C346" s="34">
        <v>2020</v>
      </c>
      <c r="D346" s="34" t="s">
        <v>553</v>
      </c>
      <c r="E346" s="34">
        <v>2.0200720925749901E+17</v>
      </c>
      <c r="F346" s="34" t="s">
        <v>182</v>
      </c>
      <c r="G346" s="34" t="s">
        <v>1541</v>
      </c>
      <c r="H346" s="34">
        <v>1427110</v>
      </c>
      <c r="I346" s="34"/>
      <c r="J346" s="34" t="s">
        <v>180</v>
      </c>
      <c r="K346" s="34" t="s">
        <v>179</v>
      </c>
      <c r="L346" s="34"/>
      <c r="M346" s="34"/>
      <c r="N346" s="34" t="s">
        <v>905</v>
      </c>
      <c r="O346" s="34" t="s">
        <v>297</v>
      </c>
      <c r="P346" s="34"/>
      <c r="Q346" s="34" t="s">
        <v>296</v>
      </c>
      <c r="R346" s="34" t="s">
        <v>906</v>
      </c>
      <c r="S346" s="34"/>
      <c r="T346" s="34" t="s">
        <v>907</v>
      </c>
      <c r="U346" s="34"/>
      <c r="V346" s="34" t="s">
        <v>949</v>
      </c>
      <c r="W346" s="34"/>
      <c r="X346" s="34" t="s">
        <v>909</v>
      </c>
      <c r="Y346" s="34" t="s">
        <v>47</v>
      </c>
      <c r="Z346" s="34">
        <v>2142</v>
      </c>
      <c r="AA346" s="34" t="s">
        <v>393</v>
      </c>
      <c r="AB346" s="34" t="s">
        <v>393</v>
      </c>
      <c r="AC346" s="34"/>
      <c r="AD346" s="34">
        <v>15</v>
      </c>
      <c r="AE346" s="34" t="s">
        <v>169</v>
      </c>
      <c r="AF346" s="34" t="s">
        <v>364</v>
      </c>
      <c r="AG346" s="34"/>
      <c r="AH346" s="34"/>
      <c r="AI346" s="34">
        <v>44003</v>
      </c>
      <c r="AJ346" s="34">
        <v>2.5</v>
      </c>
      <c r="AK346" s="34">
        <v>264.8</v>
      </c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 t="s">
        <v>28</v>
      </c>
      <c r="BH346" s="34"/>
      <c r="BI346" s="34" t="s">
        <v>168</v>
      </c>
      <c r="BJ346" s="34"/>
      <c r="BK346" s="34" t="s">
        <v>50</v>
      </c>
      <c r="BL346" s="34" t="s">
        <v>167</v>
      </c>
      <c r="BM346" s="34" t="s">
        <v>166</v>
      </c>
      <c r="BN346" s="34">
        <v>44054.300185300926</v>
      </c>
      <c r="BO346" s="34"/>
      <c r="BP346" s="34"/>
      <c r="BQ346" s="34"/>
      <c r="BR346" s="34" t="s">
        <v>165</v>
      </c>
      <c r="BS346" s="34">
        <v>4.0721202017922499E+18</v>
      </c>
      <c r="BT346" s="34" t="s">
        <v>164</v>
      </c>
      <c r="BU346" s="34" t="s">
        <v>362</v>
      </c>
      <c r="BV346" s="34">
        <v>2020</v>
      </c>
      <c r="BW346" s="34" t="s">
        <v>163</v>
      </c>
      <c r="BX346" s="34"/>
      <c r="BY346" s="34">
        <v>4.08102020182509E+18</v>
      </c>
      <c r="BZ346" s="34" t="s">
        <v>1542</v>
      </c>
      <c r="CA346" s="34" t="s">
        <v>161</v>
      </c>
    </row>
    <row r="347" spans="1:79" x14ac:dyDescent="0.25">
      <c r="A347" s="34" t="s">
        <v>374</v>
      </c>
      <c r="B347" s="34" t="s">
        <v>287</v>
      </c>
      <c r="C347" s="34">
        <v>2020</v>
      </c>
      <c r="D347" s="34" t="s">
        <v>553</v>
      </c>
      <c r="E347" s="34">
        <v>2.0200720925749901E+17</v>
      </c>
      <c r="F347" s="34" t="s">
        <v>182</v>
      </c>
      <c r="G347" s="34" t="s">
        <v>1543</v>
      </c>
      <c r="H347" s="34">
        <v>1427110</v>
      </c>
      <c r="I347" s="34"/>
      <c r="J347" s="34" t="s">
        <v>180</v>
      </c>
      <c r="K347" s="34" t="s">
        <v>179</v>
      </c>
      <c r="L347" s="34"/>
      <c r="M347" s="34"/>
      <c r="N347" s="34" t="s">
        <v>905</v>
      </c>
      <c r="O347" s="34" t="s">
        <v>297</v>
      </c>
      <c r="P347" s="34"/>
      <c r="Q347" s="34" t="s">
        <v>296</v>
      </c>
      <c r="R347" s="34" t="s">
        <v>906</v>
      </c>
      <c r="S347" s="34"/>
      <c r="T347" s="34" t="s">
        <v>907</v>
      </c>
      <c r="U347" s="34"/>
      <c r="V347" s="34" t="s">
        <v>949</v>
      </c>
      <c r="W347" s="34"/>
      <c r="X347" s="34" t="s">
        <v>909</v>
      </c>
      <c r="Y347" s="34" t="s">
        <v>47</v>
      </c>
      <c r="Z347" s="34">
        <v>2142</v>
      </c>
      <c r="AA347" s="34" t="s">
        <v>393</v>
      </c>
      <c r="AB347" s="34" t="s">
        <v>393</v>
      </c>
      <c r="AC347" s="34"/>
      <c r="AD347" s="34">
        <v>15</v>
      </c>
      <c r="AE347" s="34" t="s">
        <v>169</v>
      </c>
      <c r="AF347" s="34" t="s">
        <v>364</v>
      </c>
      <c r="AG347" s="34"/>
      <c r="AH347" s="34"/>
      <c r="AI347" s="34">
        <v>43987</v>
      </c>
      <c r="AJ347" s="34">
        <v>2.5</v>
      </c>
      <c r="AK347" s="34">
        <v>264.8</v>
      </c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 t="s">
        <v>28</v>
      </c>
      <c r="BH347" s="34"/>
      <c r="BI347" s="34" t="s">
        <v>168</v>
      </c>
      <c r="BJ347" s="34"/>
      <c r="BK347" s="34" t="s">
        <v>50</v>
      </c>
      <c r="BL347" s="34" t="s">
        <v>167</v>
      </c>
      <c r="BM347" s="34" t="s">
        <v>166</v>
      </c>
      <c r="BN347" s="34">
        <v>44054.315991875003</v>
      </c>
      <c r="BO347" s="34"/>
      <c r="BP347" s="34"/>
      <c r="BQ347" s="34"/>
      <c r="BR347" s="34" t="s">
        <v>165</v>
      </c>
      <c r="BS347" s="34">
        <v>4.0721202017922499E+18</v>
      </c>
      <c r="BT347" s="34" t="s">
        <v>164</v>
      </c>
      <c r="BU347" s="34" t="s">
        <v>362</v>
      </c>
      <c r="BV347" s="34">
        <v>2020</v>
      </c>
      <c r="BW347" s="34" t="s">
        <v>163</v>
      </c>
      <c r="BX347" s="34"/>
      <c r="BY347" s="34">
        <v>4.08102020182509E+18</v>
      </c>
      <c r="BZ347" s="34" t="s">
        <v>1544</v>
      </c>
      <c r="CA347" s="34" t="s">
        <v>161</v>
      </c>
    </row>
    <row r="348" spans="1:79" x14ac:dyDescent="0.25">
      <c r="A348" s="34" t="s">
        <v>374</v>
      </c>
      <c r="B348" s="34" t="s">
        <v>287</v>
      </c>
      <c r="C348" s="34">
        <v>2020</v>
      </c>
      <c r="D348" s="34" t="s">
        <v>553</v>
      </c>
      <c r="E348" s="34">
        <v>2.0200720925749901E+17</v>
      </c>
      <c r="F348" s="34" t="s">
        <v>182</v>
      </c>
      <c r="G348" s="34" t="s">
        <v>1545</v>
      </c>
      <c r="H348" s="34">
        <v>1427110</v>
      </c>
      <c r="I348" s="34"/>
      <c r="J348" s="34" t="s">
        <v>180</v>
      </c>
      <c r="K348" s="34" t="s">
        <v>179</v>
      </c>
      <c r="L348" s="34"/>
      <c r="M348" s="34"/>
      <c r="N348" s="34" t="s">
        <v>905</v>
      </c>
      <c r="O348" s="34" t="s">
        <v>297</v>
      </c>
      <c r="P348" s="34"/>
      <c r="Q348" s="34" t="s">
        <v>296</v>
      </c>
      <c r="R348" s="34" t="s">
        <v>906</v>
      </c>
      <c r="S348" s="34"/>
      <c r="T348" s="34" t="s">
        <v>907</v>
      </c>
      <c r="U348" s="34"/>
      <c r="V348" s="34" t="s">
        <v>949</v>
      </c>
      <c r="W348" s="34"/>
      <c r="X348" s="34" t="s">
        <v>909</v>
      </c>
      <c r="Y348" s="34" t="s">
        <v>47</v>
      </c>
      <c r="Z348" s="34">
        <v>2142</v>
      </c>
      <c r="AA348" s="34" t="s">
        <v>393</v>
      </c>
      <c r="AB348" s="34" t="s">
        <v>393</v>
      </c>
      <c r="AC348" s="34"/>
      <c r="AD348" s="34">
        <v>15</v>
      </c>
      <c r="AE348" s="34" t="s">
        <v>169</v>
      </c>
      <c r="AF348" s="34" t="s">
        <v>364</v>
      </c>
      <c r="AG348" s="34"/>
      <c r="AH348" s="34"/>
      <c r="AI348" s="34">
        <v>43996</v>
      </c>
      <c r="AJ348" s="34">
        <v>2.5</v>
      </c>
      <c r="AK348" s="34">
        <v>264.8</v>
      </c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 t="s">
        <v>28</v>
      </c>
      <c r="BH348" s="34"/>
      <c r="BI348" s="34" t="s">
        <v>168</v>
      </c>
      <c r="BJ348" s="34"/>
      <c r="BK348" s="34" t="s">
        <v>50</v>
      </c>
      <c r="BL348" s="34" t="s">
        <v>167</v>
      </c>
      <c r="BM348" s="34" t="s">
        <v>166</v>
      </c>
      <c r="BN348" s="34">
        <v>44054.315991875003</v>
      </c>
      <c r="BO348" s="34"/>
      <c r="BP348" s="34"/>
      <c r="BQ348" s="34"/>
      <c r="BR348" s="34" t="s">
        <v>165</v>
      </c>
      <c r="BS348" s="34">
        <v>4.0721202017922499E+18</v>
      </c>
      <c r="BT348" s="34" t="s">
        <v>164</v>
      </c>
      <c r="BU348" s="34" t="s">
        <v>362</v>
      </c>
      <c r="BV348" s="34">
        <v>2020</v>
      </c>
      <c r="BW348" s="34" t="s">
        <v>163</v>
      </c>
      <c r="BX348" s="34"/>
      <c r="BY348" s="34">
        <v>4.08102020182509E+18</v>
      </c>
      <c r="BZ348" s="34" t="s">
        <v>1546</v>
      </c>
      <c r="CA348" s="34" t="s">
        <v>161</v>
      </c>
    </row>
    <row r="349" spans="1:79" x14ac:dyDescent="0.25">
      <c r="A349" s="34" t="s">
        <v>374</v>
      </c>
      <c r="B349" s="34" t="s">
        <v>287</v>
      </c>
      <c r="C349" s="34">
        <v>2020</v>
      </c>
      <c r="D349" s="34" t="s">
        <v>553</v>
      </c>
      <c r="E349" s="34">
        <v>2.0200720925749901E+17</v>
      </c>
      <c r="F349" s="34" t="s">
        <v>182</v>
      </c>
      <c r="G349" s="34" t="s">
        <v>1547</v>
      </c>
      <c r="H349" s="34">
        <v>1427110</v>
      </c>
      <c r="I349" s="34"/>
      <c r="J349" s="34" t="s">
        <v>180</v>
      </c>
      <c r="K349" s="34" t="s">
        <v>179</v>
      </c>
      <c r="L349" s="34" t="s">
        <v>1523</v>
      </c>
      <c r="M349" s="34"/>
      <c r="N349" s="34" t="s">
        <v>905</v>
      </c>
      <c r="O349" s="34" t="s">
        <v>297</v>
      </c>
      <c r="P349" s="34"/>
      <c r="Q349" s="34" t="s">
        <v>296</v>
      </c>
      <c r="R349" s="34" t="s">
        <v>906</v>
      </c>
      <c r="S349" s="34"/>
      <c r="T349" s="34" t="s">
        <v>907</v>
      </c>
      <c r="U349" s="34"/>
      <c r="V349" s="34" t="s">
        <v>949</v>
      </c>
      <c r="W349" s="34"/>
      <c r="X349" s="34" t="s">
        <v>909</v>
      </c>
      <c r="Y349" s="34" t="s">
        <v>47</v>
      </c>
      <c r="Z349" s="34">
        <v>2142</v>
      </c>
      <c r="AA349" s="34" t="s">
        <v>393</v>
      </c>
      <c r="AB349" s="34" t="s">
        <v>393</v>
      </c>
      <c r="AC349" s="34" t="s">
        <v>1523</v>
      </c>
      <c r="AD349" s="34" t="s">
        <v>383</v>
      </c>
      <c r="AE349" s="34" t="s">
        <v>382</v>
      </c>
      <c r="AF349" s="34" t="s">
        <v>377</v>
      </c>
      <c r="AG349" s="34"/>
      <c r="AH349" s="34"/>
      <c r="AI349" s="34">
        <v>43998</v>
      </c>
      <c r="AJ349" s="34">
        <v>20</v>
      </c>
      <c r="AK349" s="34">
        <v>254.5</v>
      </c>
      <c r="AL349" s="34" t="s">
        <v>1548</v>
      </c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 t="s">
        <v>28</v>
      </c>
      <c r="BH349" s="34"/>
      <c r="BI349" s="34" t="s">
        <v>168</v>
      </c>
      <c r="BJ349" s="34"/>
      <c r="BK349" s="34" t="s">
        <v>50</v>
      </c>
      <c r="BL349" s="34" t="s">
        <v>167</v>
      </c>
      <c r="BM349" s="34" t="s">
        <v>166</v>
      </c>
      <c r="BN349" s="34">
        <v>44054.315991875003</v>
      </c>
      <c r="BO349" s="34"/>
      <c r="BP349" s="34"/>
      <c r="BQ349" s="34"/>
      <c r="BR349" s="34" t="s">
        <v>165</v>
      </c>
      <c r="BS349" s="34">
        <v>4.0721202017922499E+18</v>
      </c>
      <c r="BT349" s="34" t="s">
        <v>164</v>
      </c>
      <c r="BU349" s="34" t="s">
        <v>1253</v>
      </c>
      <c r="BV349" s="34">
        <v>2020</v>
      </c>
      <c r="BW349" s="34" t="s">
        <v>163</v>
      </c>
      <c r="BX349" s="34"/>
      <c r="BY349" s="34">
        <v>4.08102020182509E+18</v>
      </c>
      <c r="BZ349" s="34" t="s">
        <v>1535</v>
      </c>
      <c r="CA349" s="34" t="s">
        <v>161</v>
      </c>
    </row>
    <row r="350" spans="1:79" x14ac:dyDescent="0.25">
      <c r="A350" s="34" t="s">
        <v>374</v>
      </c>
      <c r="B350" s="34" t="s">
        <v>287</v>
      </c>
      <c r="C350" s="34">
        <v>2020</v>
      </c>
      <c r="D350" s="34" t="s">
        <v>553</v>
      </c>
      <c r="E350" s="34">
        <v>2.0200720925749901E+17</v>
      </c>
      <c r="F350" s="34" t="s">
        <v>182</v>
      </c>
      <c r="G350" s="34" t="s">
        <v>1549</v>
      </c>
      <c r="H350" s="34">
        <v>1427110</v>
      </c>
      <c r="I350" s="34"/>
      <c r="J350" s="34" t="s">
        <v>180</v>
      </c>
      <c r="K350" s="34" t="s">
        <v>179</v>
      </c>
      <c r="L350" s="34"/>
      <c r="M350" s="34"/>
      <c r="N350" s="34" t="s">
        <v>905</v>
      </c>
      <c r="O350" s="34" t="s">
        <v>297</v>
      </c>
      <c r="P350" s="34"/>
      <c r="Q350" s="34" t="s">
        <v>296</v>
      </c>
      <c r="R350" s="34" t="s">
        <v>906</v>
      </c>
      <c r="S350" s="34"/>
      <c r="T350" s="34" t="s">
        <v>907</v>
      </c>
      <c r="U350" s="34"/>
      <c r="V350" s="34" t="s">
        <v>949</v>
      </c>
      <c r="W350" s="34"/>
      <c r="X350" s="34" t="s">
        <v>909</v>
      </c>
      <c r="Y350" s="34" t="s">
        <v>47</v>
      </c>
      <c r="Z350" s="34">
        <v>2142</v>
      </c>
      <c r="AA350" s="34" t="s">
        <v>393</v>
      </c>
      <c r="AB350" s="34" t="s">
        <v>393</v>
      </c>
      <c r="AC350" s="34"/>
      <c r="AD350" s="34"/>
      <c r="AE350" s="34"/>
      <c r="AF350" s="34" t="s">
        <v>377</v>
      </c>
      <c r="AG350" s="34"/>
      <c r="AH350" s="34"/>
      <c r="AI350" s="34">
        <v>43998</v>
      </c>
      <c r="AJ350" s="34">
        <v>20</v>
      </c>
      <c r="AK350" s="34">
        <v>20</v>
      </c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 t="s">
        <v>50</v>
      </c>
      <c r="BL350" s="34" t="s">
        <v>167</v>
      </c>
      <c r="BM350" s="34" t="s">
        <v>166</v>
      </c>
      <c r="BN350" s="34">
        <v>44054.315991875003</v>
      </c>
      <c r="BO350" s="34"/>
      <c r="BP350" s="34"/>
      <c r="BQ350" s="34"/>
      <c r="BR350" s="34" t="s">
        <v>165</v>
      </c>
      <c r="BS350" s="34">
        <v>4.0721202017922499E+18</v>
      </c>
      <c r="BT350" s="34" t="s">
        <v>164</v>
      </c>
      <c r="BU350" s="34" t="s">
        <v>650</v>
      </c>
      <c r="BV350" s="34">
        <v>2020</v>
      </c>
      <c r="BW350" s="34" t="s">
        <v>163</v>
      </c>
      <c r="BX350" s="34"/>
      <c r="BY350" s="34">
        <v>4.08102020182509E+18</v>
      </c>
      <c r="BZ350" s="34" t="s">
        <v>1537</v>
      </c>
      <c r="CA350" s="34" t="s">
        <v>161</v>
      </c>
    </row>
    <row r="351" spans="1:79" x14ac:dyDescent="0.25">
      <c r="A351" s="34" t="s">
        <v>374</v>
      </c>
      <c r="B351" s="34" t="s">
        <v>287</v>
      </c>
      <c r="C351" s="34">
        <v>2020</v>
      </c>
      <c r="D351" s="34" t="s">
        <v>553</v>
      </c>
      <c r="E351" s="34">
        <v>2.0200720925749901E+17</v>
      </c>
      <c r="F351" s="34" t="s">
        <v>182</v>
      </c>
      <c r="G351" s="34" t="s">
        <v>1550</v>
      </c>
      <c r="H351" s="34">
        <v>1427110</v>
      </c>
      <c r="I351" s="34"/>
      <c r="J351" s="34" t="s">
        <v>180</v>
      </c>
      <c r="K351" s="34" t="s">
        <v>179</v>
      </c>
      <c r="L351" s="34" t="s">
        <v>1523</v>
      </c>
      <c r="M351" s="34"/>
      <c r="N351" s="34" t="s">
        <v>905</v>
      </c>
      <c r="O351" s="34" t="s">
        <v>297</v>
      </c>
      <c r="P351" s="34"/>
      <c r="Q351" s="34" t="s">
        <v>296</v>
      </c>
      <c r="R351" s="34" t="s">
        <v>906</v>
      </c>
      <c r="S351" s="34"/>
      <c r="T351" s="34" t="s">
        <v>907</v>
      </c>
      <c r="U351" s="34"/>
      <c r="V351" s="34" t="s">
        <v>949</v>
      </c>
      <c r="W351" s="34"/>
      <c r="X351" s="34" t="s">
        <v>909</v>
      </c>
      <c r="Y351" s="34" t="s">
        <v>47</v>
      </c>
      <c r="Z351" s="34">
        <v>2142</v>
      </c>
      <c r="AA351" s="34" t="s">
        <v>393</v>
      </c>
      <c r="AB351" s="34" t="s">
        <v>393</v>
      </c>
      <c r="AC351" s="34" t="s">
        <v>1523</v>
      </c>
      <c r="AD351" s="34" t="s">
        <v>383</v>
      </c>
      <c r="AE351" s="34" t="s">
        <v>382</v>
      </c>
      <c r="AF351" s="34" t="s">
        <v>377</v>
      </c>
      <c r="AG351" s="34"/>
      <c r="AH351" s="34"/>
      <c r="AI351" s="34">
        <v>44003</v>
      </c>
      <c r="AJ351" s="34">
        <v>50</v>
      </c>
      <c r="AK351" s="34">
        <v>254.5</v>
      </c>
      <c r="AL351" s="34" t="s">
        <v>1548</v>
      </c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 t="s">
        <v>28</v>
      </c>
      <c r="BH351" s="34"/>
      <c r="BI351" s="34" t="s">
        <v>168</v>
      </c>
      <c r="BJ351" s="34"/>
      <c r="BK351" s="34" t="s">
        <v>50</v>
      </c>
      <c r="BL351" s="34" t="s">
        <v>167</v>
      </c>
      <c r="BM351" s="34" t="s">
        <v>166</v>
      </c>
      <c r="BN351" s="34">
        <v>44054.315991886571</v>
      </c>
      <c r="BO351" s="34"/>
      <c r="BP351" s="34"/>
      <c r="BQ351" s="34"/>
      <c r="BR351" s="34" t="s">
        <v>165</v>
      </c>
      <c r="BS351" s="34">
        <v>4.0721202017922499E+18</v>
      </c>
      <c r="BT351" s="34" t="s">
        <v>164</v>
      </c>
      <c r="BU351" s="34" t="s">
        <v>1253</v>
      </c>
      <c r="BV351" s="34">
        <v>2020</v>
      </c>
      <c r="BW351" s="34" t="s">
        <v>163</v>
      </c>
      <c r="BX351" s="34"/>
      <c r="BY351" s="34">
        <v>4.08102020182509E+18</v>
      </c>
      <c r="BZ351" s="34" t="s">
        <v>1539</v>
      </c>
      <c r="CA351" s="34" t="s">
        <v>161</v>
      </c>
    </row>
    <row r="352" spans="1:79" x14ac:dyDescent="0.25">
      <c r="A352" s="34" t="s">
        <v>374</v>
      </c>
      <c r="B352" s="34" t="s">
        <v>287</v>
      </c>
      <c r="C352" s="34">
        <v>2020</v>
      </c>
      <c r="D352" s="34" t="s">
        <v>553</v>
      </c>
      <c r="E352" s="34">
        <v>2.0200720925749901E+17</v>
      </c>
      <c r="F352" s="34" t="s">
        <v>182</v>
      </c>
      <c r="G352" s="34" t="s">
        <v>1551</v>
      </c>
      <c r="H352" s="34">
        <v>1427110</v>
      </c>
      <c r="I352" s="34"/>
      <c r="J352" s="34" t="s">
        <v>180</v>
      </c>
      <c r="K352" s="34" t="s">
        <v>179</v>
      </c>
      <c r="L352" s="34"/>
      <c r="M352" s="34"/>
      <c r="N352" s="34" t="s">
        <v>905</v>
      </c>
      <c r="O352" s="34" t="s">
        <v>297</v>
      </c>
      <c r="P352" s="34"/>
      <c r="Q352" s="34" t="s">
        <v>296</v>
      </c>
      <c r="R352" s="34" t="s">
        <v>906</v>
      </c>
      <c r="S352" s="34"/>
      <c r="T352" s="34" t="s">
        <v>907</v>
      </c>
      <c r="U352" s="34"/>
      <c r="V352" s="34" t="s">
        <v>949</v>
      </c>
      <c r="W352" s="34"/>
      <c r="X352" s="34" t="s">
        <v>909</v>
      </c>
      <c r="Y352" s="34" t="s">
        <v>47</v>
      </c>
      <c r="Z352" s="34">
        <v>2142</v>
      </c>
      <c r="AA352" s="34" t="s">
        <v>393</v>
      </c>
      <c r="AB352" s="34" t="s">
        <v>393</v>
      </c>
      <c r="AC352" s="34"/>
      <c r="AD352" s="34"/>
      <c r="AE352" s="34"/>
      <c r="AF352" s="34" t="s">
        <v>377</v>
      </c>
      <c r="AG352" s="34"/>
      <c r="AH352" s="34"/>
      <c r="AI352" s="34">
        <v>43996</v>
      </c>
      <c r="AJ352" s="34">
        <v>25</v>
      </c>
      <c r="AK352" s="34">
        <v>55</v>
      </c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 t="s">
        <v>50</v>
      </c>
      <c r="BL352" s="34" t="s">
        <v>167</v>
      </c>
      <c r="BM352" s="34" t="s">
        <v>166</v>
      </c>
      <c r="BN352" s="34">
        <v>44054.330921631947</v>
      </c>
      <c r="BO352" s="34"/>
      <c r="BP352" s="34"/>
      <c r="BQ352" s="34"/>
      <c r="BR352" s="34" t="s">
        <v>165</v>
      </c>
      <c r="BS352" s="34">
        <v>4.0721202017922499E+18</v>
      </c>
      <c r="BT352" s="34" t="s">
        <v>164</v>
      </c>
      <c r="BU352" s="34" t="s">
        <v>1552</v>
      </c>
      <c r="BV352" s="34">
        <v>2020</v>
      </c>
      <c r="BW352" s="34" t="s">
        <v>163</v>
      </c>
      <c r="BX352" s="34"/>
      <c r="BY352" s="34">
        <v>4.08102020182509E+18</v>
      </c>
      <c r="BZ352" s="34" t="s">
        <v>1546</v>
      </c>
      <c r="CA352" s="34" t="s">
        <v>161</v>
      </c>
    </row>
    <row r="353" spans="1:79" x14ac:dyDescent="0.25">
      <c r="A353" s="34" t="s">
        <v>374</v>
      </c>
      <c r="B353" s="34" t="s">
        <v>287</v>
      </c>
      <c r="C353" s="34">
        <v>2020</v>
      </c>
      <c r="D353" s="34" t="s">
        <v>553</v>
      </c>
      <c r="E353" s="34">
        <v>2.0200720925749901E+17</v>
      </c>
      <c r="F353" s="34" t="s">
        <v>182</v>
      </c>
      <c r="G353" s="34" t="s">
        <v>1553</v>
      </c>
      <c r="H353" s="34">
        <v>1427110</v>
      </c>
      <c r="I353" s="34"/>
      <c r="J353" s="34" t="s">
        <v>180</v>
      </c>
      <c r="K353" s="34" t="s">
        <v>179</v>
      </c>
      <c r="L353" s="34"/>
      <c r="M353" s="34"/>
      <c r="N353" s="34" t="s">
        <v>905</v>
      </c>
      <c r="O353" s="34" t="s">
        <v>297</v>
      </c>
      <c r="P353" s="34"/>
      <c r="Q353" s="34" t="s">
        <v>296</v>
      </c>
      <c r="R353" s="34" t="s">
        <v>906</v>
      </c>
      <c r="S353" s="34"/>
      <c r="T353" s="34" t="s">
        <v>907</v>
      </c>
      <c r="U353" s="34"/>
      <c r="V353" s="34" t="s">
        <v>949</v>
      </c>
      <c r="W353" s="34"/>
      <c r="X353" s="34" t="s">
        <v>909</v>
      </c>
      <c r="Y353" s="34" t="s">
        <v>47</v>
      </c>
      <c r="Z353" s="34">
        <v>2142</v>
      </c>
      <c r="AA353" s="34" t="s">
        <v>393</v>
      </c>
      <c r="AB353" s="34" t="s">
        <v>393</v>
      </c>
      <c r="AC353" s="34"/>
      <c r="AD353" s="34"/>
      <c r="AE353" s="34"/>
      <c r="AF353" s="34" t="s">
        <v>377</v>
      </c>
      <c r="AG353" s="34"/>
      <c r="AH353" s="34"/>
      <c r="AI353" s="34">
        <v>43998</v>
      </c>
      <c r="AJ353" s="34">
        <v>20</v>
      </c>
      <c r="AK353" s="34">
        <v>20</v>
      </c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 t="s">
        <v>50</v>
      </c>
      <c r="BL353" s="34" t="s">
        <v>167</v>
      </c>
      <c r="BM353" s="34" t="s">
        <v>166</v>
      </c>
      <c r="BN353" s="34">
        <v>44054.330921631947</v>
      </c>
      <c r="BO353" s="34"/>
      <c r="BP353" s="34"/>
      <c r="BQ353" s="34"/>
      <c r="BR353" s="34" t="s">
        <v>165</v>
      </c>
      <c r="BS353" s="34">
        <v>4.0721202017922499E+18</v>
      </c>
      <c r="BT353" s="34" t="s">
        <v>164</v>
      </c>
      <c r="BU353" s="34" t="s">
        <v>676</v>
      </c>
      <c r="BV353" s="34">
        <v>2020</v>
      </c>
      <c r="BW353" s="34" t="s">
        <v>163</v>
      </c>
      <c r="BX353" s="34"/>
      <c r="BY353" s="34">
        <v>4.08102020182509E+18</v>
      </c>
      <c r="BZ353" s="34" t="s">
        <v>1533</v>
      </c>
      <c r="CA353" s="34" t="s">
        <v>161</v>
      </c>
    </row>
    <row r="354" spans="1:79" x14ac:dyDescent="0.25">
      <c r="A354" s="34" t="s">
        <v>374</v>
      </c>
      <c r="B354" s="34" t="s">
        <v>287</v>
      </c>
      <c r="C354" s="34">
        <v>2020</v>
      </c>
      <c r="D354" s="34" t="s">
        <v>553</v>
      </c>
      <c r="E354" s="34">
        <v>2.0200720925749901E+17</v>
      </c>
      <c r="F354" s="34" t="s">
        <v>182</v>
      </c>
      <c r="G354" s="34" t="s">
        <v>1554</v>
      </c>
      <c r="H354" s="34">
        <v>1427110</v>
      </c>
      <c r="I354" s="34"/>
      <c r="J354" s="34" t="s">
        <v>180</v>
      </c>
      <c r="K354" s="34" t="s">
        <v>179</v>
      </c>
      <c r="L354" s="34"/>
      <c r="M354" s="34"/>
      <c r="N354" s="34" t="s">
        <v>905</v>
      </c>
      <c r="O354" s="34" t="s">
        <v>297</v>
      </c>
      <c r="P354" s="34"/>
      <c r="Q354" s="34" t="s">
        <v>296</v>
      </c>
      <c r="R354" s="34" t="s">
        <v>906</v>
      </c>
      <c r="S354" s="34"/>
      <c r="T354" s="34" t="s">
        <v>907</v>
      </c>
      <c r="U354" s="34"/>
      <c r="V354" s="34" t="s">
        <v>949</v>
      </c>
      <c r="W354" s="34"/>
      <c r="X354" s="34" t="s">
        <v>909</v>
      </c>
      <c r="Y354" s="34" t="s">
        <v>47</v>
      </c>
      <c r="Z354" s="34">
        <v>2142</v>
      </c>
      <c r="AA354" s="34" t="s">
        <v>393</v>
      </c>
      <c r="AB354" s="34" t="s">
        <v>393</v>
      </c>
      <c r="AC354" s="34"/>
      <c r="AD354" s="34">
        <v>15</v>
      </c>
      <c r="AE354" s="34" t="s">
        <v>169</v>
      </c>
      <c r="AF354" s="34" t="s">
        <v>364</v>
      </c>
      <c r="AG354" s="34"/>
      <c r="AH354" s="34"/>
      <c r="AI354" s="34">
        <v>43998</v>
      </c>
      <c r="AJ354" s="34">
        <v>10</v>
      </c>
      <c r="AK354" s="34">
        <v>264.8</v>
      </c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 t="s">
        <v>28</v>
      </c>
      <c r="BH354" s="34"/>
      <c r="BI354" s="34" t="s">
        <v>168</v>
      </c>
      <c r="BJ354" s="34"/>
      <c r="BK354" s="34" t="s">
        <v>50</v>
      </c>
      <c r="BL354" s="34" t="s">
        <v>167</v>
      </c>
      <c r="BM354" s="34" t="s">
        <v>166</v>
      </c>
      <c r="BN354" s="34">
        <v>44054.330921631947</v>
      </c>
      <c r="BO354" s="34"/>
      <c r="BP354" s="34"/>
      <c r="BQ354" s="34"/>
      <c r="BR354" s="34" t="s">
        <v>165</v>
      </c>
      <c r="BS354" s="34">
        <v>4.0721202017922499E+18</v>
      </c>
      <c r="BT354" s="34" t="s">
        <v>164</v>
      </c>
      <c r="BU354" s="34" t="s">
        <v>362</v>
      </c>
      <c r="BV354" s="34">
        <v>2020</v>
      </c>
      <c r="BW354" s="34" t="s">
        <v>163</v>
      </c>
      <c r="BX354" s="34"/>
      <c r="BY354" s="34">
        <v>4.08102020182509E+18</v>
      </c>
      <c r="BZ354" s="34" t="s">
        <v>1555</v>
      </c>
      <c r="CA354" s="34" t="s">
        <v>161</v>
      </c>
    </row>
    <row r="355" spans="1:79" x14ac:dyDescent="0.25">
      <c r="A355" s="34" t="s">
        <v>374</v>
      </c>
      <c r="B355" s="34" t="s">
        <v>287</v>
      </c>
      <c r="C355" s="34">
        <v>2020</v>
      </c>
      <c r="D355" s="34" t="s">
        <v>553</v>
      </c>
      <c r="E355" s="34">
        <v>2.0200720925749901E+17</v>
      </c>
      <c r="F355" s="34" t="s">
        <v>182</v>
      </c>
      <c r="G355" s="34" t="s">
        <v>1556</v>
      </c>
      <c r="H355" s="34">
        <v>1427110</v>
      </c>
      <c r="I355" s="34"/>
      <c r="J355" s="34" t="s">
        <v>180</v>
      </c>
      <c r="K355" s="34" t="s">
        <v>179</v>
      </c>
      <c r="L355" s="34" t="s">
        <v>1025</v>
      </c>
      <c r="M355" s="34"/>
      <c r="N355" s="34" t="s">
        <v>905</v>
      </c>
      <c r="O355" s="34" t="s">
        <v>297</v>
      </c>
      <c r="P355" s="34"/>
      <c r="Q355" s="34" t="s">
        <v>296</v>
      </c>
      <c r="R355" s="34" t="s">
        <v>906</v>
      </c>
      <c r="S355" s="34"/>
      <c r="T355" s="34" t="s">
        <v>907</v>
      </c>
      <c r="U355" s="34"/>
      <c r="V355" s="34" t="s">
        <v>949</v>
      </c>
      <c r="W355" s="34"/>
      <c r="X355" s="34" t="s">
        <v>909</v>
      </c>
      <c r="Y355" s="34" t="s">
        <v>47</v>
      </c>
      <c r="Z355" s="34">
        <v>2142</v>
      </c>
      <c r="AA355" s="34" t="s">
        <v>393</v>
      </c>
      <c r="AB355" s="34" t="s">
        <v>393</v>
      </c>
      <c r="AC355" s="34" t="s">
        <v>1025</v>
      </c>
      <c r="AD355" s="34" t="s">
        <v>383</v>
      </c>
      <c r="AE355" s="34" t="s">
        <v>382</v>
      </c>
      <c r="AF355" s="34" t="s">
        <v>377</v>
      </c>
      <c r="AG355" s="34"/>
      <c r="AH355" s="34"/>
      <c r="AI355" s="34">
        <v>44003</v>
      </c>
      <c r="AJ355" s="34">
        <v>50</v>
      </c>
      <c r="AK355" s="34">
        <v>413.5</v>
      </c>
      <c r="AL355" s="34" t="s">
        <v>1098</v>
      </c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 t="s">
        <v>28</v>
      </c>
      <c r="BH355" s="34"/>
      <c r="BI355" s="34" t="s">
        <v>168</v>
      </c>
      <c r="BJ355" s="34"/>
      <c r="BK355" s="34" t="s">
        <v>50</v>
      </c>
      <c r="BL355" s="34" t="s">
        <v>167</v>
      </c>
      <c r="BM355" s="34" t="s">
        <v>166</v>
      </c>
      <c r="BN355" s="34">
        <v>44054.330921631947</v>
      </c>
      <c r="BO355" s="34"/>
      <c r="BP355" s="34"/>
      <c r="BQ355" s="34"/>
      <c r="BR355" s="34" t="s">
        <v>165</v>
      </c>
      <c r="BS355" s="34">
        <v>4.0721202017922499E+18</v>
      </c>
      <c r="BT355" s="34" t="s">
        <v>164</v>
      </c>
      <c r="BU355" s="34" t="s">
        <v>1099</v>
      </c>
      <c r="BV355" s="34">
        <v>2020</v>
      </c>
      <c r="BW355" s="34" t="s">
        <v>163</v>
      </c>
      <c r="BX355" s="34"/>
      <c r="BY355" s="34">
        <v>4.08102020182509E+18</v>
      </c>
      <c r="BZ355" s="34" t="s">
        <v>1557</v>
      </c>
      <c r="CA355" s="34" t="s">
        <v>161</v>
      </c>
    </row>
    <row r="356" spans="1:79" x14ac:dyDescent="0.25">
      <c r="A356" s="34" t="s">
        <v>374</v>
      </c>
      <c r="B356" s="34" t="s">
        <v>287</v>
      </c>
      <c r="C356" s="34">
        <v>2020</v>
      </c>
      <c r="D356" s="34" t="s">
        <v>553</v>
      </c>
      <c r="E356" s="34">
        <v>2.0200720925749901E+17</v>
      </c>
      <c r="F356" s="34" t="s">
        <v>182</v>
      </c>
      <c r="G356" s="34" t="s">
        <v>1558</v>
      </c>
      <c r="H356" s="34">
        <v>1427110</v>
      </c>
      <c r="I356" s="34"/>
      <c r="J356" s="34" t="s">
        <v>180</v>
      </c>
      <c r="K356" s="34" t="s">
        <v>179</v>
      </c>
      <c r="L356" s="34"/>
      <c r="M356" s="34"/>
      <c r="N356" s="34" t="s">
        <v>905</v>
      </c>
      <c r="O356" s="34" t="s">
        <v>297</v>
      </c>
      <c r="P356" s="34"/>
      <c r="Q356" s="34" t="s">
        <v>296</v>
      </c>
      <c r="R356" s="34" t="s">
        <v>906</v>
      </c>
      <c r="S356" s="34"/>
      <c r="T356" s="34" t="s">
        <v>907</v>
      </c>
      <c r="U356" s="34"/>
      <c r="V356" s="34" t="s">
        <v>949</v>
      </c>
      <c r="W356" s="34"/>
      <c r="X356" s="34" t="s">
        <v>909</v>
      </c>
      <c r="Y356" s="34" t="s">
        <v>47</v>
      </c>
      <c r="Z356" s="34">
        <v>2142</v>
      </c>
      <c r="AA356" s="34" t="s">
        <v>393</v>
      </c>
      <c r="AB356" s="34" t="s">
        <v>393</v>
      </c>
      <c r="AC356" s="34"/>
      <c r="AD356" s="34">
        <v>15</v>
      </c>
      <c r="AE356" s="34" t="s">
        <v>169</v>
      </c>
      <c r="AF356" s="34" t="s">
        <v>364</v>
      </c>
      <c r="AG356" s="34"/>
      <c r="AH356" s="34"/>
      <c r="AI356" s="34">
        <v>44003</v>
      </c>
      <c r="AJ356" s="34">
        <v>5</v>
      </c>
      <c r="AK356" s="34">
        <v>264.8</v>
      </c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 t="s">
        <v>28</v>
      </c>
      <c r="BH356" s="34"/>
      <c r="BI356" s="34" t="s">
        <v>168</v>
      </c>
      <c r="BJ356" s="34"/>
      <c r="BK356" s="34" t="s">
        <v>50</v>
      </c>
      <c r="BL356" s="34" t="s">
        <v>167</v>
      </c>
      <c r="BM356" s="34" t="s">
        <v>166</v>
      </c>
      <c r="BN356" s="34">
        <v>44054.330921631947</v>
      </c>
      <c r="BO356" s="34"/>
      <c r="BP356" s="34"/>
      <c r="BQ356" s="34"/>
      <c r="BR356" s="34" t="s">
        <v>165</v>
      </c>
      <c r="BS356" s="34">
        <v>4.0721202017922499E+18</v>
      </c>
      <c r="BT356" s="34" t="s">
        <v>164</v>
      </c>
      <c r="BU356" s="34" t="s">
        <v>362</v>
      </c>
      <c r="BV356" s="34">
        <v>2020</v>
      </c>
      <c r="BW356" s="34" t="s">
        <v>163</v>
      </c>
      <c r="BX356" s="34"/>
      <c r="BY356" s="34">
        <v>4.08102020182509E+18</v>
      </c>
      <c r="BZ356" s="34" t="s">
        <v>1557</v>
      </c>
      <c r="CA356" s="34" t="s">
        <v>161</v>
      </c>
    </row>
    <row r="357" spans="1:79" x14ac:dyDescent="0.25">
      <c r="A357" s="34" t="s">
        <v>374</v>
      </c>
      <c r="B357" s="34" t="s">
        <v>287</v>
      </c>
      <c r="C357" s="34">
        <v>2020</v>
      </c>
      <c r="D357" s="34" t="s">
        <v>553</v>
      </c>
      <c r="E357" s="34">
        <v>2.0200720925749901E+17</v>
      </c>
      <c r="F357" s="34" t="s">
        <v>182</v>
      </c>
      <c r="G357" s="34" t="s">
        <v>1559</v>
      </c>
      <c r="H357" s="34">
        <v>1427110</v>
      </c>
      <c r="I357" s="34"/>
      <c r="J357" s="34" t="s">
        <v>180</v>
      </c>
      <c r="K357" s="34" t="s">
        <v>179</v>
      </c>
      <c r="L357" s="34"/>
      <c r="M357" s="34"/>
      <c r="N357" s="34" t="s">
        <v>905</v>
      </c>
      <c r="O357" s="34" t="s">
        <v>297</v>
      </c>
      <c r="P357" s="34"/>
      <c r="Q357" s="34" t="s">
        <v>296</v>
      </c>
      <c r="R357" s="34" t="s">
        <v>906</v>
      </c>
      <c r="S357" s="34"/>
      <c r="T357" s="34" t="s">
        <v>907</v>
      </c>
      <c r="U357" s="34"/>
      <c r="V357" s="34" t="s">
        <v>949</v>
      </c>
      <c r="W357" s="34"/>
      <c r="X357" s="34" t="s">
        <v>909</v>
      </c>
      <c r="Y357" s="34" t="s">
        <v>47</v>
      </c>
      <c r="Z357" s="34">
        <v>2142</v>
      </c>
      <c r="AA357" s="34" t="s">
        <v>393</v>
      </c>
      <c r="AB357" s="34" t="s">
        <v>393</v>
      </c>
      <c r="AC357" s="34"/>
      <c r="AD357" s="34"/>
      <c r="AE357" s="34"/>
      <c r="AF357" s="34" t="s">
        <v>377</v>
      </c>
      <c r="AG357" s="34"/>
      <c r="AH357" s="34"/>
      <c r="AI357" s="34">
        <v>43998</v>
      </c>
      <c r="AJ357" s="34">
        <v>20</v>
      </c>
      <c r="AK357" s="34">
        <v>20</v>
      </c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 t="s">
        <v>50</v>
      </c>
      <c r="BL357" s="34" t="s">
        <v>167</v>
      </c>
      <c r="BM357" s="34" t="s">
        <v>166</v>
      </c>
      <c r="BN357" s="34">
        <v>44054.332608078701</v>
      </c>
      <c r="BO357" s="34"/>
      <c r="BP357" s="34"/>
      <c r="BQ357" s="34"/>
      <c r="BR357" s="34" t="s">
        <v>165</v>
      </c>
      <c r="BS357" s="34">
        <v>4.0721202017922499E+18</v>
      </c>
      <c r="BT357" s="34" t="s">
        <v>164</v>
      </c>
      <c r="BU357" s="34" t="s">
        <v>680</v>
      </c>
      <c r="BV357" s="34">
        <v>2020</v>
      </c>
      <c r="BW357" s="34" t="s">
        <v>163</v>
      </c>
      <c r="BX357" s="34"/>
      <c r="BY357" s="34">
        <v>4.08102020182509E+18</v>
      </c>
      <c r="BZ357" s="34" t="s">
        <v>1535</v>
      </c>
      <c r="CA357" s="34" t="s">
        <v>161</v>
      </c>
    </row>
    <row r="358" spans="1:79" x14ac:dyDescent="0.25">
      <c r="A358" s="34" t="s">
        <v>374</v>
      </c>
      <c r="B358" s="34" t="s">
        <v>287</v>
      </c>
      <c r="C358" s="34">
        <v>2020</v>
      </c>
      <c r="D358" s="34" t="s">
        <v>553</v>
      </c>
      <c r="E358" s="34">
        <v>2.0200720925749901E+17</v>
      </c>
      <c r="F358" s="34" t="s">
        <v>182</v>
      </c>
      <c r="G358" s="34" t="s">
        <v>1560</v>
      </c>
      <c r="H358" s="34">
        <v>1427110</v>
      </c>
      <c r="I358" s="34"/>
      <c r="J358" s="34" t="s">
        <v>180</v>
      </c>
      <c r="K358" s="34" t="s">
        <v>179</v>
      </c>
      <c r="L358" s="34"/>
      <c r="M358" s="34"/>
      <c r="N358" s="34" t="s">
        <v>905</v>
      </c>
      <c r="O358" s="34" t="s">
        <v>297</v>
      </c>
      <c r="P358" s="34"/>
      <c r="Q358" s="34" t="s">
        <v>296</v>
      </c>
      <c r="R358" s="34" t="s">
        <v>906</v>
      </c>
      <c r="S358" s="34"/>
      <c r="T358" s="34" t="s">
        <v>907</v>
      </c>
      <c r="U358" s="34"/>
      <c r="V358" s="34" t="s">
        <v>949</v>
      </c>
      <c r="W358" s="34"/>
      <c r="X358" s="34" t="s">
        <v>909</v>
      </c>
      <c r="Y358" s="34" t="s">
        <v>47</v>
      </c>
      <c r="Z358" s="34">
        <v>2142</v>
      </c>
      <c r="AA358" s="34" t="s">
        <v>393</v>
      </c>
      <c r="AB358" s="34" t="s">
        <v>393</v>
      </c>
      <c r="AC358" s="34"/>
      <c r="AD358" s="34"/>
      <c r="AE358" s="34"/>
      <c r="AF358" s="34" t="s">
        <v>377</v>
      </c>
      <c r="AG358" s="34"/>
      <c r="AH358" s="34"/>
      <c r="AI358" s="34">
        <v>44003</v>
      </c>
      <c r="AJ358" s="34">
        <v>50</v>
      </c>
      <c r="AK358" s="34">
        <v>50</v>
      </c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 t="s">
        <v>50</v>
      </c>
      <c r="BL358" s="34" t="s">
        <v>167</v>
      </c>
      <c r="BM358" s="34" t="s">
        <v>166</v>
      </c>
      <c r="BN358" s="34">
        <v>44054.332608090277</v>
      </c>
      <c r="BO358" s="34"/>
      <c r="BP358" s="34"/>
      <c r="BQ358" s="34"/>
      <c r="BR358" s="34" t="s">
        <v>165</v>
      </c>
      <c r="BS358" s="34">
        <v>4.0721202017922499E+18</v>
      </c>
      <c r="BT358" s="34" t="s">
        <v>164</v>
      </c>
      <c r="BU358" s="34" t="s">
        <v>1561</v>
      </c>
      <c r="BV358" s="34">
        <v>2020</v>
      </c>
      <c r="BW358" s="34" t="s">
        <v>163</v>
      </c>
      <c r="BX358" s="34"/>
      <c r="BY358" s="34">
        <v>4.08102020182509E+18</v>
      </c>
      <c r="BZ358" s="34" t="s">
        <v>1557</v>
      </c>
      <c r="CA358" s="34" t="s">
        <v>161</v>
      </c>
    </row>
    <row r="359" spans="1:79" x14ac:dyDescent="0.25">
      <c r="A359" s="34" t="s">
        <v>374</v>
      </c>
      <c r="B359" s="34" t="s">
        <v>287</v>
      </c>
      <c r="C359" s="34">
        <v>2020</v>
      </c>
      <c r="D359" s="34" t="s">
        <v>553</v>
      </c>
      <c r="E359" s="34">
        <v>2.0200720925749901E+17</v>
      </c>
      <c r="F359" s="34" t="s">
        <v>182</v>
      </c>
      <c r="G359" s="34" t="s">
        <v>1562</v>
      </c>
      <c r="H359" s="34">
        <v>1427110</v>
      </c>
      <c r="I359" s="34"/>
      <c r="J359" s="34" t="s">
        <v>180</v>
      </c>
      <c r="K359" s="34" t="s">
        <v>179</v>
      </c>
      <c r="L359" s="34"/>
      <c r="M359" s="34"/>
      <c r="N359" s="34" t="s">
        <v>905</v>
      </c>
      <c r="O359" s="34" t="s">
        <v>297</v>
      </c>
      <c r="P359" s="34"/>
      <c r="Q359" s="34" t="s">
        <v>296</v>
      </c>
      <c r="R359" s="34" t="s">
        <v>906</v>
      </c>
      <c r="S359" s="34"/>
      <c r="T359" s="34" t="s">
        <v>907</v>
      </c>
      <c r="U359" s="34"/>
      <c r="V359" s="34" t="s">
        <v>949</v>
      </c>
      <c r="W359" s="34"/>
      <c r="X359" s="34" t="s">
        <v>909</v>
      </c>
      <c r="Y359" s="34" t="s">
        <v>47</v>
      </c>
      <c r="Z359" s="34">
        <v>2142</v>
      </c>
      <c r="AA359" s="34" t="s">
        <v>393</v>
      </c>
      <c r="AB359" s="34" t="s">
        <v>393</v>
      </c>
      <c r="AC359" s="34"/>
      <c r="AD359" s="34"/>
      <c r="AE359" s="34"/>
      <c r="AF359" s="34" t="s">
        <v>377</v>
      </c>
      <c r="AG359" s="34"/>
      <c r="AH359" s="34"/>
      <c r="AI359" s="34">
        <v>43995</v>
      </c>
      <c r="AJ359" s="34">
        <v>5</v>
      </c>
      <c r="AK359" s="34">
        <v>55</v>
      </c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 t="s">
        <v>50</v>
      </c>
      <c r="BL359" s="34" t="s">
        <v>167</v>
      </c>
      <c r="BM359" s="34" t="s">
        <v>166</v>
      </c>
      <c r="BN359" s="34">
        <v>44054.332608078701</v>
      </c>
      <c r="BO359" s="34"/>
      <c r="BP359" s="34"/>
      <c r="BQ359" s="34"/>
      <c r="BR359" s="34" t="s">
        <v>165</v>
      </c>
      <c r="BS359" s="34">
        <v>4.0721202017922499E+18</v>
      </c>
      <c r="BT359" s="34" t="s">
        <v>164</v>
      </c>
      <c r="BU359" s="34" t="s">
        <v>1552</v>
      </c>
      <c r="BV359" s="34">
        <v>2020</v>
      </c>
      <c r="BW359" s="34" t="s">
        <v>163</v>
      </c>
      <c r="BX359" s="34"/>
      <c r="BY359" s="34">
        <v>4.08102020182509E+18</v>
      </c>
      <c r="BZ359" s="34" t="s">
        <v>1563</v>
      </c>
      <c r="CA359" s="34" t="s">
        <v>161</v>
      </c>
    </row>
    <row r="360" spans="1:79" x14ac:dyDescent="0.25">
      <c r="A360" s="34" t="s">
        <v>374</v>
      </c>
      <c r="B360" s="34" t="s">
        <v>287</v>
      </c>
      <c r="C360" s="34">
        <v>2020</v>
      </c>
      <c r="D360" s="34" t="s">
        <v>553</v>
      </c>
      <c r="E360" s="34">
        <v>2.0200720925749901E+17</v>
      </c>
      <c r="F360" s="34" t="s">
        <v>182</v>
      </c>
      <c r="G360" s="34" t="s">
        <v>1564</v>
      </c>
      <c r="H360" s="34">
        <v>1427110</v>
      </c>
      <c r="I360" s="34"/>
      <c r="J360" s="34" t="s">
        <v>180</v>
      </c>
      <c r="K360" s="34" t="s">
        <v>179</v>
      </c>
      <c r="L360" s="34"/>
      <c r="M360" s="34"/>
      <c r="N360" s="34" t="s">
        <v>905</v>
      </c>
      <c r="O360" s="34" t="s">
        <v>297</v>
      </c>
      <c r="P360" s="34"/>
      <c r="Q360" s="34" t="s">
        <v>296</v>
      </c>
      <c r="R360" s="34" t="s">
        <v>906</v>
      </c>
      <c r="S360" s="34"/>
      <c r="T360" s="34" t="s">
        <v>907</v>
      </c>
      <c r="U360" s="34"/>
      <c r="V360" s="34" t="s">
        <v>949</v>
      </c>
      <c r="W360" s="34"/>
      <c r="X360" s="34" t="s">
        <v>909</v>
      </c>
      <c r="Y360" s="34" t="s">
        <v>47</v>
      </c>
      <c r="Z360" s="34">
        <v>2142</v>
      </c>
      <c r="AA360" s="34" t="s">
        <v>393</v>
      </c>
      <c r="AB360" s="34" t="s">
        <v>393</v>
      </c>
      <c r="AC360" s="34"/>
      <c r="AD360" s="34"/>
      <c r="AE360" s="34"/>
      <c r="AF360" s="34" t="s">
        <v>377</v>
      </c>
      <c r="AG360" s="34"/>
      <c r="AH360" s="34"/>
      <c r="AI360" s="34">
        <v>43995</v>
      </c>
      <c r="AJ360" s="34">
        <v>25</v>
      </c>
      <c r="AK360" s="34">
        <v>55</v>
      </c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 t="s">
        <v>50</v>
      </c>
      <c r="BL360" s="34" t="s">
        <v>167</v>
      </c>
      <c r="BM360" s="34" t="s">
        <v>166</v>
      </c>
      <c r="BN360" s="34">
        <v>44054.332608078701</v>
      </c>
      <c r="BO360" s="34"/>
      <c r="BP360" s="34"/>
      <c r="BQ360" s="34"/>
      <c r="BR360" s="34" t="s">
        <v>165</v>
      </c>
      <c r="BS360" s="34">
        <v>4.0721202017922499E+18</v>
      </c>
      <c r="BT360" s="34" t="s">
        <v>164</v>
      </c>
      <c r="BU360" s="34" t="s">
        <v>1552</v>
      </c>
      <c r="BV360" s="34">
        <v>2020</v>
      </c>
      <c r="BW360" s="34" t="s">
        <v>163</v>
      </c>
      <c r="BX360" s="34"/>
      <c r="BY360" s="34">
        <v>4.08102020182509E+18</v>
      </c>
      <c r="BZ360" s="34" t="s">
        <v>1563</v>
      </c>
      <c r="CA360" s="34" t="s">
        <v>161</v>
      </c>
    </row>
    <row r="361" spans="1:79" x14ac:dyDescent="0.25">
      <c r="A361" s="34" t="s">
        <v>374</v>
      </c>
      <c r="B361" s="34" t="s">
        <v>287</v>
      </c>
      <c r="C361" s="34">
        <v>2020</v>
      </c>
      <c r="D361" s="34" t="s">
        <v>553</v>
      </c>
      <c r="E361" s="34">
        <v>2.0200720925749901E+17</v>
      </c>
      <c r="F361" s="34" t="s">
        <v>182</v>
      </c>
      <c r="G361" s="34" t="s">
        <v>1565</v>
      </c>
      <c r="H361" s="34">
        <v>1427110</v>
      </c>
      <c r="I361" s="34"/>
      <c r="J361" s="34" t="s">
        <v>180</v>
      </c>
      <c r="K361" s="34" t="s">
        <v>179</v>
      </c>
      <c r="L361" s="34"/>
      <c r="M361" s="34"/>
      <c r="N361" s="34" t="s">
        <v>905</v>
      </c>
      <c r="O361" s="34" t="s">
        <v>297</v>
      </c>
      <c r="P361" s="34"/>
      <c r="Q361" s="34" t="s">
        <v>296</v>
      </c>
      <c r="R361" s="34" t="s">
        <v>906</v>
      </c>
      <c r="S361" s="34"/>
      <c r="T361" s="34" t="s">
        <v>907</v>
      </c>
      <c r="U361" s="34"/>
      <c r="V361" s="34" t="s">
        <v>949</v>
      </c>
      <c r="W361" s="34"/>
      <c r="X361" s="34" t="s">
        <v>909</v>
      </c>
      <c r="Y361" s="34" t="s">
        <v>47</v>
      </c>
      <c r="Z361" s="34">
        <v>2142</v>
      </c>
      <c r="AA361" s="34" t="s">
        <v>393</v>
      </c>
      <c r="AB361" s="34" t="s">
        <v>393</v>
      </c>
      <c r="AC361" s="34"/>
      <c r="AD361" s="34"/>
      <c r="AE361" s="34"/>
      <c r="AF361" s="34" t="s">
        <v>377</v>
      </c>
      <c r="AG361" s="34"/>
      <c r="AH361" s="34"/>
      <c r="AI361" s="34">
        <v>44003</v>
      </c>
      <c r="AJ361" s="34">
        <v>25</v>
      </c>
      <c r="AK361" s="34">
        <v>175</v>
      </c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 t="s">
        <v>50</v>
      </c>
      <c r="BL361" s="34" t="s">
        <v>167</v>
      </c>
      <c r="BM361" s="34" t="s">
        <v>166</v>
      </c>
      <c r="BN361" s="34">
        <v>44054.346085486111</v>
      </c>
      <c r="BO361" s="34"/>
      <c r="BP361" s="34"/>
      <c r="BQ361" s="34"/>
      <c r="BR361" s="34" t="s">
        <v>165</v>
      </c>
      <c r="BS361" s="34">
        <v>4.0721202017922499E+18</v>
      </c>
      <c r="BT361" s="34" t="s">
        <v>164</v>
      </c>
      <c r="BU361" s="34" t="s">
        <v>1458</v>
      </c>
      <c r="BV361" s="34">
        <v>2020</v>
      </c>
      <c r="BW361" s="34" t="s">
        <v>163</v>
      </c>
      <c r="BX361" s="34"/>
      <c r="BY361" s="34">
        <v>4.08102020182509E+18</v>
      </c>
      <c r="BZ361" s="34" t="s">
        <v>1539</v>
      </c>
      <c r="CA361" s="34" t="s">
        <v>161</v>
      </c>
    </row>
    <row r="362" spans="1:79" x14ac:dyDescent="0.25">
      <c r="A362" s="34" t="s">
        <v>374</v>
      </c>
      <c r="B362" s="34" t="s">
        <v>287</v>
      </c>
      <c r="C362" s="34">
        <v>2020</v>
      </c>
      <c r="D362" s="34" t="s">
        <v>553</v>
      </c>
      <c r="E362" s="34">
        <v>2.0200720925749901E+17</v>
      </c>
      <c r="F362" s="34" t="s">
        <v>182</v>
      </c>
      <c r="G362" s="34" t="s">
        <v>1566</v>
      </c>
      <c r="H362" s="34">
        <v>1427110</v>
      </c>
      <c r="I362" s="34"/>
      <c r="J362" s="34" t="s">
        <v>180</v>
      </c>
      <c r="K362" s="34" t="s">
        <v>179</v>
      </c>
      <c r="L362" s="34" t="s">
        <v>1118</v>
      </c>
      <c r="M362" s="34"/>
      <c r="N362" s="34" t="s">
        <v>905</v>
      </c>
      <c r="O362" s="34" t="s">
        <v>297</v>
      </c>
      <c r="P362" s="34"/>
      <c r="Q362" s="34" t="s">
        <v>296</v>
      </c>
      <c r="R362" s="34" t="s">
        <v>906</v>
      </c>
      <c r="S362" s="34"/>
      <c r="T362" s="34" t="s">
        <v>907</v>
      </c>
      <c r="U362" s="34"/>
      <c r="V362" s="34" t="s">
        <v>949</v>
      </c>
      <c r="W362" s="34"/>
      <c r="X362" s="34" t="s">
        <v>909</v>
      </c>
      <c r="Y362" s="34" t="s">
        <v>47</v>
      </c>
      <c r="Z362" s="34">
        <v>2142</v>
      </c>
      <c r="AA362" s="34" t="s">
        <v>393</v>
      </c>
      <c r="AB362" s="34" t="s">
        <v>393</v>
      </c>
      <c r="AC362" s="34" t="s">
        <v>1118</v>
      </c>
      <c r="AD362" s="34" t="s">
        <v>383</v>
      </c>
      <c r="AE362" s="34" t="s">
        <v>382</v>
      </c>
      <c r="AF362" s="34" t="s">
        <v>377</v>
      </c>
      <c r="AG362" s="34"/>
      <c r="AH362" s="34"/>
      <c r="AI362" s="34">
        <v>43987</v>
      </c>
      <c r="AJ362" s="34">
        <v>25</v>
      </c>
      <c r="AK362" s="34">
        <v>550</v>
      </c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 t="s">
        <v>28</v>
      </c>
      <c r="BH362" s="34"/>
      <c r="BI362" s="34" t="s">
        <v>168</v>
      </c>
      <c r="BJ362" s="34"/>
      <c r="BK362" s="34" t="s">
        <v>50</v>
      </c>
      <c r="BL362" s="34" t="s">
        <v>167</v>
      </c>
      <c r="BM362" s="34" t="s">
        <v>166</v>
      </c>
      <c r="BN362" s="34">
        <v>44054.346085474535</v>
      </c>
      <c r="BO362" s="34"/>
      <c r="BP362" s="34"/>
      <c r="BQ362" s="34"/>
      <c r="BR362" s="34" t="s">
        <v>165</v>
      </c>
      <c r="BS362" s="34">
        <v>4.0721202017922499E+18</v>
      </c>
      <c r="BT362" s="34" t="s">
        <v>164</v>
      </c>
      <c r="BU362" s="34" t="s">
        <v>1119</v>
      </c>
      <c r="BV362" s="34">
        <v>2020</v>
      </c>
      <c r="BW362" s="34" t="s">
        <v>163</v>
      </c>
      <c r="BX362" s="34"/>
      <c r="BY362" s="34">
        <v>4.08102020182509E+18</v>
      </c>
      <c r="BZ362" s="34" t="s">
        <v>1567</v>
      </c>
      <c r="CA362" s="34" t="s">
        <v>161</v>
      </c>
    </row>
    <row r="363" spans="1:79" x14ac:dyDescent="0.25">
      <c r="A363" s="34" t="s">
        <v>374</v>
      </c>
      <c r="B363" s="34" t="s">
        <v>287</v>
      </c>
      <c r="C363" s="34">
        <v>2020</v>
      </c>
      <c r="D363" s="34" t="s">
        <v>553</v>
      </c>
      <c r="E363" s="34">
        <v>2.0200720925749901E+17</v>
      </c>
      <c r="F363" s="34" t="s">
        <v>182</v>
      </c>
      <c r="G363" s="34" t="s">
        <v>1568</v>
      </c>
      <c r="H363" s="34">
        <v>1427110</v>
      </c>
      <c r="I363" s="34"/>
      <c r="J363" s="34" t="s">
        <v>180</v>
      </c>
      <c r="K363" s="34" t="s">
        <v>179</v>
      </c>
      <c r="L363" s="34"/>
      <c r="M363" s="34"/>
      <c r="N363" s="34" t="s">
        <v>905</v>
      </c>
      <c r="O363" s="34" t="s">
        <v>297</v>
      </c>
      <c r="P363" s="34"/>
      <c r="Q363" s="34" t="s">
        <v>296</v>
      </c>
      <c r="R363" s="34" t="s">
        <v>906</v>
      </c>
      <c r="S363" s="34"/>
      <c r="T363" s="34" t="s">
        <v>907</v>
      </c>
      <c r="U363" s="34"/>
      <c r="V363" s="34" t="s">
        <v>949</v>
      </c>
      <c r="W363" s="34"/>
      <c r="X363" s="34" t="s">
        <v>909</v>
      </c>
      <c r="Y363" s="34" t="s">
        <v>47</v>
      </c>
      <c r="Z363" s="34">
        <v>2142</v>
      </c>
      <c r="AA363" s="34" t="s">
        <v>393</v>
      </c>
      <c r="AB363" s="34" t="s">
        <v>393</v>
      </c>
      <c r="AC363" s="34"/>
      <c r="AD363" s="34">
        <v>15</v>
      </c>
      <c r="AE363" s="34" t="s">
        <v>169</v>
      </c>
      <c r="AF363" s="34" t="s">
        <v>364</v>
      </c>
      <c r="AG363" s="34"/>
      <c r="AH363" s="34"/>
      <c r="AI363" s="34">
        <v>43995</v>
      </c>
      <c r="AJ363" s="34">
        <v>2.5</v>
      </c>
      <c r="AK363" s="34">
        <v>264.8</v>
      </c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 t="s">
        <v>28</v>
      </c>
      <c r="BH363" s="34"/>
      <c r="BI363" s="34" t="s">
        <v>168</v>
      </c>
      <c r="BJ363" s="34"/>
      <c r="BK363" s="34" t="s">
        <v>50</v>
      </c>
      <c r="BL363" s="34" t="s">
        <v>167</v>
      </c>
      <c r="BM363" s="34" t="s">
        <v>166</v>
      </c>
      <c r="BN363" s="34">
        <v>44054.362741793979</v>
      </c>
      <c r="BO363" s="34"/>
      <c r="BP363" s="34"/>
      <c r="BQ363" s="34"/>
      <c r="BR363" s="34" t="s">
        <v>165</v>
      </c>
      <c r="BS363" s="34">
        <v>4.0721202017922499E+18</v>
      </c>
      <c r="BT363" s="34" t="s">
        <v>164</v>
      </c>
      <c r="BU363" s="34" t="s">
        <v>362</v>
      </c>
      <c r="BV363" s="34">
        <v>2020</v>
      </c>
      <c r="BW363" s="34" t="s">
        <v>163</v>
      </c>
      <c r="BX363" s="34"/>
      <c r="BY363" s="34">
        <v>4.08102020182509E+18</v>
      </c>
      <c r="BZ363" s="34" t="s">
        <v>1569</v>
      </c>
      <c r="CA363" s="34" t="s">
        <v>161</v>
      </c>
    </row>
    <row r="364" spans="1:79" x14ac:dyDescent="0.25">
      <c r="A364" s="34" t="s">
        <v>1025</v>
      </c>
      <c r="B364" s="34" t="s">
        <v>1026</v>
      </c>
      <c r="C364" s="34">
        <v>2020</v>
      </c>
      <c r="D364" s="34" t="s">
        <v>407</v>
      </c>
      <c r="E364" s="34">
        <v>2.0200715924492701E+17</v>
      </c>
      <c r="F364" s="34" t="s">
        <v>182</v>
      </c>
      <c r="G364" s="34" t="s">
        <v>1570</v>
      </c>
      <c r="H364" s="34">
        <v>1423156</v>
      </c>
      <c r="I364" s="34"/>
      <c r="J364" s="34" t="s">
        <v>180</v>
      </c>
      <c r="K364" s="34" t="s">
        <v>179</v>
      </c>
      <c r="L364" s="34" t="s">
        <v>374</v>
      </c>
      <c r="M364" s="34"/>
      <c r="N364" s="34" t="s">
        <v>905</v>
      </c>
      <c r="O364" s="34" t="s">
        <v>75</v>
      </c>
      <c r="P364" s="34"/>
      <c r="Q364" s="34" t="s">
        <v>28</v>
      </c>
      <c r="R364" s="34" t="s">
        <v>906</v>
      </c>
      <c r="S364" s="34"/>
      <c r="T364" s="34" t="s">
        <v>907</v>
      </c>
      <c r="U364" s="34"/>
      <c r="V364" s="34" t="s">
        <v>908</v>
      </c>
      <c r="W364" s="34"/>
      <c r="X364" s="34" t="s">
        <v>909</v>
      </c>
      <c r="Y364" s="34" t="s">
        <v>47</v>
      </c>
      <c r="Z364" s="34">
        <v>21421229</v>
      </c>
      <c r="AA364" s="34" t="s">
        <v>1028</v>
      </c>
      <c r="AB364" s="34" t="s">
        <v>290</v>
      </c>
      <c r="AC364" s="34" t="s">
        <v>374</v>
      </c>
      <c r="AD364" s="34" t="s">
        <v>345</v>
      </c>
      <c r="AE364" s="34" t="s">
        <v>344</v>
      </c>
      <c r="AF364" s="34"/>
      <c r="AG364" s="34"/>
      <c r="AH364" s="34"/>
      <c r="AI364" s="34">
        <v>44003</v>
      </c>
      <c r="AJ364" s="34">
        <v>50</v>
      </c>
      <c r="AK364" s="34">
        <v>1013.5</v>
      </c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 t="s">
        <v>501</v>
      </c>
      <c r="BH364" s="34"/>
      <c r="BI364" s="34" t="s">
        <v>500</v>
      </c>
      <c r="BJ364" s="34">
        <v>2020</v>
      </c>
      <c r="BK364" s="34" t="s">
        <v>50</v>
      </c>
      <c r="BL364" s="34" t="s">
        <v>167</v>
      </c>
      <c r="BM364" s="34" t="s">
        <v>166</v>
      </c>
      <c r="BN364" s="34">
        <v>44055.150750520836</v>
      </c>
      <c r="BO364" s="34"/>
      <c r="BP364" s="34" t="s">
        <v>1571</v>
      </c>
      <c r="BQ364" s="34" t="s">
        <v>419</v>
      </c>
      <c r="BR364" s="34" t="s">
        <v>513</v>
      </c>
      <c r="BS364" s="34">
        <v>4.0715202017906002E+18</v>
      </c>
      <c r="BT364" s="34" t="s">
        <v>164</v>
      </c>
      <c r="BU364" s="34" t="s">
        <v>512</v>
      </c>
      <c r="BV364" s="34">
        <v>2020</v>
      </c>
      <c r="BW364" s="34" t="s">
        <v>163</v>
      </c>
      <c r="BX364" s="34"/>
      <c r="BY364" s="34">
        <v>4.0812202018280402E+18</v>
      </c>
      <c r="BZ364" s="34" t="s">
        <v>1572</v>
      </c>
      <c r="CA364" s="34" t="s">
        <v>161</v>
      </c>
    </row>
    <row r="365" spans="1:79" x14ac:dyDescent="0.25">
      <c r="A365" s="34" t="s">
        <v>374</v>
      </c>
      <c r="B365" s="34" t="s">
        <v>287</v>
      </c>
      <c r="C365" s="34">
        <v>2020</v>
      </c>
      <c r="D365" s="34" t="s">
        <v>451</v>
      </c>
      <c r="E365" s="34">
        <v>2.0200820926378701E+17</v>
      </c>
      <c r="F365" s="34" t="s">
        <v>182</v>
      </c>
      <c r="G365" s="34" t="s">
        <v>1573</v>
      </c>
      <c r="H365" s="34">
        <v>1434463</v>
      </c>
      <c r="I365" s="34"/>
      <c r="J365" s="34" t="s">
        <v>180</v>
      </c>
      <c r="K365" s="34" t="s">
        <v>179</v>
      </c>
      <c r="L365" s="34"/>
      <c r="M365" s="34"/>
      <c r="N365" s="34" t="s">
        <v>905</v>
      </c>
      <c r="O365" s="34" t="s">
        <v>297</v>
      </c>
      <c r="P365" s="34"/>
      <c r="Q365" s="34" t="s">
        <v>296</v>
      </c>
      <c r="R365" s="34" t="s">
        <v>906</v>
      </c>
      <c r="S365" s="34"/>
      <c r="T365" s="34" t="s">
        <v>907</v>
      </c>
      <c r="U365" s="34"/>
      <c r="V365" s="34" t="s">
        <v>949</v>
      </c>
      <c r="W365" s="34"/>
      <c r="X365" s="34" t="s">
        <v>909</v>
      </c>
      <c r="Y365" s="34" t="s">
        <v>47</v>
      </c>
      <c r="Z365" s="34">
        <v>2142</v>
      </c>
      <c r="AA365" s="34" t="s">
        <v>393</v>
      </c>
      <c r="AB365" s="34" t="s">
        <v>393</v>
      </c>
      <c r="AC365" s="34"/>
      <c r="AD365" s="34">
        <v>15</v>
      </c>
      <c r="AE365" s="34" t="s">
        <v>169</v>
      </c>
      <c r="AF365" s="34" t="s">
        <v>364</v>
      </c>
      <c r="AG365" s="34"/>
      <c r="AH365" s="34"/>
      <c r="AI365" s="34">
        <v>44041</v>
      </c>
      <c r="AJ365" s="34">
        <v>6.7</v>
      </c>
      <c r="AK365" s="34">
        <v>332.3</v>
      </c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 t="s">
        <v>28</v>
      </c>
      <c r="BH365" s="34"/>
      <c r="BI365" s="34" t="s">
        <v>168</v>
      </c>
      <c r="BJ365" s="34"/>
      <c r="BK365" s="34" t="s">
        <v>50</v>
      </c>
      <c r="BL365" s="34" t="s">
        <v>167</v>
      </c>
      <c r="BM365" s="34" t="s">
        <v>166</v>
      </c>
      <c r="BN365" s="34">
        <v>44090.346858206016</v>
      </c>
      <c r="BO365" s="34"/>
      <c r="BP365" s="34"/>
      <c r="BQ365" s="34"/>
      <c r="BR365" s="34" t="s">
        <v>165</v>
      </c>
      <c r="BS365" s="34">
        <v>4.0822202018295301E+18</v>
      </c>
      <c r="BT365" s="34" t="s">
        <v>164</v>
      </c>
      <c r="BU365" s="34" t="s">
        <v>362</v>
      </c>
      <c r="BV365" s="34">
        <v>2020</v>
      </c>
      <c r="BW365" s="34" t="s">
        <v>163</v>
      </c>
      <c r="BX365" s="34"/>
      <c r="BY365" s="34">
        <v>4.0915202018454502E+18</v>
      </c>
      <c r="BZ365" s="34" t="s">
        <v>1574</v>
      </c>
      <c r="CA365" s="34" t="s">
        <v>161</v>
      </c>
    </row>
    <row r="366" spans="1:79" x14ac:dyDescent="0.25">
      <c r="A366" s="34" t="s">
        <v>374</v>
      </c>
      <c r="B366" s="34" t="s">
        <v>287</v>
      </c>
      <c r="C366" s="34">
        <v>2020</v>
      </c>
      <c r="D366" s="34" t="s">
        <v>451</v>
      </c>
      <c r="E366" s="34">
        <v>2.0200820926378701E+17</v>
      </c>
      <c r="F366" s="34" t="s">
        <v>182</v>
      </c>
      <c r="G366" s="34" t="s">
        <v>1575</v>
      </c>
      <c r="H366" s="34">
        <v>1434463</v>
      </c>
      <c r="I366" s="34"/>
      <c r="J366" s="34" t="s">
        <v>180</v>
      </c>
      <c r="K366" s="34" t="s">
        <v>179</v>
      </c>
      <c r="L366" s="34"/>
      <c r="M366" s="34"/>
      <c r="N366" s="34" t="s">
        <v>905</v>
      </c>
      <c r="O366" s="34" t="s">
        <v>297</v>
      </c>
      <c r="P366" s="34"/>
      <c r="Q366" s="34" t="s">
        <v>296</v>
      </c>
      <c r="R366" s="34" t="s">
        <v>906</v>
      </c>
      <c r="S366" s="34"/>
      <c r="T366" s="34" t="s">
        <v>907</v>
      </c>
      <c r="U366" s="34"/>
      <c r="V366" s="34" t="s">
        <v>949</v>
      </c>
      <c r="W366" s="34"/>
      <c r="X366" s="34" t="s">
        <v>909</v>
      </c>
      <c r="Y366" s="34" t="s">
        <v>47</v>
      </c>
      <c r="Z366" s="34">
        <v>2142</v>
      </c>
      <c r="AA366" s="34" t="s">
        <v>393</v>
      </c>
      <c r="AB366" s="34" t="s">
        <v>393</v>
      </c>
      <c r="AC366" s="34"/>
      <c r="AD366" s="34">
        <v>15</v>
      </c>
      <c r="AE366" s="34" t="s">
        <v>169</v>
      </c>
      <c r="AF366" s="34" t="s">
        <v>364</v>
      </c>
      <c r="AG366" s="34"/>
      <c r="AH366" s="34"/>
      <c r="AI366" s="34">
        <v>44019</v>
      </c>
      <c r="AJ366" s="34">
        <v>10</v>
      </c>
      <c r="AK366" s="34">
        <v>332.3</v>
      </c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 t="s">
        <v>28</v>
      </c>
      <c r="BH366" s="34"/>
      <c r="BI366" s="34" t="s">
        <v>168</v>
      </c>
      <c r="BJ366" s="34"/>
      <c r="BK366" s="34" t="s">
        <v>50</v>
      </c>
      <c r="BL366" s="34" t="s">
        <v>167</v>
      </c>
      <c r="BM366" s="34" t="s">
        <v>166</v>
      </c>
      <c r="BN366" s="34">
        <v>44090.34993178241</v>
      </c>
      <c r="BO366" s="34"/>
      <c r="BP366" s="34"/>
      <c r="BQ366" s="34"/>
      <c r="BR366" s="34" t="s">
        <v>165</v>
      </c>
      <c r="BS366" s="34">
        <v>4.0822202018295301E+18</v>
      </c>
      <c r="BT366" s="34" t="s">
        <v>164</v>
      </c>
      <c r="BU366" s="34" t="s">
        <v>362</v>
      </c>
      <c r="BV366" s="34">
        <v>2020</v>
      </c>
      <c r="BW366" s="34" t="s">
        <v>163</v>
      </c>
      <c r="BX366" s="34"/>
      <c r="BY366" s="34">
        <v>4.0915202018454502E+18</v>
      </c>
      <c r="BZ366" s="34" t="s">
        <v>1576</v>
      </c>
      <c r="CA366" s="34" t="s">
        <v>161</v>
      </c>
    </row>
    <row r="367" spans="1:79" x14ac:dyDescent="0.25">
      <c r="A367" s="34" t="s">
        <v>374</v>
      </c>
      <c r="B367" s="34" t="s">
        <v>287</v>
      </c>
      <c r="C367" s="34">
        <v>2020</v>
      </c>
      <c r="D367" s="34" t="s">
        <v>451</v>
      </c>
      <c r="E367" s="34">
        <v>2.0200820926378701E+17</v>
      </c>
      <c r="F367" s="34" t="s">
        <v>182</v>
      </c>
      <c r="G367" s="34" t="s">
        <v>1577</v>
      </c>
      <c r="H367" s="34">
        <v>1434463</v>
      </c>
      <c r="I367" s="34"/>
      <c r="J367" s="34" t="s">
        <v>180</v>
      </c>
      <c r="K367" s="34" t="s">
        <v>179</v>
      </c>
      <c r="L367" s="34" t="s">
        <v>1025</v>
      </c>
      <c r="M367" s="34"/>
      <c r="N367" s="34" t="s">
        <v>905</v>
      </c>
      <c r="O367" s="34" t="s">
        <v>297</v>
      </c>
      <c r="P367" s="34"/>
      <c r="Q367" s="34" t="s">
        <v>296</v>
      </c>
      <c r="R367" s="34" t="s">
        <v>906</v>
      </c>
      <c r="S367" s="34"/>
      <c r="T367" s="34" t="s">
        <v>907</v>
      </c>
      <c r="U367" s="34"/>
      <c r="V367" s="34" t="s">
        <v>949</v>
      </c>
      <c r="W367" s="34"/>
      <c r="X367" s="34" t="s">
        <v>909</v>
      </c>
      <c r="Y367" s="34" t="s">
        <v>47</v>
      </c>
      <c r="Z367" s="34">
        <v>2142</v>
      </c>
      <c r="AA367" s="34" t="s">
        <v>393</v>
      </c>
      <c r="AB367" s="34" t="s">
        <v>393</v>
      </c>
      <c r="AC367" s="34" t="s">
        <v>1025</v>
      </c>
      <c r="AD367" s="34" t="s">
        <v>383</v>
      </c>
      <c r="AE367" s="34" t="s">
        <v>382</v>
      </c>
      <c r="AF367" s="34" t="s">
        <v>377</v>
      </c>
      <c r="AG367" s="34"/>
      <c r="AH367" s="34"/>
      <c r="AI367" s="34">
        <v>44019</v>
      </c>
      <c r="AJ367" s="34">
        <v>100</v>
      </c>
      <c r="AK367" s="34">
        <v>580.5</v>
      </c>
      <c r="AL367" s="34" t="s">
        <v>1098</v>
      </c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 t="s">
        <v>28</v>
      </c>
      <c r="BH367" s="34"/>
      <c r="BI367" s="34" t="s">
        <v>168</v>
      </c>
      <c r="BJ367" s="34"/>
      <c r="BK367" s="34" t="s">
        <v>50</v>
      </c>
      <c r="BL367" s="34" t="s">
        <v>167</v>
      </c>
      <c r="BM367" s="34" t="s">
        <v>166</v>
      </c>
      <c r="BN367" s="34">
        <v>44090.34993178241</v>
      </c>
      <c r="BO367" s="34"/>
      <c r="BP367" s="34"/>
      <c r="BQ367" s="34"/>
      <c r="BR367" s="34" t="s">
        <v>165</v>
      </c>
      <c r="BS367" s="34">
        <v>4.0822202018295301E+18</v>
      </c>
      <c r="BT367" s="34" t="s">
        <v>164</v>
      </c>
      <c r="BU367" s="34" t="s">
        <v>1099</v>
      </c>
      <c r="BV367" s="34">
        <v>2020</v>
      </c>
      <c r="BW367" s="34" t="s">
        <v>163</v>
      </c>
      <c r="BX367" s="34"/>
      <c r="BY367" s="34">
        <v>4.0915202018454502E+18</v>
      </c>
      <c r="BZ367" s="34" t="s">
        <v>1578</v>
      </c>
      <c r="CA367" s="34" t="s">
        <v>161</v>
      </c>
    </row>
    <row r="368" spans="1:79" x14ac:dyDescent="0.25">
      <c r="A368" s="34" t="s">
        <v>374</v>
      </c>
      <c r="B368" s="34" t="s">
        <v>287</v>
      </c>
      <c r="C368" s="34">
        <v>2020</v>
      </c>
      <c r="D368" s="34" t="s">
        <v>451</v>
      </c>
      <c r="E368" s="34">
        <v>2.0200820926378701E+17</v>
      </c>
      <c r="F368" s="34" t="s">
        <v>182</v>
      </c>
      <c r="G368" s="34" t="s">
        <v>1579</v>
      </c>
      <c r="H368" s="34">
        <v>1434463</v>
      </c>
      <c r="I368" s="34"/>
      <c r="J368" s="34" t="s">
        <v>180</v>
      </c>
      <c r="K368" s="34" t="s">
        <v>179</v>
      </c>
      <c r="L368" s="34" t="s">
        <v>1118</v>
      </c>
      <c r="M368" s="34"/>
      <c r="N368" s="34" t="s">
        <v>905</v>
      </c>
      <c r="O368" s="34" t="s">
        <v>297</v>
      </c>
      <c r="P368" s="34"/>
      <c r="Q368" s="34" t="s">
        <v>296</v>
      </c>
      <c r="R368" s="34" t="s">
        <v>906</v>
      </c>
      <c r="S368" s="34"/>
      <c r="T368" s="34" t="s">
        <v>907</v>
      </c>
      <c r="U368" s="34"/>
      <c r="V368" s="34" t="s">
        <v>949</v>
      </c>
      <c r="W368" s="34"/>
      <c r="X368" s="34" t="s">
        <v>909</v>
      </c>
      <c r="Y368" s="34" t="s">
        <v>47</v>
      </c>
      <c r="Z368" s="34">
        <v>2142</v>
      </c>
      <c r="AA368" s="34" t="s">
        <v>393</v>
      </c>
      <c r="AB368" s="34" t="s">
        <v>393</v>
      </c>
      <c r="AC368" s="34" t="s">
        <v>1118</v>
      </c>
      <c r="AD368" s="34" t="s">
        <v>383</v>
      </c>
      <c r="AE368" s="34" t="s">
        <v>382</v>
      </c>
      <c r="AF368" s="34" t="s">
        <v>377</v>
      </c>
      <c r="AG368" s="34"/>
      <c r="AH368" s="34"/>
      <c r="AI368" s="34">
        <v>44017</v>
      </c>
      <c r="AJ368" s="34">
        <v>25</v>
      </c>
      <c r="AK368" s="34">
        <v>675</v>
      </c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 t="s">
        <v>28</v>
      </c>
      <c r="BH368" s="34"/>
      <c r="BI368" s="34" t="s">
        <v>168</v>
      </c>
      <c r="BJ368" s="34"/>
      <c r="BK368" s="34" t="s">
        <v>50</v>
      </c>
      <c r="BL368" s="34" t="s">
        <v>167</v>
      </c>
      <c r="BM368" s="34" t="s">
        <v>166</v>
      </c>
      <c r="BN368" s="34">
        <v>44090.34993178241</v>
      </c>
      <c r="BO368" s="34"/>
      <c r="BP368" s="34"/>
      <c r="BQ368" s="34"/>
      <c r="BR368" s="34" t="s">
        <v>165</v>
      </c>
      <c r="BS368" s="34">
        <v>4.0822202018295301E+18</v>
      </c>
      <c r="BT368" s="34" t="s">
        <v>164</v>
      </c>
      <c r="BU368" s="34" t="s">
        <v>1119</v>
      </c>
      <c r="BV368" s="34">
        <v>2020</v>
      </c>
      <c r="BW368" s="34" t="s">
        <v>163</v>
      </c>
      <c r="BX368" s="34"/>
      <c r="BY368" s="34">
        <v>4.0915202018454502E+18</v>
      </c>
      <c r="BZ368" s="34" t="s">
        <v>1580</v>
      </c>
      <c r="CA368" s="34" t="s">
        <v>161</v>
      </c>
    </row>
    <row r="369" spans="1:79" x14ac:dyDescent="0.25">
      <c r="A369" s="34" t="s">
        <v>374</v>
      </c>
      <c r="B369" s="34" t="s">
        <v>287</v>
      </c>
      <c r="C369" s="34">
        <v>2020</v>
      </c>
      <c r="D369" s="34" t="s">
        <v>451</v>
      </c>
      <c r="E369" s="34">
        <v>2.0200820926378701E+17</v>
      </c>
      <c r="F369" s="34" t="s">
        <v>182</v>
      </c>
      <c r="G369" s="34" t="s">
        <v>1581</v>
      </c>
      <c r="H369" s="34">
        <v>1434463</v>
      </c>
      <c r="I369" s="34"/>
      <c r="J369" s="34" t="s">
        <v>180</v>
      </c>
      <c r="K369" s="34" t="s">
        <v>179</v>
      </c>
      <c r="L369" s="34"/>
      <c r="M369" s="34"/>
      <c r="N369" s="34" t="s">
        <v>905</v>
      </c>
      <c r="O369" s="34" t="s">
        <v>297</v>
      </c>
      <c r="P369" s="34"/>
      <c r="Q369" s="34" t="s">
        <v>296</v>
      </c>
      <c r="R369" s="34" t="s">
        <v>906</v>
      </c>
      <c r="S369" s="34"/>
      <c r="T369" s="34" t="s">
        <v>907</v>
      </c>
      <c r="U369" s="34"/>
      <c r="V369" s="34" t="s">
        <v>949</v>
      </c>
      <c r="W369" s="34"/>
      <c r="X369" s="34" t="s">
        <v>909</v>
      </c>
      <c r="Y369" s="34" t="s">
        <v>47</v>
      </c>
      <c r="Z369" s="34">
        <v>2142</v>
      </c>
      <c r="AA369" s="34" t="s">
        <v>393</v>
      </c>
      <c r="AB369" s="34" t="s">
        <v>393</v>
      </c>
      <c r="AC369" s="34"/>
      <c r="AD369" s="34">
        <v>15</v>
      </c>
      <c r="AE369" s="34" t="s">
        <v>169</v>
      </c>
      <c r="AF369" s="34" t="s">
        <v>364</v>
      </c>
      <c r="AG369" s="34"/>
      <c r="AH369" s="34"/>
      <c r="AI369" s="34">
        <v>44017</v>
      </c>
      <c r="AJ369" s="34">
        <v>2.5</v>
      </c>
      <c r="AK369" s="34">
        <v>332.3</v>
      </c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 t="s">
        <v>28</v>
      </c>
      <c r="BH369" s="34"/>
      <c r="BI369" s="34" t="s">
        <v>168</v>
      </c>
      <c r="BJ369" s="34"/>
      <c r="BK369" s="34" t="s">
        <v>50</v>
      </c>
      <c r="BL369" s="34" t="s">
        <v>167</v>
      </c>
      <c r="BM369" s="34" t="s">
        <v>166</v>
      </c>
      <c r="BN369" s="34">
        <v>44090.34993178241</v>
      </c>
      <c r="BO369" s="34"/>
      <c r="BP369" s="34"/>
      <c r="BQ369" s="34"/>
      <c r="BR369" s="34" t="s">
        <v>165</v>
      </c>
      <c r="BS369" s="34">
        <v>4.0822202018295301E+18</v>
      </c>
      <c r="BT369" s="34" t="s">
        <v>164</v>
      </c>
      <c r="BU369" s="34" t="s">
        <v>362</v>
      </c>
      <c r="BV369" s="34">
        <v>2020</v>
      </c>
      <c r="BW369" s="34" t="s">
        <v>163</v>
      </c>
      <c r="BX369" s="34"/>
      <c r="BY369" s="34">
        <v>4.0915202018454502E+18</v>
      </c>
      <c r="BZ369" s="34" t="s">
        <v>1580</v>
      </c>
      <c r="CA369" s="34" t="s">
        <v>161</v>
      </c>
    </row>
    <row r="370" spans="1:79" x14ac:dyDescent="0.25">
      <c r="A370" s="34" t="s">
        <v>374</v>
      </c>
      <c r="B370" s="34" t="s">
        <v>287</v>
      </c>
      <c r="C370" s="34">
        <v>2020</v>
      </c>
      <c r="D370" s="34" t="s">
        <v>451</v>
      </c>
      <c r="E370" s="34">
        <v>2.0200820926378701E+17</v>
      </c>
      <c r="F370" s="34" t="s">
        <v>182</v>
      </c>
      <c r="G370" s="34" t="s">
        <v>1582</v>
      </c>
      <c r="H370" s="34">
        <v>1434463</v>
      </c>
      <c r="I370" s="34"/>
      <c r="J370" s="34" t="s">
        <v>180</v>
      </c>
      <c r="K370" s="34" t="s">
        <v>179</v>
      </c>
      <c r="L370" s="34" t="s">
        <v>1118</v>
      </c>
      <c r="M370" s="34"/>
      <c r="N370" s="34" t="s">
        <v>905</v>
      </c>
      <c r="O370" s="34" t="s">
        <v>297</v>
      </c>
      <c r="P370" s="34"/>
      <c r="Q370" s="34" t="s">
        <v>296</v>
      </c>
      <c r="R370" s="34" t="s">
        <v>906</v>
      </c>
      <c r="S370" s="34"/>
      <c r="T370" s="34" t="s">
        <v>907</v>
      </c>
      <c r="U370" s="34"/>
      <c r="V370" s="34" t="s">
        <v>949</v>
      </c>
      <c r="W370" s="34"/>
      <c r="X370" s="34" t="s">
        <v>909</v>
      </c>
      <c r="Y370" s="34" t="s">
        <v>47</v>
      </c>
      <c r="Z370" s="34">
        <v>2142</v>
      </c>
      <c r="AA370" s="34" t="s">
        <v>393</v>
      </c>
      <c r="AB370" s="34" t="s">
        <v>393</v>
      </c>
      <c r="AC370" s="34" t="s">
        <v>1118</v>
      </c>
      <c r="AD370" s="34" t="s">
        <v>383</v>
      </c>
      <c r="AE370" s="34" t="s">
        <v>382</v>
      </c>
      <c r="AF370" s="34" t="s">
        <v>377</v>
      </c>
      <c r="AG370" s="34"/>
      <c r="AH370" s="34"/>
      <c r="AI370" s="34">
        <v>44027</v>
      </c>
      <c r="AJ370" s="34">
        <v>100</v>
      </c>
      <c r="AK370" s="34">
        <v>675</v>
      </c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 t="s">
        <v>28</v>
      </c>
      <c r="BH370" s="34"/>
      <c r="BI370" s="34" t="s">
        <v>168</v>
      </c>
      <c r="BJ370" s="34"/>
      <c r="BK370" s="34" t="s">
        <v>50</v>
      </c>
      <c r="BL370" s="34" t="s">
        <v>167</v>
      </c>
      <c r="BM370" s="34" t="s">
        <v>166</v>
      </c>
      <c r="BN370" s="34">
        <v>44090.349931805555</v>
      </c>
      <c r="BO370" s="34"/>
      <c r="BP370" s="34"/>
      <c r="BQ370" s="34"/>
      <c r="BR370" s="34" t="s">
        <v>165</v>
      </c>
      <c r="BS370" s="34">
        <v>4.0822202018295301E+18</v>
      </c>
      <c r="BT370" s="34" t="s">
        <v>164</v>
      </c>
      <c r="BU370" s="34" t="s">
        <v>1119</v>
      </c>
      <c r="BV370" s="34">
        <v>2020</v>
      </c>
      <c r="BW370" s="34" t="s">
        <v>163</v>
      </c>
      <c r="BX370" s="34"/>
      <c r="BY370" s="34">
        <v>4.0915202018454502E+18</v>
      </c>
      <c r="BZ370" s="34" t="s">
        <v>1583</v>
      </c>
      <c r="CA370" s="34" t="s">
        <v>161</v>
      </c>
    </row>
    <row r="371" spans="1:79" x14ac:dyDescent="0.25">
      <c r="A371" s="34" t="s">
        <v>374</v>
      </c>
      <c r="B371" s="34" t="s">
        <v>287</v>
      </c>
      <c r="C371" s="34">
        <v>2020</v>
      </c>
      <c r="D371" s="34" t="s">
        <v>451</v>
      </c>
      <c r="E371" s="34">
        <v>2.0200820926378701E+17</v>
      </c>
      <c r="F371" s="34" t="s">
        <v>182</v>
      </c>
      <c r="G371" s="34" t="s">
        <v>1584</v>
      </c>
      <c r="H371" s="34">
        <v>1434463</v>
      </c>
      <c r="I371" s="34"/>
      <c r="J371" s="34" t="s">
        <v>180</v>
      </c>
      <c r="K371" s="34" t="s">
        <v>179</v>
      </c>
      <c r="L371" s="34"/>
      <c r="M371" s="34"/>
      <c r="N371" s="34" t="s">
        <v>905</v>
      </c>
      <c r="O371" s="34" t="s">
        <v>297</v>
      </c>
      <c r="P371" s="34"/>
      <c r="Q371" s="34" t="s">
        <v>296</v>
      </c>
      <c r="R371" s="34" t="s">
        <v>906</v>
      </c>
      <c r="S371" s="34"/>
      <c r="T371" s="34" t="s">
        <v>907</v>
      </c>
      <c r="U371" s="34"/>
      <c r="V371" s="34" t="s">
        <v>949</v>
      </c>
      <c r="W371" s="34"/>
      <c r="X371" s="34" t="s">
        <v>909</v>
      </c>
      <c r="Y371" s="34" t="s">
        <v>47</v>
      </c>
      <c r="Z371" s="34">
        <v>2142</v>
      </c>
      <c r="AA371" s="34" t="s">
        <v>393</v>
      </c>
      <c r="AB371" s="34" t="s">
        <v>393</v>
      </c>
      <c r="AC371" s="34"/>
      <c r="AD371" s="34">
        <v>15</v>
      </c>
      <c r="AE371" s="34" t="s">
        <v>169</v>
      </c>
      <c r="AF371" s="34" t="s">
        <v>364</v>
      </c>
      <c r="AG371" s="34"/>
      <c r="AH371" s="34"/>
      <c r="AI371" s="34">
        <v>44035</v>
      </c>
      <c r="AJ371" s="34">
        <v>10.5</v>
      </c>
      <c r="AK371" s="34">
        <v>332.3</v>
      </c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 t="s">
        <v>28</v>
      </c>
      <c r="BH371" s="34"/>
      <c r="BI371" s="34" t="s">
        <v>168</v>
      </c>
      <c r="BJ371" s="34"/>
      <c r="BK371" s="34" t="s">
        <v>50</v>
      </c>
      <c r="BL371" s="34" t="s">
        <v>167</v>
      </c>
      <c r="BM371" s="34" t="s">
        <v>166</v>
      </c>
      <c r="BN371" s="34">
        <v>44090.349931817131</v>
      </c>
      <c r="BO371" s="34"/>
      <c r="BP371" s="34"/>
      <c r="BQ371" s="34"/>
      <c r="BR371" s="34" t="s">
        <v>165</v>
      </c>
      <c r="BS371" s="34">
        <v>4.0822202018295301E+18</v>
      </c>
      <c r="BT371" s="34" t="s">
        <v>164</v>
      </c>
      <c r="BU371" s="34" t="s">
        <v>362</v>
      </c>
      <c r="BV371" s="34">
        <v>2020</v>
      </c>
      <c r="BW371" s="34" t="s">
        <v>163</v>
      </c>
      <c r="BX371" s="34"/>
      <c r="BY371" s="34">
        <v>4.0915202018454502E+18</v>
      </c>
      <c r="BZ371" s="34" t="s">
        <v>1585</v>
      </c>
      <c r="CA371" s="34" t="s">
        <v>161</v>
      </c>
    </row>
    <row r="372" spans="1:79" x14ac:dyDescent="0.25">
      <c r="A372" s="34" t="s">
        <v>374</v>
      </c>
      <c r="B372" s="34" t="s">
        <v>287</v>
      </c>
      <c r="C372" s="34">
        <v>2020</v>
      </c>
      <c r="D372" s="34" t="s">
        <v>451</v>
      </c>
      <c r="E372" s="34">
        <v>2.0200820926378701E+17</v>
      </c>
      <c r="F372" s="34" t="s">
        <v>182</v>
      </c>
      <c r="G372" s="34" t="s">
        <v>1586</v>
      </c>
      <c r="H372" s="34">
        <v>1434463</v>
      </c>
      <c r="I372" s="34"/>
      <c r="J372" s="34" t="s">
        <v>180</v>
      </c>
      <c r="K372" s="34" t="s">
        <v>179</v>
      </c>
      <c r="L372" s="34"/>
      <c r="M372" s="34"/>
      <c r="N372" s="34" t="s">
        <v>905</v>
      </c>
      <c r="O372" s="34" t="s">
        <v>297</v>
      </c>
      <c r="P372" s="34"/>
      <c r="Q372" s="34" t="s">
        <v>296</v>
      </c>
      <c r="R372" s="34" t="s">
        <v>906</v>
      </c>
      <c r="S372" s="34"/>
      <c r="T372" s="34" t="s">
        <v>907</v>
      </c>
      <c r="U372" s="34"/>
      <c r="V372" s="34" t="s">
        <v>949</v>
      </c>
      <c r="W372" s="34"/>
      <c r="X372" s="34" t="s">
        <v>909</v>
      </c>
      <c r="Y372" s="34" t="s">
        <v>47</v>
      </c>
      <c r="Z372" s="34">
        <v>2142</v>
      </c>
      <c r="AA372" s="34" t="s">
        <v>393</v>
      </c>
      <c r="AB372" s="34" t="s">
        <v>393</v>
      </c>
      <c r="AC372" s="34"/>
      <c r="AD372" s="34">
        <v>15</v>
      </c>
      <c r="AE372" s="34" t="s">
        <v>169</v>
      </c>
      <c r="AF372" s="34" t="s">
        <v>364</v>
      </c>
      <c r="AG372" s="34"/>
      <c r="AH372" s="34"/>
      <c r="AI372" s="34">
        <v>44028</v>
      </c>
      <c r="AJ372" s="34">
        <v>10</v>
      </c>
      <c r="AK372" s="34">
        <v>332.3</v>
      </c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 t="s">
        <v>28</v>
      </c>
      <c r="BH372" s="34"/>
      <c r="BI372" s="34" t="s">
        <v>168</v>
      </c>
      <c r="BJ372" s="34"/>
      <c r="BK372" s="34" t="s">
        <v>50</v>
      </c>
      <c r="BL372" s="34" t="s">
        <v>167</v>
      </c>
      <c r="BM372" s="34" t="s">
        <v>166</v>
      </c>
      <c r="BN372" s="34">
        <v>44090.349931805555</v>
      </c>
      <c r="BO372" s="34"/>
      <c r="BP372" s="34"/>
      <c r="BQ372" s="34"/>
      <c r="BR372" s="34" t="s">
        <v>165</v>
      </c>
      <c r="BS372" s="34">
        <v>4.0822202018295301E+18</v>
      </c>
      <c r="BT372" s="34" t="s">
        <v>164</v>
      </c>
      <c r="BU372" s="34" t="s">
        <v>362</v>
      </c>
      <c r="BV372" s="34">
        <v>2020</v>
      </c>
      <c r="BW372" s="34" t="s">
        <v>163</v>
      </c>
      <c r="BX372" s="34"/>
      <c r="BY372" s="34">
        <v>4.0915202018454502E+18</v>
      </c>
      <c r="BZ372" s="34" t="s">
        <v>1583</v>
      </c>
      <c r="CA372" s="34" t="s">
        <v>161</v>
      </c>
    </row>
    <row r="373" spans="1:79" x14ac:dyDescent="0.25">
      <c r="A373" s="34" t="s">
        <v>374</v>
      </c>
      <c r="B373" s="34" t="s">
        <v>287</v>
      </c>
      <c r="C373" s="34">
        <v>2020</v>
      </c>
      <c r="D373" s="34" t="s">
        <v>451</v>
      </c>
      <c r="E373" s="34">
        <v>2.0200820926378701E+17</v>
      </c>
      <c r="F373" s="34" t="s">
        <v>182</v>
      </c>
      <c r="G373" s="34" t="s">
        <v>1587</v>
      </c>
      <c r="H373" s="34">
        <v>1434463</v>
      </c>
      <c r="I373" s="34"/>
      <c r="J373" s="34" t="s">
        <v>180</v>
      </c>
      <c r="K373" s="34" t="s">
        <v>179</v>
      </c>
      <c r="L373" s="34" t="s">
        <v>1491</v>
      </c>
      <c r="M373" s="34"/>
      <c r="N373" s="34" t="s">
        <v>905</v>
      </c>
      <c r="O373" s="34" t="s">
        <v>297</v>
      </c>
      <c r="P373" s="34"/>
      <c r="Q373" s="34" t="s">
        <v>296</v>
      </c>
      <c r="R373" s="34" t="s">
        <v>906</v>
      </c>
      <c r="S373" s="34"/>
      <c r="T373" s="34" t="s">
        <v>907</v>
      </c>
      <c r="U373" s="34"/>
      <c r="V373" s="34" t="s">
        <v>949</v>
      </c>
      <c r="W373" s="34"/>
      <c r="X373" s="34" t="s">
        <v>909</v>
      </c>
      <c r="Y373" s="34" t="s">
        <v>47</v>
      </c>
      <c r="Z373" s="34">
        <v>2142</v>
      </c>
      <c r="AA373" s="34" t="s">
        <v>393</v>
      </c>
      <c r="AB373" s="34" t="s">
        <v>393</v>
      </c>
      <c r="AC373" s="34" t="s">
        <v>1491</v>
      </c>
      <c r="AD373" s="34" t="s">
        <v>383</v>
      </c>
      <c r="AE373" s="34" t="s">
        <v>382</v>
      </c>
      <c r="AF373" s="34" t="s">
        <v>377</v>
      </c>
      <c r="AG373" s="34"/>
      <c r="AH373" s="34"/>
      <c r="AI373" s="34">
        <v>44035</v>
      </c>
      <c r="AJ373" s="34">
        <v>105</v>
      </c>
      <c r="AK373" s="34">
        <v>205</v>
      </c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 t="s">
        <v>28</v>
      </c>
      <c r="BH373" s="34"/>
      <c r="BI373" s="34" t="s">
        <v>168</v>
      </c>
      <c r="BJ373" s="34"/>
      <c r="BK373" s="34" t="s">
        <v>50</v>
      </c>
      <c r="BL373" s="34" t="s">
        <v>167</v>
      </c>
      <c r="BM373" s="34" t="s">
        <v>166</v>
      </c>
      <c r="BN373" s="34">
        <v>44090.349931817131</v>
      </c>
      <c r="BO373" s="34"/>
      <c r="BP373" s="34"/>
      <c r="BQ373" s="34"/>
      <c r="BR373" s="34" t="s">
        <v>165</v>
      </c>
      <c r="BS373" s="34">
        <v>4.0822202018295301E+18</v>
      </c>
      <c r="BT373" s="34" t="s">
        <v>164</v>
      </c>
      <c r="BU373" s="34" t="s">
        <v>1588</v>
      </c>
      <c r="BV373" s="34">
        <v>2020</v>
      </c>
      <c r="BW373" s="34" t="s">
        <v>163</v>
      </c>
      <c r="BX373" s="34"/>
      <c r="BY373" s="34">
        <v>4.0915202018454502E+18</v>
      </c>
      <c r="BZ373" s="34" t="s">
        <v>1589</v>
      </c>
      <c r="CA373" s="34" t="s">
        <v>161</v>
      </c>
    </row>
    <row r="374" spans="1:79" x14ac:dyDescent="0.25">
      <c r="A374" s="34" t="s">
        <v>374</v>
      </c>
      <c r="B374" s="34" t="s">
        <v>287</v>
      </c>
      <c r="C374" s="34">
        <v>2020</v>
      </c>
      <c r="D374" s="34" t="s">
        <v>451</v>
      </c>
      <c r="E374" s="34">
        <v>2.0200820926378701E+17</v>
      </c>
      <c r="F374" s="34" t="s">
        <v>182</v>
      </c>
      <c r="G374" s="34" t="s">
        <v>1590</v>
      </c>
      <c r="H374" s="34">
        <v>1434463</v>
      </c>
      <c r="I374" s="34"/>
      <c r="J374" s="34" t="s">
        <v>180</v>
      </c>
      <c r="K374" s="34" t="s">
        <v>179</v>
      </c>
      <c r="L374" s="34" t="s">
        <v>1433</v>
      </c>
      <c r="M374" s="34"/>
      <c r="N374" s="34" t="s">
        <v>905</v>
      </c>
      <c r="O374" s="34" t="s">
        <v>297</v>
      </c>
      <c r="P374" s="34"/>
      <c r="Q374" s="34" t="s">
        <v>296</v>
      </c>
      <c r="R374" s="34" t="s">
        <v>906</v>
      </c>
      <c r="S374" s="34"/>
      <c r="T374" s="34" t="s">
        <v>907</v>
      </c>
      <c r="U374" s="34"/>
      <c r="V374" s="34" t="s">
        <v>949</v>
      </c>
      <c r="W374" s="34"/>
      <c r="X374" s="34" t="s">
        <v>909</v>
      </c>
      <c r="Y374" s="34" t="s">
        <v>47</v>
      </c>
      <c r="Z374" s="34">
        <v>2142</v>
      </c>
      <c r="AA374" s="34" t="s">
        <v>393</v>
      </c>
      <c r="AB374" s="34" t="s">
        <v>393</v>
      </c>
      <c r="AC374" s="34" t="s">
        <v>1433</v>
      </c>
      <c r="AD374" s="34" t="s">
        <v>383</v>
      </c>
      <c r="AE374" s="34" t="s">
        <v>382</v>
      </c>
      <c r="AF374" s="34" t="s">
        <v>377</v>
      </c>
      <c r="AG374" s="34"/>
      <c r="AH374" s="34"/>
      <c r="AI374" s="34">
        <v>44028</v>
      </c>
      <c r="AJ374" s="34">
        <v>100</v>
      </c>
      <c r="AK374" s="34">
        <v>600</v>
      </c>
      <c r="AL374" s="34" t="s">
        <v>1474</v>
      </c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 t="s">
        <v>28</v>
      </c>
      <c r="BH374" s="34"/>
      <c r="BI374" s="34" t="s">
        <v>168</v>
      </c>
      <c r="BJ374" s="34"/>
      <c r="BK374" s="34" t="s">
        <v>50</v>
      </c>
      <c r="BL374" s="34" t="s">
        <v>167</v>
      </c>
      <c r="BM374" s="34" t="s">
        <v>166</v>
      </c>
      <c r="BN374" s="34">
        <v>44090.349931805555</v>
      </c>
      <c r="BO374" s="34"/>
      <c r="BP374" s="34"/>
      <c r="BQ374" s="34"/>
      <c r="BR374" s="34" t="s">
        <v>165</v>
      </c>
      <c r="BS374" s="34">
        <v>4.0822202018295301E+18</v>
      </c>
      <c r="BT374" s="34" t="s">
        <v>164</v>
      </c>
      <c r="BU374" s="34" t="s">
        <v>400</v>
      </c>
      <c r="BV374" s="34">
        <v>2020</v>
      </c>
      <c r="BW374" s="34" t="s">
        <v>163</v>
      </c>
      <c r="BX374" s="34"/>
      <c r="BY374" s="34">
        <v>4.0915202018454502E+18</v>
      </c>
      <c r="BZ374" s="34" t="s">
        <v>1583</v>
      </c>
      <c r="CA374" s="34" t="s">
        <v>161</v>
      </c>
    </row>
    <row r="375" spans="1:79" x14ac:dyDescent="0.25">
      <c r="A375" s="34" t="s">
        <v>374</v>
      </c>
      <c r="B375" s="34" t="s">
        <v>287</v>
      </c>
      <c r="C375" s="34">
        <v>2020</v>
      </c>
      <c r="D375" s="34" t="s">
        <v>451</v>
      </c>
      <c r="E375" s="34">
        <v>2.0200820926378701E+17</v>
      </c>
      <c r="F375" s="34" t="s">
        <v>182</v>
      </c>
      <c r="G375" s="34" t="s">
        <v>1591</v>
      </c>
      <c r="H375" s="34">
        <v>1434463</v>
      </c>
      <c r="I375" s="34"/>
      <c r="J375" s="34" t="s">
        <v>180</v>
      </c>
      <c r="K375" s="34" t="s">
        <v>179</v>
      </c>
      <c r="L375" s="34" t="s">
        <v>1491</v>
      </c>
      <c r="M375" s="34"/>
      <c r="N375" s="34" t="s">
        <v>905</v>
      </c>
      <c r="O375" s="34" t="s">
        <v>297</v>
      </c>
      <c r="P375" s="34"/>
      <c r="Q375" s="34" t="s">
        <v>296</v>
      </c>
      <c r="R375" s="34" t="s">
        <v>906</v>
      </c>
      <c r="S375" s="34"/>
      <c r="T375" s="34" t="s">
        <v>907</v>
      </c>
      <c r="U375" s="34"/>
      <c r="V375" s="34" t="s">
        <v>949</v>
      </c>
      <c r="W375" s="34"/>
      <c r="X375" s="34" t="s">
        <v>909</v>
      </c>
      <c r="Y375" s="34" t="s">
        <v>47</v>
      </c>
      <c r="Z375" s="34">
        <v>2142</v>
      </c>
      <c r="AA375" s="34" t="s">
        <v>393</v>
      </c>
      <c r="AB375" s="34" t="s">
        <v>393</v>
      </c>
      <c r="AC375" s="34" t="s">
        <v>1491</v>
      </c>
      <c r="AD375" s="34" t="s">
        <v>383</v>
      </c>
      <c r="AE375" s="34" t="s">
        <v>382</v>
      </c>
      <c r="AF375" s="34" t="s">
        <v>377</v>
      </c>
      <c r="AG375" s="34"/>
      <c r="AH375" s="34"/>
      <c r="AI375" s="34">
        <v>44039</v>
      </c>
      <c r="AJ375" s="34">
        <v>100</v>
      </c>
      <c r="AK375" s="34">
        <v>205</v>
      </c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 t="s">
        <v>28</v>
      </c>
      <c r="BH375" s="34"/>
      <c r="BI375" s="34" t="s">
        <v>168</v>
      </c>
      <c r="BJ375" s="34"/>
      <c r="BK375" s="34" t="s">
        <v>50</v>
      </c>
      <c r="BL375" s="34" t="s">
        <v>167</v>
      </c>
      <c r="BM375" s="34" t="s">
        <v>166</v>
      </c>
      <c r="BN375" s="34">
        <v>44090.349931828707</v>
      </c>
      <c r="BO375" s="34"/>
      <c r="BP375" s="34"/>
      <c r="BQ375" s="34"/>
      <c r="BR375" s="34" t="s">
        <v>165</v>
      </c>
      <c r="BS375" s="34">
        <v>4.0822202018295301E+18</v>
      </c>
      <c r="BT375" s="34" t="s">
        <v>164</v>
      </c>
      <c r="BU375" s="34" t="s">
        <v>1588</v>
      </c>
      <c r="BV375" s="34">
        <v>2020</v>
      </c>
      <c r="BW375" s="34" t="s">
        <v>163</v>
      </c>
      <c r="BX375" s="34"/>
      <c r="BY375" s="34">
        <v>4.0915202018454502E+18</v>
      </c>
      <c r="BZ375" s="34" t="s">
        <v>1592</v>
      </c>
      <c r="CA375" s="34" t="s">
        <v>161</v>
      </c>
    </row>
    <row r="376" spans="1:79" x14ac:dyDescent="0.25">
      <c r="A376" s="34" t="s">
        <v>374</v>
      </c>
      <c r="B376" s="34" t="s">
        <v>287</v>
      </c>
      <c r="C376" s="34">
        <v>2020</v>
      </c>
      <c r="D376" s="34" t="s">
        <v>451</v>
      </c>
      <c r="E376" s="34">
        <v>2.0200820926378701E+17</v>
      </c>
      <c r="F376" s="34" t="s">
        <v>182</v>
      </c>
      <c r="G376" s="34" t="s">
        <v>1593</v>
      </c>
      <c r="H376" s="34">
        <v>1434463</v>
      </c>
      <c r="I376" s="34"/>
      <c r="J376" s="34" t="s">
        <v>180</v>
      </c>
      <c r="K376" s="34" t="s">
        <v>179</v>
      </c>
      <c r="L376" s="34"/>
      <c r="M376" s="34"/>
      <c r="N376" s="34" t="s">
        <v>905</v>
      </c>
      <c r="O376" s="34" t="s">
        <v>297</v>
      </c>
      <c r="P376" s="34"/>
      <c r="Q376" s="34" t="s">
        <v>296</v>
      </c>
      <c r="R376" s="34" t="s">
        <v>906</v>
      </c>
      <c r="S376" s="34"/>
      <c r="T376" s="34" t="s">
        <v>907</v>
      </c>
      <c r="U376" s="34"/>
      <c r="V376" s="34" t="s">
        <v>949</v>
      </c>
      <c r="W376" s="34"/>
      <c r="X376" s="34" t="s">
        <v>909</v>
      </c>
      <c r="Y376" s="34" t="s">
        <v>47</v>
      </c>
      <c r="Z376" s="34">
        <v>2142</v>
      </c>
      <c r="AA376" s="34" t="s">
        <v>393</v>
      </c>
      <c r="AB376" s="34" t="s">
        <v>393</v>
      </c>
      <c r="AC376" s="34"/>
      <c r="AD376" s="34">
        <v>15</v>
      </c>
      <c r="AE376" s="34" t="s">
        <v>169</v>
      </c>
      <c r="AF376" s="34" t="s">
        <v>364</v>
      </c>
      <c r="AG376" s="34"/>
      <c r="AH376" s="34"/>
      <c r="AI376" s="34">
        <v>44039</v>
      </c>
      <c r="AJ376" s="34">
        <v>10</v>
      </c>
      <c r="AK376" s="34">
        <v>332.3</v>
      </c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 t="s">
        <v>28</v>
      </c>
      <c r="BH376" s="34"/>
      <c r="BI376" s="34" t="s">
        <v>168</v>
      </c>
      <c r="BJ376" s="34"/>
      <c r="BK376" s="34" t="s">
        <v>50</v>
      </c>
      <c r="BL376" s="34" t="s">
        <v>167</v>
      </c>
      <c r="BM376" s="34" t="s">
        <v>166</v>
      </c>
      <c r="BN376" s="34">
        <v>44090.349931828707</v>
      </c>
      <c r="BO376" s="34"/>
      <c r="BP376" s="34"/>
      <c r="BQ376" s="34"/>
      <c r="BR376" s="34" t="s">
        <v>165</v>
      </c>
      <c r="BS376" s="34">
        <v>4.0822202018295301E+18</v>
      </c>
      <c r="BT376" s="34" t="s">
        <v>164</v>
      </c>
      <c r="BU376" s="34" t="s">
        <v>362</v>
      </c>
      <c r="BV376" s="34">
        <v>2020</v>
      </c>
      <c r="BW376" s="34" t="s">
        <v>163</v>
      </c>
      <c r="BX376" s="34"/>
      <c r="BY376" s="34">
        <v>4.0915202018454502E+18</v>
      </c>
      <c r="BZ376" s="34" t="s">
        <v>1592</v>
      </c>
      <c r="CA376" s="34" t="s">
        <v>161</v>
      </c>
    </row>
    <row r="377" spans="1:79" x14ac:dyDescent="0.25">
      <c r="A377" s="34" t="s">
        <v>374</v>
      </c>
      <c r="B377" s="34" t="s">
        <v>287</v>
      </c>
      <c r="C377" s="34">
        <v>2020</v>
      </c>
      <c r="D377" s="34" t="s">
        <v>451</v>
      </c>
      <c r="E377" s="34">
        <v>2.0200820926378701E+17</v>
      </c>
      <c r="F377" s="34" t="s">
        <v>182</v>
      </c>
      <c r="G377" s="34" t="s">
        <v>1594</v>
      </c>
      <c r="H377" s="34">
        <v>1434463</v>
      </c>
      <c r="I377" s="34"/>
      <c r="J377" s="34" t="s">
        <v>180</v>
      </c>
      <c r="K377" s="34" t="s">
        <v>179</v>
      </c>
      <c r="L377" s="34"/>
      <c r="M377" s="34"/>
      <c r="N377" s="34" t="s">
        <v>905</v>
      </c>
      <c r="O377" s="34" t="s">
        <v>297</v>
      </c>
      <c r="P377" s="34"/>
      <c r="Q377" s="34" t="s">
        <v>296</v>
      </c>
      <c r="R377" s="34" t="s">
        <v>906</v>
      </c>
      <c r="S377" s="34"/>
      <c r="T377" s="34" t="s">
        <v>907</v>
      </c>
      <c r="U377" s="34"/>
      <c r="V377" s="34" t="s">
        <v>949</v>
      </c>
      <c r="W377" s="34"/>
      <c r="X377" s="34" t="s">
        <v>909</v>
      </c>
      <c r="Y377" s="34" t="s">
        <v>47</v>
      </c>
      <c r="Z377" s="34">
        <v>2142</v>
      </c>
      <c r="AA377" s="34" t="s">
        <v>393</v>
      </c>
      <c r="AB377" s="34" t="s">
        <v>393</v>
      </c>
      <c r="AC377" s="34"/>
      <c r="AD377" s="34">
        <v>15</v>
      </c>
      <c r="AE377" s="34" t="s">
        <v>169</v>
      </c>
      <c r="AF377" s="34" t="s">
        <v>364</v>
      </c>
      <c r="AG377" s="34"/>
      <c r="AH377" s="34"/>
      <c r="AI377" s="34">
        <v>44035</v>
      </c>
      <c r="AJ377" s="34">
        <v>10</v>
      </c>
      <c r="AK377" s="34">
        <v>332.3</v>
      </c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 t="s">
        <v>28</v>
      </c>
      <c r="BH377" s="34"/>
      <c r="BI377" s="34" t="s">
        <v>168</v>
      </c>
      <c r="BJ377" s="34"/>
      <c r="BK377" s="34" t="s">
        <v>50</v>
      </c>
      <c r="BL377" s="34" t="s">
        <v>167</v>
      </c>
      <c r="BM377" s="34" t="s">
        <v>166</v>
      </c>
      <c r="BN377" s="34">
        <v>44090.349931817131</v>
      </c>
      <c r="BO377" s="34"/>
      <c r="BP377" s="34"/>
      <c r="BQ377" s="34"/>
      <c r="BR377" s="34" t="s">
        <v>165</v>
      </c>
      <c r="BS377" s="34">
        <v>4.0822202018295301E+18</v>
      </c>
      <c r="BT377" s="34" t="s">
        <v>164</v>
      </c>
      <c r="BU377" s="34" t="s">
        <v>362</v>
      </c>
      <c r="BV377" s="34">
        <v>2020</v>
      </c>
      <c r="BW377" s="34" t="s">
        <v>163</v>
      </c>
      <c r="BX377" s="34"/>
      <c r="BY377" s="34">
        <v>4.0915202018454502E+18</v>
      </c>
      <c r="BZ377" s="34" t="s">
        <v>1595</v>
      </c>
      <c r="CA377" s="34" t="s">
        <v>161</v>
      </c>
    </row>
    <row r="378" spans="1:79" x14ac:dyDescent="0.25">
      <c r="A378" s="34" t="s">
        <v>374</v>
      </c>
      <c r="B378" s="34" t="s">
        <v>287</v>
      </c>
      <c r="C378" s="34">
        <v>2020</v>
      </c>
      <c r="D378" s="34" t="s">
        <v>451</v>
      </c>
      <c r="E378" s="34">
        <v>2.0200820926378701E+17</v>
      </c>
      <c r="F378" s="34" t="s">
        <v>182</v>
      </c>
      <c r="G378" s="34" t="s">
        <v>1596</v>
      </c>
      <c r="H378" s="34">
        <v>1434463</v>
      </c>
      <c r="I378" s="34"/>
      <c r="J378" s="34" t="s">
        <v>180</v>
      </c>
      <c r="K378" s="34" t="s">
        <v>179</v>
      </c>
      <c r="L378" s="34"/>
      <c r="M378" s="34"/>
      <c r="N378" s="34" t="s">
        <v>905</v>
      </c>
      <c r="O378" s="34" t="s">
        <v>297</v>
      </c>
      <c r="P378" s="34"/>
      <c r="Q378" s="34" t="s">
        <v>296</v>
      </c>
      <c r="R378" s="34" t="s">
        <v>906</v>
      </c>
      <c r="S378" s="34"/>
      <c r="T378" s="34" t="s">
        <v>907</v>
      </c>
      <c r="U378" s="34"/>
      <c r="V378" s="34" t="s">
        <v>949</v>
      </c>
      <c r="W378" s="34"/>
      <c r="X378" s="34" t="s">
        <v>909</v>
      </c>
      <c r="Y378" s="34" t="s">
        <v>47</v>
      </c>
      <c r="Z378" s="34">
        <v>2142</v>
      </c>
      <c r="AA378" s="34" t="s">
        <v>393</v>
      </c>
      <c r="AB378" s="34" t="s">
        <v>393</v>
      </c>
      <c r="AC378" s="34"/>
      <c r="AD378" s="34"/>
      <c r="AE378" s="34"/>
      <c r="AF378" s="34" t="s">
        <v>377</v>
      </c>
      <c r="AG378" s="34"/>
      <c r="AH378" s="34"/>
      <c r="AI378" s="34">
        <v>44041</v>
      </c>
      <c r="AJ378" s="34">
        <v>50</v>
      </c>
      <c r="AK378" s="34">
        <v>70</v>
      </c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 t="s">
        <v>50</v>
      </c>
      <c r="BL378" s="34" t="s">
        <v>167</v>
      </c>
      <c r="BM378" s="34" t="s">
        <v>166</v>
      </c>
      <c r="BN378" s="34">
        <v>44090.349931840276</v>
      </c>
      <c r="BO378" s="34"/>
      <c r="BP378" s="34"/>
      <c r="BQ378" s="34"/>
      <c r="BR378" s="34" t="s">
        <v>165</v>
      </c>
      <c r="BS378" s="34">
        <v>4.0822202018295301E+18</v>
      </c>
      <c r="BT378" s="34" t="s">
        <v>164</v>
      </c>
      <c r="BU378" s="34" t="s">
        <v>650</v>
      </c>
      <c r="BV378" s="34">
        <v>2020</v>
      </c>
      <c r="BW378" s="34" t="s">
        <v>163</v>
      </c>
      <c r="BX378" s="34"/>
      <c r="BY378" s="34">
        <v>4.0915202018454502E+18</v>
      </c>
      <c r="BZ378" s="34" t="s">
        <v>1597</v>
      </c>
      <c r="CA378" s="34" t="s">
        <v>161</v>
      </c>
    </row>
    <row r="379" spans="1:79" x14ac:dyDescent="0.25">
      <c r="A379" s="34" t="s">
        <v>374</v>
      </c>
      <c r="B379" s="34" t="s">
        <v>287</v>
      </c>
      <c r="C379" s="34">
        <v>2020</v>
      </c>
      <c r="D379" s="34" t="s">
        <v>451</v>
      </c>
      <c r="E379" s="34">
        <v>2.0200820926378701E+17</v>
      </c>
      <c r="F379" s="34" t="s">
        <v>182</v>
      </c>
      <c r="G379" s="34" t="s">
        <v>1598</v>
      </c>
      <c r="H379" s="34">
        <v>1434463</v>
      </c>
      <c r="I379" s="34"/>
      <c r="J379" s="34" t="s">
        <v>180</v>
      </c>
      <c r="K379" s="34" t="s">
        <v>179</v>
      </c>
      <c r="L379" s="34"/>
      <c r="M379" s="34"/>
      <c r="N379" s="34" t="s">
        <v>905</v>
      </c>
      <c r="O379" s="34" t="s">
        <v>297</v>
      </c>
      <c r="P379" s="34"/>
      <c r="Q379" s="34" t="s">
        <v>296</v>
      </c>
      <c r="R379" s="34" t="s">
        <v>906</v>
      </c>
      <c r="S379" s="34"/>
      <c r="T379" s="34" t="s">
        <v>907</v>
      </c>
      <c r="U379" s="34"/>
      <c r="V379" s="34" t="s">
        <v>949</v>
      </c>
      <c r="W379" s="34"/>
      <c r="X379" s="34" t="s">
        <v>909</v>
      </c>
      <c r="Y379" s="34" t="s">
        <v>47</v>
      </c>
      <c r="Z379" s="34">
        <v>2142</v>
      </c>
      <c r="AA379" s="34" t="s">
        <v>393</v>
      </c>
      <c r="AB379" s="34" t="s">
        <v>393</v>
      </c>
      <c r="AC379" s="34"/>
      <c r="AD379" s="34"/>
      <c r="AE379" s="34"/>
      <c r="AF379" s="34" t="s">
        <v>377</v>
      </c>
      <c r="AG379" s="34"/>
      <c r="AH379" s="34"/>
      <c r="AI379" s="34">
        <v>44035</v>
      </c>
      <c r="AJ379" s="34">
        <v>100</v>
      </c>
      <c r="AK379" s="34">
        <v>150</v>
      </c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 t="s">
        <v>50</v>
      </c>
      <c r="BL379" s="34" t="s">
        <v>167</v>
      </c>
      <c r="BM379" s="34" t="s">
        <v>166</v>
      </c>
      <c r="BN379" s="34">
        <v>44090.349931817131</v>
      </c>
      <c r="BO379" s="34"/>
      <c r="BP379" s="34"/>
      <c r="BQ379" s="34"/>
      <c r="BR379" s="34" t="s">
        <v>165</v>
      </c>
      <c r="BS379" s="34">
        <v>4.0822202018295301E+18</v>
      </c>
      <c r="BT379" s="34" t="s">
        <v>164</v>
      </c>
      <c r="BU379" s="34" t="s">
        <v>1364</v>
      </c>
      <c r="BV379" s="34">
        <v>2020</v>
      </c>
      <c r="BW379" s="34" t="s">
        <v>163</v>
      </c>
      <c r="BX379" s="34"/>
      <c r="BY379" s="34">
        <v>4.0915202018454502E+18</v>
      </c>
      <c r="BZ379" s="34" t="s">
        <v>1585</v>
      </c>
      <c r="CA379" s="34" t="s">
        <v>161</v>
      </c>
    </row>
    <row r="380" spans="1:79" x14ac:dyDescent="0.25">
      <c r="A380" s="34" t="s">
        <v>374</v>
      </c>
      <c r="B380" s="34" t="s">
        <v>287</v>
      </c>
      <c r="C380" s="34">
        <v>2020</v>
      </c>
      <c r="D380" s="34" t="s">
        <v>451</v>
      </c>
      <c r="E380" s="34">
        <v>2.0200820926378701E+17</v>
      </c>
      <c r="F380" s="34" t="s">
        <v>182</v>
      </c>
      <c r="G380" s="34" t="s">
        <v>1599</v>
      </c>
      <c r="H380" s="34">
        <v>1434463</v>
      </c>
      <c r="I380" s="34"/>
      <c r="J380" s="34" t="s">
        <v>180</v>
      </c>
      <c r="K380" s="34" t="s">
        <v>179</v>
      </c>
      <c r="L380" s="34"/>
      <c r="M380" s="34"/>
      <c r="N380" s="34" t="s">
        <v>905</v>
      </c>
      <c r="O380" s="34" t="s">
        <v>297</v>
      </c>
      <c r="P380" s="34"/>
      <c r="Q380" s="34" t="s">
        <v>296</v>
      </c>
      <c r="R380" s="34" t="s">
        <v>906</v>
      </c>
      <c r="S380" s="34"/>
      <c r="T380" s="34" t="s">
        <v>907</v>
      </c>
      <c r="U380" s="34"/>
      <c r="V380" s="34" t="s">
        <v>949</v>
      </c>
      <c r="W380" s="34"/>
      <c r="X380" s="34" t="s">
        <v>909</v>
      </c>
      <c r="Y380" s="34" t="s">
        <v>47</v>
      </c>
      <c r="Z380" s="34">
        <v>2142</v>
      </c>
      <c r="AA380" s="34" t="s">
        <v>393</v>
      </c>
      <c r="AB380" s="34" t="s">
        <v>393</v>
      </c>
      <c r="AC380" s="34"/>
      <c r="AD380" s="34">
        <v>15</v>
      </c>
      <c r="AE380" s="34" t="s">
        <v>169</v>
      </c>
      <c r="AF380" s="34" t="s">
        <v>364</v>
      </c>
      <c r="AG380" s="34"/>
      <c r="AH380" s="34"/>
      <c r="AI380" s="34">
        <v>44041</v>
      </c>
      <c r="AJ380" s="34">
        <v>2.8</v>
      </c>
      <c r="AK380" s="34">
        <v>332.3</v>
      </c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 t="s">
        <v>28</v>
      </c>
      <c r="BH380" s="34"/>
      <c r="BI380" s="34" t="s">
        <v>168</v>
      </c>
      <c r="BJ380" s="34"/>
      <c r="BK380" s="34" t="s">
        <v>50</v>
      </c>
      <c r="BL380" s="34" t="s">
        <v>167</v>
      </c>
      <c r="BM380" s="34" t="s">
        <v>166</v>
      </c>
      <c r="BN380" s="34">
        <v>44090.349931840276</v>
      </c>
      <c r="BO380" s="34"/>
      <c r="BP380" s="34"/>
      <c r="BQ380" s="34"/>
      <c r="BR380" s="34" t="s">
        <v>165</v>
      </c>
      <c r="BS380" s="34">
        <v>4.0822202018295301E+18</v>
      </c>
      <c r="BT380" s="34" t="s">
        <v>164</v>
      </c>
      <c r="BU380" s="34" t="s">
        <v>362</v>
      </c>
      <c r="BV380" s="34">
        <v>2020</v>
      </c>
      <c r="BW380" s="34" t="s">
        <v>163</v>
      </c>
      <c r="BX380" s="34"/>
      <c r="BY380" s="34">
        <v>4.0915202018454502E+18</v>
      </c>
      <c r="BZ380" s="34" t="s">
        <v>1600</v>
      </c>
      <c r="CA380" s="34" t="s">
        <v>161</v>
      </c>
    </row>
    <row r="381" spans="1:79" x14ac:dyDescent="0.25">
      <c r="A381" s="34" t="s">
        <v>374</v>
      </c>
      <c r="B381" s="34" t="s">
        <v>287</v>
      </c>
      <c r="C381" s="34">
        <v>2020</v>
      </c>
      <c r="D381" s="34" t="s">
        <v>451</v>
      </c>
      <c r="E381" s="34">
        <v>2.0200820926378701E+17</v>
      </c>
      <c r="F381" s="34" t="s">
        <v>182</v>
      </c>
      <c r="G381" s="34" t="s">
        <v>1601</v>
      </c>
      <c r="H381" s="34">
        <v>1434463</v>
      </c>
      <c r="I381" s="34"/>
      <c r="J381" s="34" t="s">
        <v>180</v>
      </c>
      <c r="K381" s="34" t="s">
        <v>179</v>
      </c>
      <c r="L381" s="34" t="s">
        <v>1025</v>
      </c>
      <c r="M381" s="34"/>
      <c r="N381" s="34" t="s">
        <v>905</v>
      </c>
      <c r="O381" s="34" t="s">
        <v>297</v>
      </c>
      <c r="P381" s="34"/>
      <c r="Q381" s="34" t="s">
        <v>296</v>
      </c>
      <c r="R381" s="34" t="s">
        <v>906</v>
      </c>
      <c r="S381" s="34"/>
      <c r="T381" s="34" t="s">
        <v>907</v>
      </c>
      <c r="U381" s="34"/>
      <c r="V381" s="34" t="s">
        <v>949</v>
      </c>
      <c r="W381" s="34"/>
      <c r="X381" s="34" t="s">
        <v>909</v>
      </c>
      <c r="Y381" s="34" t="s">
        <v>47</v>
      </c>
      <c r="Z381" s="34">
        <v>2142</v>
      </c>
      <c r="AA381" s="34" t="s">
        <v>393</v>
      </c>
      <c r="AB381" s="34" t="s">
        <v>393</v>
      </c>
      <c r="AC381" s="34" t="s">
        <v>1025</v>
      </c>
      <c r="AD381" s="34" t="s">
        <v>383</v>
      </c>
      <c r="AE381" s="34" t="s">
        <v>382</v>
      </c>
      <c r="AF381" s="34" t="s">
        <v>377</v>
      </c>
      <c r="AG381" s="34"/>
      <c r="AH381" s="34"/>
      <c r="AI381" s="34">
        <v>44041</v>
      </c>
      <c r="AJ381" s="34">
        <v>67</v>
      </c>
      <c r="AK381" s="34">
        <v>580.5</v>
      </c>
      <c r="AL381" s="34" t="s">
        <v>1098</v>
      </c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 t="s">
        <v>28</v>
      </c>
      <c r="BH381" s="34"/>
      <c r="BI381" s="34" t="s">
        <v>168</v>
      </c>
      <c r="BJ381" s="34"/>
      <c r="BK381" s="34" t="s">
        <v>50</v>
      </c>
      <c r="BL381" s="34" t="s">
        <v>167</v>
      </c>
      <c r="BM381" s="34" t="s">
        <v>166</v>
      </c>
      <c r="BN381" s="34">
        <v>44090.349931840276</v>
      </c>
      <c r="BO381" s="34"/>
      <c r="BP381" s="34"/>
      <c r="BQ381" s="34"/>
      <c r="BR381" s="34" t="s">
        <v>165</v>
      </c>
      <c r="BS381" s="34">
        <v>4.0822202018295301E+18</v>
      </c>
      <c r="BT381" s="34" t="s">
        <v>164</v>
      </c>
      <c r="BU381" s="34" t="s">
        <v>1099</v>
      </c>
      <c r="BV381" s="34">
        <v>2020</v>
      </c>
      <c r="BW381" s="34" t="s">
        <v>163</v>
      </c>
      <c r="BX381" s="34"/>
      <c r="BY381" s="34">
        <v>4.0915202018454502E+18</v>
      </c>
      <c r="BZ381" s="34" t="s">
        <v>1600</v>
      </c>
      <c r="CA381" s="34" t="s">
        <v>161</v>
      </c>
    </row>
    <row r="382" spans="1:79" x14ac:dyDescent="0.25">
      <c r="A382" s="34" t="s">
        <v>374</v>
      </c>
      <c r="B382" s="34" t="s">
        <v>287</v>
      </c>
      <c r="C382" s="34">
        <v>2020</v>
      </c>
      <c r="D382" s="34" t="s">
        <v>451</v>
      </c>
      <c r="E382" s="34">
        <v>2.0200820926378701E+17</v>
      </c>
      <c r="F382" s="34" t="s">
        <v>182</v>
      </c>
      <c r="G382" s="34" t="s">
        <v>1602</v>
      </c>
      <c r="H382" s="34">
        <v>1434463</v>
      </c>
      <c r="I382" s="34"/>
      <c r="J382" s="34" t="s">
        <v>180</v>
      </c>
      <c r="K382" s="34" t="s">
        <v>179</v>
      </c>
      <c r="L382" s="34" t="s">
        <v>1603</v>
      </c>
      <c r="M382" s="34"/>
      <c r="N382" s="34" t="s">
        <v>905</v>
      </c>
      <c r="O382" s="34" t="s">
        <v>297</v>
      </c>
      <c r="P382" s="34"/>
      <c r="Q382" s="34" t="s">
        <v>296</v>
      </c>
      <c r="R382" s="34" t="s">
        <v>906</v>
      </c>
      <c r="S382" s="34"/>
      <c r="T382" s="34" t="s">
        <v>907</v>
      </c>
      <c r="U382" s="34"/>
      <c r="V382" s="34" t="s">
        <v>949</v>
      </c>
      <c r="W382" s="34"/>
      <c r="X382" s="34" t="s">
        <v>909</v>
      </c>
      <c r="Y382" s="34" t="s">
        <v>47</v>
      </c>
      <c r="Z382" s="34">
        <v>2142</v>
      </c>
      <c r="AA382" s="34" t="s">
        <v>393</v>
      </c>
      <c r="AB382" s="34" t="s">
        <v>393</v>
      </c>
      <c r="AC382" s="34" t="s">
        <v>1603</v>
      </c>
      <c r="AD382" s="34" t="s">
        <v>383</v>
      </c>
      <c r="AE382" s="34" t="s">
        <v>382</v>
      </c>
      <c r="AF382" s="34" t="s">
        <v>377</v>
      </c>
      <c r="AG382" s="34"/>
      <c r="AH382" s="34"/>
      <c r="AI382" s="34">
        <v>44041</v>
      </c>
      <c r="AJ382" s="34">
        <v>28</v>
      </c>
      <c r="AK382" s="34">
        <v>203</v>
      </c>
      <c r="AL382" s="34" t="s">
        <v>1604</v>
      </c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 t="s">
        <v>28</v>
      </c>
      <c r="BH382" s="34"/>
      <c r="BI382" s="34" t="s">
        <v>168</v>
      </c>
      <c r="BJ382" s="34"/>
      <c r="BK382" s="34" t="s">
        <v>50</v>
      </c>
      <c r="BL382" s="34" t="s">
        <v>167</v>
      </c>
      <c r="BM382" s="34" t="s">
        <v>166</v>
      </c>
      <c r="BN382" s="34">
        <v>44090.349931840276</v>
      </c>
      <c r="BO382" s="34"/>
      <c r="BP382" s="34"/>
      <c r="BQ382" s="34"/>
      <c r="BR382" s="34" t="s">
        <v>165</v>
      </c>
      <c r="BS382" s="34">
        <v>4.0822202018295301E+18</v>
      </c>
      <c r="BT382" s="34" t="s">
        <v>164</v>
      </c>
      <c r="BU382" s="34" t="s">
        <v>1458</v>
      </c>
      <c r="BV382" s="34">
        <v>2020</v>
      </c>
      <c r="BW382" s="34" t="s">
        <v>163</v>
      </c>
      <c r="BX382" s="34"/>
      <c r="BY382" s="34">
        <v>4.0915202018454502E+18</v>
      </c>
      <c r="BZ382" s="34" t="s">
        <v>1600</v>
      </c>
      <c r="CA382" s="34" t="s">
        <v>161</v>
      </c>
    </row>
    <row r="383" spans="1:79" x14ac:dyDescent="0.25">
      <c r="A383" s="34" t="s">
        <v>374</v>
      </c>
      <c r="B383" s="34" t="s">
        <v>287</v>
      </c>
      <c r="C383" s="34">
        <v>2020</v>
      </c>
      <c r="D383" s="34" t="s">
        <v>451</v>
      </c>
      <c r="E383" s="34">
        <v>2.0200820926378701E+17</v>
      </c>
      <c r="F383" s="34" t="s">
        <v>182</v>
      </c>
      <c r="G383" s="34" t="s">
        <v>1605</v>
      </c>
      <c r="H383" s="34">
        <v>1434463</v>
      </c>
      <c r="I383" s="34"/>
      <c r="J383" s="34" t="s">
        <v>180</v>
      </c>
      <c r="K383" s="34" t="s">
        <v>179</v>
      </c>
      <c r="L383" s="34"/>
      <c r="M383" s="34"/>
      <c r="N383" s="34" t="s">
        <v>905</v>
      </c>
      <c r="O383" s="34" t="s">
        <v>297</v>
      </c>
      <c r="P383" s="34"/>
      <c r="Q383" s="34" t="s">
        <v>296</v>
      </c>
      <c r="R383" s="34" t="s">
        <v>906</v>
      </c>
      <c r="S383" s="34"/>
      <c r="T383" s="34" t="s">
        <v>907</v>
      </c>
      <c r="U383" s="34"/>
      <c r="V383" s="34" t="s">
        <v>949</v>
      </c>
      <c r="W383" s="34"/>
      <c r="X383" s="34" t="s">
        <v>909</v>
      </c>
      <c r="Y383" s="34" t="s">
        <v>47</v>
      </c>
      <c r="Z383" s="34">
        <v>2142</v>
      </c>
      <c r="AA383" s="34" t="s">
        <v>393</v>
      </c>
      <c r="AB383" s="34" t="s">
        <v>393</v>
      </c>
      <c r="AC383" s="34"/>
      <c r="AD383" s="34">
        <v>15</v>
      </c>
      <c r="AE383" s="34" t="s">
        <v>169</v>
      </c>
      <c r="AF383" s="34" t="s">
        <v>364</v>
      </c>
      <c r="AG383" s="34"/>
      <c r="AH383" s="34"/>
      <c r="AI383" s="34">
        <v>44041</v>
      </c>
      <c r="AJ383" s="34">
        <v>5</v>
      </c>
      <c r="AK383" s="34">
        <v>332.3</v>
      </c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 t="s">
        <v>28</v>
      </c>
      <c r="BH383" s="34"/>
      <c r="BI383" s="34" t="s">
        <v>168</v>
      </c>
      <c r="BJ383" s="34"/>
      <c r="BK383" s="34" t="s">
        <v>50</v>
      </c>
      <c r="BL383" s="34" t="s">
        <v>167</v>
      </c>
      <c r="BM383" s="34" t="s">
        <v>166</v>
      </c>
      <c r="BN383" s="34">
        <v>44090.349931840276</v>
      </c>
      <c r="BO383" s="34"/>
      <c r="BP383" s="34"/>
      <c r="BQ383" s="34"/>
      <c r="BR383" s="34" t="s">
        <v>165</v>
      </c>
      <c r="BS383" s="34">
        <v>4.0822202018295301E+18</v>
      </c>
      <c r="BT383" s="34" t="s">
        <v>164</v>
      </c>
      <c r="BU383" s="34" t="s">
        <v>362</v>
      </c>
      <c r="BV383" s="34">
        <v>2020</v>
      </c>
      <c r="BW383" s="34" t="s">
        <v>163</v>
      </c>
      <c r="BX383" s="34"/>
      <c r="BY383" s="34">
        <v>4.0915202018454502E+18</v>
      </c>
      <c r="BZ383" s="34" t="s">
        <v>1606</v>
      </c>
      <c r="CA383" s="34" t="s">
        <v>161</v>
      </c>
    </row>
    <row r="384" spans="1:79" x14ac:dyDescent="0.25">
      <c r="A384" s="34" t="s">
        <v>1491</v>
      </c>
      <c r="B384" s="34" t="s">
        <v>1492</v>
      </c>
      <c r="C384" s="34">
        <v>2020</v>
      </c>
      <c r="D384" s="34" t="s">
        <v>373</v>
      </c>
      <c r="E384" s="34">
        <v>2.0200916926720301E+17</v>
      </c>
      <c r="F384" s="34" t="s">
        <v>182</v>
      </c>
      <c r="G384" s="34">
        <v>13472099</v>
      </c>
      <c r="H384" s="34">
        <v>1438089</v>
      </c>
      <c r="I384" s="34"/>
      <c r="J384" s="34" t="s">
        <v>180</v>
      </c>
      <c r="K384" s="34" t="s">
        <v>179</v>
      </c>
      <c r="L384" s="34" t="s">
        <v>374</v>
      </c>
      <c r="M384" s="34"/>
      <c r="N384" s="34" t="s">
        <v>905</v>
      </c>
      <c r="O384" s="34" t="s">
        <v>66</v>
      </c>
      <c r="P384" s="34"/>
      <c r="Q384" s="34" t="s">
        <v>296</v>
      </c>
      <c r="R384" s="34" t="s">
        <v>906</v>
      </c>
      <c r="S384" s="34"/>
      <c r="T384" s="34" t="s">
        <v>907</v>
      </c>
      <c r="U384" s="34"/>
      <c r="V384" s="34" t="s">
        <v>908</v>
      </c>
      <c r="W384" s="34"/>
      <c r="X384" s="34" t="s">
        <v>909</v>
      </c>
      <c r="Y384" s="34" t="s">
        <v>47</v>
      </c>
      <c r="Z384" s="34">
        <v>21421229</v>
      </c>
      <c r="AA384" s="34" t="s">
        <v>910</v>
      </c>
      <c r="AB384" s="34" t="s">
        <v>393</v>
      </c>
      <c r="AC384" s="34" t="s">
        <v>374</v>
      </c>
      <c r="AD384" s="34" t="s">
        <v>345</v>
      </c>
      <c r="AE384" s="34" t="s">
        <v>344</v>
      </c>
      <c r="AF384" s="34"/>
      <c r="AG384" s="34"/>
      <c r="AH384" s="34"/>
      <c r="AI384" s="34">
        <v>44056</v>
      </c>
      <c r="AJ384" s="34">
        <v>103</v>
      </c>
      <c r="AK384" s="34">
        <v>412.99</v>
      </c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 t="s">
        <v>28</v>
      </c>
      <c r="BH384" s="34"/>
      <c r="BI384" s="34" t="s">
        <v>168</v>
      </c>
      <c r="BJ384" s="34"/>
      <c r="BK384" s="34" t="s">
        <v>50</v>
      </c>
      <c r="BL384" s="34" t="s">
        <v>167</v>
      </c>
      <c r="BM384" s="34" t="s">
        <v>166</v>
      </c>
      <c r="BN384" s="34">
        <v>44091.159475706016</v>
      </c>
      <c r="BO384" s="34"/>
      <c r="BP384" s="34" t="s">
        <v>1607</v>
      </c>
      <c r="BQ384" s="34" t="s">
        <v>419</v>
      </c>
      <c r="BR384" s="34" t="s">
        <v>165</v>
      </c>
      <c r="BS384" s="34">
        <v>4.0917202018484598E+18</v>
      </c>
      <c r="BT384" s="34" t="s">
        <v>164</v>
      </c>
      <c r="BU384" s="34" t="s">
        <v>512</v>
      </c>
      <c r="BV384" s="34">
        <v>2020</v>
      </c>
      <c r="BW384" s="34" t="s">
        <v>163</v>
      </c>
      <c r="BX384" s="34"/>
      <c r="BY384" s="34">
        <v>4.0917202018488699E+18</v>
      </c>
      <c r="BZ384" s="34" t="s">
        <v>1608</v>
      </c>
      <c r="CA384" s="34" t="s">
        <v>161</v>
      </c>
    </row>
    <row r="385" spans="1:79" x14ac:dyDescent="0.25">
      <c r="A385" s="34" t="s">
        <v>1609</v>
      </c>
      <c r="B385" s="34" t="s">
        <v>1610</v>
      </c>
      <c r="C385" s="34">
        <v>2020</v>
      </c>
      <c r="D385" s="34" t="s">
        <v>553</v>
      </c>
      <c r="E385" s="34">
        <v>2.02104169443788E+17</v>
      </c>
      <c r="F385" s="34" t="s">
        <v>182</v>
      </c>
      <c r="G385" s="34" t="s">
        <v>1611</v>
      </c>
      <c r="H385" s="34">
        <v>1512857</v>
      </c>
      <c r="I385" s="34"/>
      <c r="J385" s="34" t="s">
        <v>180</v>
      </c>
      <c r="K385" s="34" t="s">
        <v>179</v>
      </c>
      <c r="L385" s="34"/>
      <c r="M385" s="34"/>
      <c r="N385" s="34" t="s">
        <v>905</v>
      </c>
      <c r="O385" s="34" t="s">
        <v>63</v>
      </c>
      <c r="P385" s="34"/>
      <c r="Q385" s="34" t="s">
        <v>296</v>
      </c>
      <c r="R385" s="34" t="s">
        <v>906</v>
      </c>
      <c r="S385" s="34"/>
      <c r="T385" s="34" t="s">
        <v>907</v>
      </c>
      <c r="U385" s="34"/>
      <c r="V385" s="34" t="s">
        <v>908</v>
      </c>
      <c r="W385" s="34" t="s">
        <v>1059</v>
      </c>
      <c r="X385" s="34" t="s">
        <v>909</v>
      </c>
      <c r="Y385" s="34" t="s">
        <v>47</v>
      </c>
      <c r="Z385" s="34">
        <v>21421239</v>
      </c>
      <c r="AA385" s="34" t="s">
        <v>910</v>
      </c>
      <c r="AB385" s="34" t="s">
        <v>290</v>
      </c>
      <c r="AC385" s="34"/>
      <c r="AD385" s="34">
        <v>10</v>
      </c>
      <c r="AE385" s="34" t="s">
        <v>1612</v>
      </c>
      <c r="AF385" s="34"/>
      <c r="AG385" s="34"/>
      <c r="AH385" s="34"/>
      <c r="AI385" s="34">
        <v>44009</v>
      </c>
      <c r="AJ385" s="34">
        <v>500</v>
      </c>
      <c r="AK385" s="34">
        <v>500</v>
      </c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 t="s">
        <v>28</v>
      </c>
      <c r="BH385" s="34"/>
      <c r="BI385" s="34" t="s">
        <v>168</v>
      </c>
      <c r="BJ385" s="34"/>
      <c r="BK385" s="34" t="s">
        <v>0</v>
      </c>
      <c r="BL385" s="34" t="s">
        <v>186</v>
      </c>
      <c r="BM385" s="34" t="s">
        <v>166</v>
      </c>
      <c r="BN385" s="34">
        <v>44314.149640428244</v>
      </c>
      <c r="BO385" s="34"/>
      <c r="BP385" s="34"/>
      <c r="BQ385" s="34"/>
      <c r="BR385" s="34" t="s">
        <v>165</v>
      </c>
      <c r="BS385" s="34">
        <v>4.0417202112778998E+18</v>
      </c>
      <c r="BT385" s="34" t="s">
        <v>164</v>
      </c>
      <c r="BU385" s="34"/>
      <c r="BV385" s="34">
        <v>2020</v>
      </c>
      <c r="BW385" s="34" t="s">
        <v>163</v>
      </c>
      <c r="BX385" s="34"/>
      <c r="BY385" s="34">
        <v>4.04282021127921E+18</v>
      </c>
      <c r="BZ385" s="34" t="s">
        <v>1613</v>
      </c>
      <c r="CA385" s="34" t="s">
        <v>161</v>
      </c>
    </row>
    <row r="386" spans="1:79" x14ac:dyDescent="0.25">
      <c r="A386" s="34" t="s">
        <v>1614</v>
      </c>
      <c r="B386" s="34" t="s">
        <v>1615</v>
      </c>
      <c r="C386" s="34">
        <v>2020</v>
      </c>
      <c r="D386" s="34" t="s">
        <v>341</v>
      </c>
      <c r="E386" s="34">
        <v>2.02010149293864E+17</v>
      </c>
      <c r="F386" s="34" t="s">
        <v>182</v>
      </c>
      <c r="G386" s="34" t="s">
        <v>1616</v>
      </c>
      <c r="H386" s="34">
        <v>1448862</v>
      </c>
      <c r="I386" s="34"/>
      <c r="J386" s="34" t="s">
        <v>180</v>
      </c>
      <c r="K386" s="34" t="s">
        <v>179</v>
      </c>
      <c r="L386" s="34"/>
      <c r="M386" s="34"/>
      <c r="N386" s="34" t="s">
        <v>905</v>
      </c>
      <c r="O386" s="34" t="s">
        <v>75</v>
      </c>
      <c r="P386" s="34"/>
      <c r="Q386" s="34" t="s">
        <v>28</v>
      </c>
      <c r="R386" s="34" t="s">
        <v>906</v>
      </c>
      <c r="S386" s="34"/>
      <c r="T386" s="34" t="s">
        <v>907</v>
      </c>
      <c r="U386" s="34"/>
      <c r="V386" s="34" t="s">
        <v>908</v>
      </c>
      <c r="W386" s="34"/>
      <c r="X386" s="34" t="s">
        <v>909</v>
      </c>
      <c r="Y386" s="34" t="s">
        <v>47</v>
      </c>
      <c r="Z386" s="34">
        <v>2142</v>
      </c>
      <c r="AA386" s="34" t="s">
        <v>393</v>
      </c>
      <c r="AB386" s="34" t="s">
        <v>393</v>
      </c>
      <c r="AC386" s="34"/>
      <c r="AD386" s="34"/>
      <c r="AE386" s="34"/>
      <c r="AF386" s="34"/>
      <c r="AG386" s="34" t="s">
        <v>533</v>
      </c>
      <c r="AH386" s="34"/>
      <c r="AI386" s="34">
        <v>44104</v>
      </c>
      <c r="AJ386" s="34">
        <v>1.18</v>
      </c>
      <c r="AK386" s="34">
        <v>1.18</v>
      </c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 t="s">
        <v>501</v>
      </c>
      <c r="BH386" s="34" t="s">
        <v>500</v>
      </c>
      <c r="BI386" s="34" t="s">
        <v>500</v>
      </c>
      <c r="BJ386" s="34">
        <v>2020</v>
      </c>
      <c r="BK386" s="34" t="s">
        <v>50</v>
      </c>
      <c r="BL386" s="34" t="s">
        <v>167</v>
      </c>
      <c r="BM386" s="34" t="s">
        <v>166</v>
      </c>
      <c r="BN386" s="34">
        <v>44141.540528506943</v>
      </c>
      <c r="BO386" s="34"/>
      <c r="BP386" s="34"/>
      <c r="BQ386" s="34"/>
      <c r="BR386" s="34" t="s">
        <v>513</v>
      </c>
      <c r="BS386" s="34">
        <v>4.1016202018576502E+18</v>
      </c>
      <c r="BT386" s="34" t="s">
        <v>164</v>
      </c>
      <c r="BU386" s="34" t="s">
        <v>1617</v>
      </c>
      <c r="BV386" s="34">
        <v>2020</v>
      </c>
      <c r="BW386" s="34" t="s">
        <v>163</v>
      </c>
      <c r="BX386" s="34"/>
      <c r="BY386" s="34">
        <v>4.1105202018912502E+18</v>
      </c>
      <c r="BZ386" s="34" t="s">
        <v>1618</v>
      </c>
      <c r="CA386" s="34" t="s">
        <v>161</v>
      </c>
    </row>
    <row r="387" spans="1:79" x14ac:dyDescent="0.25">
      <c r="A387" s="34" t="s">
        <v>1025</v>
      </c>
      <c r="B387" s="34" t="s">
        <v>1026</v>
      </c>
      <c r="C387" s="34">
        <v>2020</v>
      </c>
      <c r="D387" s="34" t="s">
        <v>341</v>
      </c>
      <c r="E387" s="34">
        <v>2.0201015929392701E+17</v>
      </c>
      <c r="F387" s="34" t="s">
        <v>182</v>
      </c>
      <c r="G387" s="34" t="s">
        <v>1619</v>
      </c>
      <c r="H387" s="34">
        <v>1449188</v>
      </c>
      <c r="I387" s="34"/>
      <c r="J387" s="34" t="s">
        <v>180</v>
      </c>
      <c r="K387" s="34" t="s">
        <v>179</v>
      </c>
      <c r="L387" s="34" t="s">
        <v>374</v>
      </c>
      <c r="M387" s="34"/>
      <c r="N387" s="34" t="s">
        <v>905</v>
      </c>
      <c r="O387" s="34" t="s">
        <v>75</v>
      </c>
      <c r="P387" s="34"/>
      <c r="Q387" s="34" t="s">
        <v>28</v>
      </c>
      <c r="R387" s="34" t="s">
        <v>906</v>
      </c>
      <c r="S387" s="34"/>
      <c r="T387" s="34" t="s">
        <v>907</v>
      </c>
      <c r="U387" s="34"/>
      <c r="V387" s="34" t="s">
        <v>908</v>
      </c>
      <c r="W387" s="34"/>
      <c r="X387" s="34" t="s">
        <v>909</v>
      </c>
      <c r="Y387" s="34" t="s">
        <v>47</v>
      </c>
      <c r="Z387" s="34">
        <v>21421229</v>
      </c>
      <c r="AA387" s="34" t="s">
        <v>1028</v>
      </c>
      <c r="AB387" s="34" t="s">
        <v>290</v>
      </c>
      <c r="AC387" s="34" t="s">
        <v>374</v>
      </c>
      <c r="AD387" s="34" t="s">
        <v>345</v>
      </c>
      <c r="AE387" s="34" t="s">
        <v>344</v>
      </c>
      <c r="AF387" s="34"/>
      <c r="AG387" s="34"/>
      <c r="AH387" s="34"/>
      <c r="AI387" s="34">
        <v>44073</v>
      </c>
      <c r="AJ387" s="34">
        <v>68</v>
      </c>
      <c r="AK387" s="34">
        <v>1484.5</v>
      </c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 t="s">
        <v>501</v>
      </c>
      <c r="BH387" s="34"/>
      <c r="BI387" s="34" t="s">
        <v>500</v>
      </c>
      <c r="BJ387" s="34">
        <v>2020</v>
      </c>
      <c r="BK387" s="34" t="s">
        <v>50</v>
      </c>
      <c r="BL387" s="34" t="s">
        <v>167</v>
      </c>
      <c r="BM387" s="34" t="s">
        <v>166</v>
      </c>
      <c r="BN387" s="34">
        <v>44161.152880439811</v>
      </c>
      <c r="BO387" s="34"/>
      <c r="BP387" s="34" t="s">
        <v>1620</v>
      </c>
      <c r="BQ387" s="34" t="s">
        <v>419</v>
      </c>
      <c r="BR387" s="34" t="s">
        <v>513</v>
      </c>
      <c r="BS387" s="34">
        <v>4.1016202018576502E+18</v>
      </c>
      <c r="BT387" s="34" t="s">
        <v>164</v>
      </c>
      <c r="BU387" s="34" t="s">
        <v>512</v>
      </c>
      <c r="BV387" s="34">
        <v>2020</v>
      </c>
      <c r="BW387" s="34" t="s">
        <v>163</v>
      </c>
      <c r="BX387" s="34"/>
      <c r="BY387" s="34">
        <v>4.1126202019614198E+18</v>
      </c>
      <c r="BZ387" s="34" t="s">
        <v>1621</v>
      </c>
      <c r="CA387" s="34" t="s">
        <v>161</v>
      </c>
    </row>
    <row r="388" spans="1:79" x14ac:dyDescent="0.25">
      <c r="A388" s="34" t="s">
        <v>1025</v>
      </c>
      <c r="B388" s="34" t="s">
        <v>1026</v>
      </c>
      <c r="C388" s="34">
        <v>2020</v>
      </c>
      <c r="D388" s="34" t="s">
        <v>341</v>
      </c>
      <c r="E388" s="34">
        <v>2.0201015929392701E+17</v>
      </c>
      <c r="F388" s="34" t="s">
        <v>182</v>
      </c>
      <c r="G388" s="34" t="s">
        <v>1622</v>
      </c>
      <c r="H388" s="34">
        <v>1449188</v>
      </c>
      <c r="I388" s="34"/>
      <c r="J388" s="34" t="s">
        <v>180</v>
      </c>
      <c r="K388" s="34" t="s">
        <v>179</v>
      </c>
      <c r="L388" s="34" t="s">
        <v>374</v>
      </c>
      <c r="M388" s="34"/>
      <c r="N388" s="34" t="s">
        <v>905</v>
      </c>
      <c r="O388" s="34" t="s">
        <v>75</v>
      </c>
      <c r="P388" s="34"/>
      <c r="Q388" s="34" t="s">
        <v>28</v>
      </c>
      <c r="R388" s="34" t="s">
        <v>906</v>
      </c>
      <c r="S388" s="34"/>
      <c r="T388" s="34" t="s">
        <v>907</v>
      </c>
      <c r="U388" s="34"/>
      <c r="V388" s="34" t="s">
        <v>908</v>
      </c>
      <c r="W388" s="34"/>
      <c r="X388" s="34" t="s">
        <v>909</v>
      </c>
      <c r="Y388" s="34" t="s">
        <v>47</v>
      </c>
      <c r="Z388" s="34">
        <v>21421229</v>
      </c>
      <c r="AA388" s="34" t="s">
        <v>1028</v>
      </c>
      <c r="AB388" s="34" t="s">
        <v>290</v>
      </c>
      <c r="AC388" s="34" t="s">
        <v>374</v>
      </c>
      <c r="AD388" s="34" t="s">
        <v>345</v>
      </c>
      <c r="AE388" s="34" t="s">
        <v>344</v>
      </c>
      <c r="AF388" s="34"/>
      <c r="AG388" s="34"/>
      <c r="AH388" s="34"/>
      <c r="AI388" s="34">
        <v>44103</v>
      </c>
      <c r="AJ388" s="34">
        <v>68</v>
      </c>
      <c r="AK388" s="34">
        <v>1484.5</v>
      </c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 t="s">
        <v>501</v>
      </c>
      <c r="BH388" s="34"/>
      <c r="BI388" s="34" t="s">
        <v>500</v>
      </c>
      <c r="BJ388" s="34">
        <v>2020</v>
      </c>
      <c r="BK388" s="34" t="s">
        <v>50</v>
      </c>
      <c r="BL388" s="34" t="s">
        <v>167</v>
      </c>
      <c r="BM388" s="34" t="s">
        <v>166</v>
      </c>
      <c r="BN388" s="34">
        <v>44161.152854189815</v>
      </c>
      <c r="BO388" s="34"/>
      <c r="BP388" s="34" t="s">
        <v>1623</v>
      </c>
      <c r="BQ388" s="34" t="s">
        <v>419</v>
      </c>
      <c r="BR388" s="34" t="s">
        <v>513</v>
      </c>
      <c r="BS388" s="34">
        <v>4.1016202018576502E+18</v>
      </c>
      <c r="BT388" s="34" t="s">
        <v>164</v>
      </c>
      <c r="BU388" s="34" t="s">
        <v>512</v>
      </c>
      <c r="BV388" s="34">
        <v>2020</v>
      </c>
      <c r="BW388" s="34" t="s">
        <v>163</v>
      </c>
      <c r="BX388" s="34"/>
      <c r="BY388" s="34">
        <v>4.1126202019614198E+18</v>
      </c>
      <c r="BZ388" s="34" t="s">
        <v>1624</v>
      </c>
      <c r="CA388" s="34" t="s">
        <v>161</v>
      </c>
    </row>
    <row r="389" spans="1:79" x14ac:dyDescent="0.25">
      <c r="A389" s="34" t="s">
        <v>1025</v>
      </c>
      <c r="B389" s="34" t="s">
        <v>1026</v>
      </c>
      <c r="C389" s="34">
        <v>2020</v>
      </c>
      <c r="D389" s="34" t="s">
        <v>341</v>
      </c>
      <c r="E389" s="34">
        <v>2.0201015929393798E+17</v>
      </c>
      <c r="F389" s="34" t="s">
        <v>182</v>
      </c>
      <c r="G389" s="34" t="s">
        <v>1625</v>
      </c>
      <c r="H389" s="34">
        <v>1449188</v>
      </c>
      <c r="I389" s="34"/>
      <c r="J389" s="34" t="s">
        <v>180</v>
      </c>
      <c r="K389" s="34" t="s">
        <v>179</v>
      </c>
      <c r="L389" s="34" t="s">
        <v>374</v>
      </c>
      <c r="M389" s="34"/>
      <c r="N389" s="34" t="s">
        <v>905</v>
      </c>
      <c r="O389" s="34" t="s">
        <v>75</v>
      </c>
      <c r="P389" s="34"/>
      <c r="Q389" s="34" t="s">
        <v>28</v>
      </c>
      <c r="R389" s="34" t="s">
        <v>906</v>
      </c>
      <c r="S389" s="34"/>
      <c r="T389" s="34" t="s">
        <v>907</v>
      </c>
      <c r="U389" s="34"/>
      <c r="V389" s="34" t="s">
        <v>908</v>
      </c>
      <c r="W389" s="34"/>
      <c r="X389" s="34" t="s">
        <v>909</v>
      </c>
      <c r="Y389" s="34" t="s">
        <v>47</v>
      </c>
      <c r="Z389" s="34">
        <v>21421229</v>
      </c>
      <c r="AA389" s="34" t="s">
        <v>1028</v>
      </c>
      <c r="AB389" s="34" t="s">
        <v>290</v>
      </c>
      <c r="AC389" s="34" t="s">
        <v>374</v>
      </c>
      <c r="AD389" s="34" t="s">
        <v>345</v>
      </c>
      <c r="AE389" s="34" t="s">
        <v>344</v>
      </c>
      <c r="AF389" s="34"/>
      <c r="AG389" s="34"/>
      <c r="AH389" s="34"/>
      <c r="AI389" s="34">
        <v>44019</v>
      </c>
      <c r="AJ389" s="34">
        <v>100</v>
      </c>
      <c r="AK389" s="34">
        <v>1484.5</v>
      </c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 t="s">
        <v>501</v>
      </c>
      <c r="BH389" s="34"/>
      <c r="BI389" s="34" t="s">
        <v>500</v>
      </c>
      <c r="BJ389" s="34">
        <v>2020</v>
      </c>
      <c r="BK389" s="34" t="s">
        <v>50</v>
      </c>
      <c r="BL389" s="34" t="s">
        <v>167</v>
      </c>
      <c r="BM389" s="34" t="s">
        <v>166</v>
      </c>
      <c r="BN389" s="34">
        <v>44161.153151041668</v>
      </c>
      <c r="BO389" s="34"/>
      <c r="BP389" s="34" t="s">
        <v>1626</v>
      </c>
      <c r="BQ389" s="34" t="s">
        <v>419</v>
      </c>
      <c r="BR389" s="34" t="s">
        <v>513</v>
      </c>
      <c r="BS389" s="34">
        <v>4.1016202018576502E+18</v>
      </c>
      <c r="BT389" s="34" t="s">
        <v>164</v>
      </c>
      <c r="BU389" s="34" t="s">
        <v>512</v>
      </c>
      <c r="BV389" s="34">
        <v>2020</v>
      </c>
      <c r="BW389" s="34" t="s">
        <v>163</v>
      </c>
      <c r="BX389" s="34"/>
      <c r="BY389" s="34">
        <v>4.1126202019614602E+18</v>
      </c>
      <c r="BZ389" s="34" t="s">
        <v>1627</v>
      </c>
      <c r="CA389" s="34" t="s">
        <v>161</v>
      </c>
    </row>
    <row r="390" spans="1:79" x14ac:dyDescent="0.25">
      <c r="A390" s="34" t="s">
        <v>1025</v>
      </c>
      <c r="B390" s="34" t="s">
        <v>1026</v>
      </c>
      <c r="C390" s="34">
        <v>2020</v>
      </c>
      <c r="D390" s="34" t="s">
        <v>341</v>
      </c>
      <c r="E390" s="34">
        <v>2.02010159293904E+17</v>
      </c>
      <c r="F390" s="34" t="s">
        <v>182</v>
      </c>
      <c r="G390" s="34" t="s">
        <v>1628</v>
      </c>
      <c r="H390" s="34">
        <v>1449188</v>
      </c>
      <c r="I390" s="34"/>
      <c r="J390" s="34" t="s">
        <v>180</v>
      </c>
      <c r="K390" s="34" t="s">
        <v>179</v>
      </c>
      <c r="L390" s="34" t="s">
        <v>374</v>
      </c>
      <c r="M390" s="34"/>
      <c r="N390" s="34" t="s">
        <v>905</v>
      </c>
      <c r="O390" s="34" t="s">
        <v>75</v>
      </c>
      <c r="P390" s="34"/>
      <c r="Q390" s="34" t="s">
        <v>28</v>
      </c>
      <c r="R390" s="34" t="s">
        <v>906</v>
      </c>
      <c r="S390" s="34"/>
      <c r="T390" s="34" t="s">
        <v>907</v>
      </c>
      <c r="U390" s="34"/>
      <c r="V390" s="34" t="s">
        <v>908</v>
      </c>
      <c r="W390" s="34"/>
      <c r="X390" s="34" t="s">
        <v>909</v>
      </c>
      <c r="Y390" s="34" t="s">
        <v>47</v>
      </c>
      <c r="Z390" s="34">
        <v>21421229</v>
      </c>
      <c r="AA390" s="34" t="s">
        <v>1028</v>
      </c>
      <c r="AB390" s="34" t="s">
        <v>290</v>
      </c>
      <c r="AC390" s="34" t="s">
        <v>374</v>
      </c>
      <c r="AD390" s="34" t="s">
        <v>345</v>
      </c>
      <c r="AE390" s="34" t="s">
        <v>344</v>
      </c>
      <c r="AF390" s="34"/>
      <c r="AG390" s="34"/>
      <c r="AH390" s="34"/>
      <c r="AI390" s="34">
        <v>44041</v>
      </c>
      <c r="AJ390" s="34">
        <v>67</v>
      </c>
      <c r="AK390" s="34">
        <v>1484.5</v>
      </c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 t="s">
        <v>501</v>
      </c>
      <c r="BH390" s="34"/>
      <c r="BI390" s="34" t="s">
        <v>500</v>
      </c>
      <c r="BJ390" s="34">
        <v>2020</v>
      </c>
      <c r="BK390" s="34" t="s">
        <v>50</v>
      </c>
      <c r="BL390" s="34" t="s">
        <v>167</v>
      </c>
      <c r="BM390" s="34" t="s">
        <v>166</v>
      </c>
      <c r="BN390" s="34">
        <v>44161.154004618053</v>
      </c>
      <c r="BO390" s="34"/>
      <c r="BP390" s="34" t="s">
        <v>1629</v>
      </c>
      <c r="BQ390" s="34" t="s">
        <v>419</v>
      </c>
      <c r="BR390" s="34" t="s">
        <v>513</v>
      </c>
      <c r="BS390" s="34">
        <v>4.1016202018576502E+18</v>
      </c>
      <c r="BT390" s="34" t="s">
        <v>164</v>
      </c>
      <c r="BU390" s="34" t="s">
        <v>512</v>
      </c>
      <c r="BV390" s="34">
        <v>2020</v>
      </c>
      <c r="BW390" s="34" t="s">
        <v>163</v>
      </c>
      <c r="BX390" s="34"/>
      <c r="BY390" s="34">
        <v>4.1126202019613501E+18</v>
      </c>
      <c r="BZ390" s="34" t="s">
        <v>1630</v>
      </c>
      <c r="CA390" s="34" t="s">
        <v>161</v>
      </c>
    </row>
    <row r="391" spans="1:79" x14ac:dyDescent="0.25">
      <c r="A391" s="34" t="s">
        <v>1025</v>
      </c>
      <c r="B391" s="34" t="s">
        <v>1026</v>
      </c>
      <c r="C391" s="34">
        <v>2020</v>
      </c>
      <c r="D391" s="34" t="s">
        <v>341</v>
      </c>
      <c r="E391" s="34">
        <v>2.0201015929392099E+17</v>
      </c>
      <c r="F391" s="34" t="s">
        <v>182</v>
      </c>
      <c r="G391" s="34" t="s">
        <v>1631</v>
      </c>
      <c r="H391" s="34">
        <v>1449188</v>
      </c>
      <c r="I391" s="34"/>
      <c r="J391" s="34" t="s">
        <v>180</v>
      </c>
      <c r="K391" s="34" t="s">
        <v>179</v>
      </c>
      <c r="L391" s="34" t="s">
        <v>374</v>
      </c>
      <c r="M391" s="34"/>
      <c r="N391" s="34" t="s">
        <v>905</v>
      </c>
      <c r="O391" s="34" t="s">
        <v>75</v>
      </c>
      <c r="P391" s="34"/>
      <c r="Q391" s="34" t="s">
        <v>28</v>
      </c>
      <c r="R391" s="34" t="s">
        <v>906</v>
      </c>
      <c r="S391" s="34"/>
      <c r="T391" s="34" t="s">
        <v>907</v>
      </c>
      <c r="U391" s="34"/>
      <c r="V391" s="34" t="s">
        <v>908</v>
      </c>
      <c r="W391" s="34"/>
      <c r="X391" s="34" t="s">
        <v>909</v>
      </c>
      <c r="Y391" s="34" t="s">
        <v>47</v>
      </c>
      <c r="Z391" s="34">
        <v>21421229</v>
      </c>
      <c r="AA391" s="34" t="s">
        <v>1028</v>
      </c>
      <c r="AB391" s="34" t="s">
        <v>290</v>
      </c>
      <c r="AC391" s="34" t="s">
        <v>374</v>
      </c>
      <c r="AD391" s="34" t="s">
        <v>345</v>
      </c>
      <c r="AE391" s="34" t="s">
        <v>344</v>
      </c>
      <c r="AF391" s="34"/>
      <c r="AG391" s="34"/>
      <c r="AH391" s="34"/>
      <c r="AI391" s="34">
        <v>44098</v>
      </c>
      <c r="AJ391" s="34">
        <v>68</v>
      </c>
      <c r="AK391" s="34">
        <v>1484.5</v>
      </c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 t="s">
        <v>501</v>
      </c>
      <c r="BH391" s="34"/>
      <c r="BI391" s="34" t="s">
        <v>500</v>
      </c>
      <c r="BJ391" s="34">
        <v>2020</v>
      </c>
      <c r="BK391" s="34" t="s">
        <v>50</v>
      </c>
      <c r="BL391" s="34" t="s">
        <v>167</v>
      </c>
      <c r="BM391" s="34" t="s">
        <v>166</v>
      </c>
      <c r="BN391" s="34">
        <v>44161.154705590277</v>
      </c>
      <c r="BO391" s="34"/>
      <c r="BP391" s="34" t="s">
        <v>1632</v>
      </c>
      <c r="BQ391" s="34" t="s">
        <v>419</v>
      </c>
      <c r="BR391" s="34" t="s">
        <v>513</v>
      </c>
      <c r="BS391" s="34">
        <v>4.1016202018576502E+18</v>
      </c>
      <c r="BT391" s="34" t="s">
        <v>164</v>
      </c>
      <c r="BU391" s="34" t="s">
        <v>512</v>
      </c>
      <c r="BV391" s="34">
        <v>2020</v>
      </c>
      <c r="BW391" s="34" t="s">
        <v>163</v>
      </c>
      <c r="BX391" s="34"/>
      <c r="BY391" s="34">
        <v>4.1126202019613998E+18</v>
      </c>
      <c r="BZ391" s="34" t="s">
        <v>1633</v>
      </c>
      <c r="CA391" s="34" t="s">
        <v>161</v>
      </c>
    </row>
    <row r="392" spans="1:79" x14ac:dyDescent="0.25">
      <c r="A392" s="34" t="s">
        <v>1025</v>
      </c>
      <c r="B392" s="34" t="s">
        <v>1026</v>
      </c>
      <c r="C392" s="34">
        <v>2020</v>
      </c>
      <c r="D392" s="34" t="s">
        <v>341</v>
      </c>
      <c r="E392" s="34">
        <v>2.0201015929392E+17</v>
      </c>
      <c r="F392" s="34" t="s">
        <v>182</v>
      </c>
      <c r="G392" s="34" t="s">
        <v>1634</v>
      </c>
      <c r="H392" s="34">
        <v>1449188</v>
      </c>
      <c r="I392" s="34"/>
      <c r="J392" s="34" t="s">
        <v>180</v>
      </c>
      <c r="K392" s="34" t="s">
        <v>179</v>
      </c>
      <c r="L392" s="34" t="s">
        <v>374</v>
      </c>
      <c r="M392" s="34"/>
      <c r="N392" s="34" t="s">
        <v>905</v>
      </c>
      <c r="O392" s="34" t="s">
        <v>75</v>
      </c>
      <c r="P392" s="34"/>
      <c r="Q392" s="34" t="s">
        <v>28</v>
      </c>
      <c r="R392" s="34" t="s">
        <v>906</v>
      </c>
      <c r="S392" s="34"/>
      <c r="T392" s="34" t="s">
        <v>907</v>
      </c>
      <c r="U392" s="34"/>
      <c r="V392" s="34" t="s">
        <v>908</v>
      </c>
      <c r="W392" s="34"/>
      <c r="X392" s="34" t="s">
        <v>909</v>
      </c>
      <c r="Y392" s="34" t="s">
        <v>47</v>
      </c>
      <c r="Z392" s="34">
        <v>21421229</v>
      </c>
      <c r="AA392" s="34" t="s">
        <v>1028</v>
      </c>
      <c r="AB392" s="34" t="s">
        <v>290</v>
      </c>
      <c r="AC392" s="34" t="s">
        <v>374</v>
      </c>
      <c r="AD392" s="34" t="s">
        <v>345</v>
      </c>
      <c r="AE392" s="34" t="s">
        <v>344</v>
      </c>
      <c r="AF392" s="34"/>
      <c r="AG392" s="34"/>
      <c r="AH392" s="34"/>
      <c r="AI392" s="34">
        <v>44053</v>
      </c>
      <c r="AJ392" s="34">
        <v>100</v>
      </c>
      <c r="AK392" s="34">
        <v>1484.5</v>
      </c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 t="s">
        <v>501</v>
      </c>
      <c r="BH392" s="34"/>
      <c r="BI392" s="34" t="s">
        <v>500</v>
      </c>
      <c r="BJ392" s="34">
        <v>2020</v>
      </c>
      <c r="BK392" s="34" t="s">
        <v>50</v>
      </c>
      <c r="BL392" s="34" t="s">
        <v>167</v>
      </c>
      <c r="BM392" s="34" t="s">
        <v>166</v>
      </c>
      <c r="BN392" s="34">
        <v>44161.154638344909</v>
      </c>
      <c r="BO392" s="34"/>
      <c r="BP392" s="34" t="s">
        <v>1635</v>
      </c>
      <c r="BQ392" s="34" t="s">
        <v>419</v>
      </c>
      <c r="BR392" s="34" t="s">
        <v>513</v>
      </c>
      <c r="BS392" s="34">
        <v>4.1016202018576502E+18</v>
      </c>
      <c r="BT392" s="34" t="s">
        <v>164</v>
      </c>
      <c r="BU392" s="34" t="s">
        <v>512</v>
      </c>
      <c r="BV392" s="34">
        <v>2020</v>
      </c>
      <c r="BW392" s="34" t="s">
        <v>163</v>
      </c>
      <c r="BX392" s="34"/>
      <c r="BY392" s="34">
        <v>4.1126202019613998E+18</v>
      </c>
      <c r="BZ392" s="34" t="s">
        <v>1636</v>
      </c>
      <c r="CA392" s="34" t="s">
        <v>161</v>
      </c>
    </row>
    <row r="393" spans="1:79" x14ac:dyDescent="0.25">
      <c r="A393" s="34" t="s">
        <v>1025</v>
      </c>
      <c r="B393" s="34" t="s">
        <v>1026</v>
      </c>
      <c r="C393" s="34">
        <v>2020</v>
      </c>
      <c r="D393" s="34" t="s">
        <v>487</v>
      </c>
      <c r="E393" s="34">
        <v>2.0201022933296301E+17</v>
      </c>
      <c r="F393" s="34" t="s">
        <v>182</v>
      </c>
      <c r="G393" s="34" t="s">
        <v>1637</v>
      </c>
      <c r="H393" s="34">
        <v>1462600</v>
      </c>
      <c r="I393" s="34"/>
      <c r="J393" s="34" t="s">
        <v>180</v>
      </c>
      <c r="K393" s="34" t="s">
        <v>179</v>
      </c>
      <c r="L393" s="34" t="s">
        <v>374</v>
      </c>
      <c r="M393" s="34"/>
      <c r="N393" s="34" t="s">
        <v>905</v>
      </c>
      <c r="O393" s="34" t="s">
        <v>75</v>
      </c>
      <c r="P393" s="34"/>
      <c r="Q393" s="34" t="s">
        <v>28</v>
      </c>
      <c r="R393" s="34" t="s">
        <v>906</v>
      </c>
      <c r="S393" s="34"/>
      <c r="T393" s="34" t="s">
        <v>907</v>
      </c>
      <c r="U393" s="34"/>
      <c r="V393" s="34" t="s">
        <v>908</v>
      </c>
      <c r="W393" s="34"/>
      <c r="X393" s="34" t="s">
        <v>909</v>
      </c>
      <c r="Y393" s="34" t="s">
        <v>47</v>
      </c>
      <c r="Z393" s="34">
        <v>21421229</v>
      </c>
      <c r="AA393" s="34" t="s">
        <v>1028</v>
      </c>
      <c r="AB393" s="34" t="s">
        <v>290</v>
      </c>
      <c r="AC393" s="34" t="s">
        <v>374</v>
      </c>
      <c r="AD393" s="34" t="s">
        <v>345</v>
      </c>
      <c r="AE393" s="34" t="s">
        <v>344</v>
      </c>
      <c r="AF393" s="34"/>
      <c r="AG393" s="34"/>
      <c r="AH393" s="34"/>
      <c r="AI393" s="34">
        <v>44104</v>
      </c>
      <c r="AJ393" s="34">
        <v>68</v>
      </c>
      <c r="AK393" s="34">
        <v>1552.5</v>
      </c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 t="s">
        <v>501</v>
      </c>
      <c r="BH393" s="34"/>
      <c r="BI393" s="34" t="s">
        <v>500</v>
      </c>
      <c r="BJ393" s="34">
        <v>2020</v>
      </c>
      <c r="BK393" s="34" t="s">
        <v>50</v>
      </c>
      <c r="BL393" s="34" t="s">
        <v>167</v>
      </c>
      <c r="BM393" s="34" t="s">
        <v>166</v>
      </c>
      <c r="BN393" s="34">
        <v>44174.162684641204</v>
      </c>
      <c r="BO393" s="34"/>
      <c r="BP393" s="34" t="s">
        <v>1638</v>
      </c>
      <c r="BQ393" s="34" t="s">
        <v>419</v>
      </c>
      <c r="BR393" s="34" t="s">
        <v>513</v>
      </c>
      <c r="BS393" s="34">
        <v>4.1023202018827402E+18</v>
      </c>
      <c r="BT393" s="34" t="s">
        <v>164</v>
      </c>
      <c r="BU393" s="34" t="s">
        <v>512</v>
      </c>
      <c r="BV393" s="34">
        <v>2020</v>
      </c>
      <c r="BW393" s="34" t="s">
        <v>163</v>
      </c>
      <c r="BX393" s="34"/>
      <c r="BY393" s="34">
        <v>4.12092020196749E+18</v>
      </c>
      <c r="BZ393" s="34" t="s">
        <v>1639</v>
      </c>
      <c r="CA393" s="34" t="s">
        <v>161</v>
      </c>
    </row>
    <row r="394" spans="1:79" x14ac:dyDescent="0.25">
      <c r="A394" s="34" t="s">
        <v>1640</v>
      </c>
      <c r="B394" s="34" t="s">
        <v>1641</v>
      </c>
      <c r="C394" s="34">
        <v>2020</v>
      </c>
      <c r="D394" s="34" t="s">
        <v>300</v>
      </c>
      <c r="E394" s="34">
        <v>2.0210503944622899E+17</v>
      </c>
      <c r="F394" s="34" t="s">
        <v>182</v>
      </c>
      <c r="G394" s="34" t="s">
        <v>1642</v>
      </c>
      <c r="H394" s="34">
        <v>1514941</v>
      </c>
      <c r="I394" s="34"/>
      <c r="J394" s="34" t="s">
        <v>180</v>
      </c>
      <c r="K394" s="34" t="s">
        <v>179</v>
      </c>
      <c r="L394" s="34"/>
      <c r="M394" s="34"/>
      <c r="N394" s="34" t="s">
        <v>905</v>
      </c>
      <c r="O394" s="34" t="s">
        <v>39</v>
      </c>
      <c r="P394" s="34"/>
      <c r="Q394" s="34" t="s">
        <v>28</v>
      </c>
      <c r="R394" s="34" t="s">
        <v>906</v>
      </c>
      <c r="S394" s="34"/>
      <c r="T394" s="34" t="s">
        <v>907</v>
      </c>
      <c r="U394" s="34"/>
      <c r="V394" s="34" t="s">
        <v>908</v>
      </c>
      <c r="W394" s="34"/>
      <c r="X394" s="34" t="s">
        <v>909</v>
      </c>
      <c r="Y394" s="34" t="s">
        <v>47</v>
      </c>
      <c r="Z394" s="34">
        <v>21421229</v>
      </c>
      <c r="AA394" s="34" t="s">
        <v>1028</v>
      </c>
      <c r="AB394" s="34" t="s">
        <v>393</v>
      </c>
      <c r="AC394" s="34"/>
      <c r="AD394" s="34" t="s">
        <v>345</v>
      </c>
      <c r="AE394" s="34" t="s">
        <v>344</v>
      </c>
      <c r="AF394" s="34"/>
      <c r="AG394" s="34"/>
      <c r="AH394" s="34"/>
      <c r="AI394" s="34">
        <v>44130</v>
      </c>
      <c r="AJ394" s="34">
        <v>25</v>
      </c>
      <c r="AK394" s="34">
        <v>318.5</v>
      </c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 t="s">
        <v>501</v>
      </c>
      <c r="BH394" s="34"/>
      <c r="BI394" s="34" t="s">
        <v>500</v>
      </c>
      <c r="BJ394" s="34">
        <v>2020</v>
      </c>
      <c r="BK394" s="34" t="s">
        <v>50</v>
      </c>
      <c r="BL394" s="34" t="s">
        <v>167</v>
      </c>
      <c r="BM394" s="34" t="s">
        <v>166</v>
      </c>
      <c r="BN394" s="34">
        <v>44324.203730648151</v>
      </c>
      <c r="BO394" s="34"/>
      <c r="BP394" s="34" t="s">
        <v>1643</v>
      </c>
      <c r="BQ394" s="34" t="s">
        <v>419</v>
      </c>
      <c r="BR394" s="34" t="s">
        <v>513</v>
      </c>
      <c r="BS394" s="34">
        <v>4.0504202112851799E+18</v>
      </c>
      <c r="BT394" s="34" t="s">
        <v>164</v>
      </c>
      <c r="BU394" s="34" t="s">
        <v>512</v>
      </c>
      <c r="BV394" s="34">
        <v>2020</v>
      </c>
      <c r="BW394" s="34" t="s">
        <v>163</v>
      </c>
      <c r="BX394" s="34"/>
      <c r="BY394" s="34">
        <v>4.0508202112894802E+18</v>
      </c>
      <c r="BZ394" s="34" t="s">
        <v>1644</v>
      </c>
      <c r="CA394" s="34" t="s">
        <v>161</v>
      </c>
    </row>
    <row r="395" spans="1:79" x14ac:dyDescent="0.25">
      <c r="A395" s="34" t="s">
        <v>1640</v>
      </c>
      <c r="B395" s="34" t="s">
        <v>1641</v>
      </c>
      <c r="C395" s="34">
        <v>2020</v>
      </c>
      <c r="D395" s="34" t="s">
        <v>487</v>
      </c>
      <c r="E395" s="34">
        <v>2.0210426944541798E+17</v>
      </c>
      <c r="F395" s="34" t="s">
        <v>182</v>
      </c>
      <c r="G395" s="34" t="s">
        <v>1645</v>
      </c>
      <c r="H395" s="34">
        <v>1514397</v>
      </c>
      <c r="I395" s="34"/>
      <c r="J395" s="34" t="s">
        <v>180</v>
      </c>
      <c r="K395" s="34" t="s">
        <v>179</v>
      </c>
      <c r="L395" s="34"/>
      <c r="M395" s="34"/>
      <c r="N395" s="34" t="s">
        <v>905</v>
      </c>
      <c r="O395" s="34" t="s">
        <v>39</v>
      </c>
      <c r="P395" s="34"/>
      <c r="Q395" s="34" t="s">
        <v>28</v>
      </c>
      <c r="R395" s="34" t="s">
        <v>906</v>
      </c>
      <c r="S395" s="34"/>
      <c r="T395" s="34" t="s">
        <v>907</v>
      </c>
      <c r="U395" s="34"/>
      <c r="V395" s="34" t="s">
        <v>908</v>
      </c>
      <c r="W395" s="34"/>
      <c r="X395" s="34" t="s">
        <v>909</v>
      </c>
      <c r="Y395" s="34" t="s">
        <v>47</v>
      </c>
      <c r="Z395" s="34">
        <v>21421229</v>
      </c>
      <c r="AA395" s="34" t="s">
        <v>1028</v>
      </c>
      <c r="AB395" s="34" t="s">
        <v>393</v>
      </c>
      <c r="AC395" s="34"/>
      <c r="AD395" s="34" t="s">
        <v>345</v>
      </c>
      <c r="AE395" s="34" t="s">
        <v>344</v>
      </c>
      <c r="AF395" s="34"/>
      <c r="AG395" s="34"/>
      <c r="AH395" s="34"/>
      <c r="AI395" s="34">
        <v>44107</v>
      </c>
      <c r="AJ395" s="34">
        <v>26</v>
      </c>
      <c r="AK395" s="34">
        <v>293.5</v>
      </c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 t="s">
        <v>501</v>
      </c>
      <c r="BH395" s="34"/>
      <c r="BI395" s="34" t="s">
        <v>500</v>
      </c>
      <c r="BJ395" s="34">
        <v>2020</v>
      </c>
      <c r="BK395" s="34" t="s">
        <v>50</v>
      </c>
      <c r="BL395" s="34" t="s">
        <v>167</v>
      </c>
      <c r="BM395" s="34" t="s">
        <v>166</v>
      </c>
      <c r="BN395" s="34">
        <v>44324.20745141204</v>
      </c>
      <c r="BO395" s="34"/>
      <c r="BP395" s="34" t="s">
        <v>1646</v>
      </c>
      <c r="BQ395" s="34" t="s">
        <v>419</v>
      </c>
      <c r="BR395" s="34" t="s">
        <v>513</v>
      </c>
      <c r="BS395" s="34">
        <v>4.0426202112790702E+18</v>
      </c>
      <c r="BT395" s="34" t="s">
        <v>164</v>
      </c>
      <c r="BU395" s="34" t="s">
        <v>512</v>
      </c>
      <c r="BV395" s="34">
        <v>2020</v>
      </c>
      <c r="BW395" s="34" t="s">
        <v>163</v>
      </c>
      <c r="BX395" s="34"/>
      <c r="BY395" s="34">
        <v>4.05082021128753E+18</v>
      </c>
      <c r="BZ395" s="34" t="s">
        <v>1647</v>
      </c>
      <c r="CA395" s="34" t="s">
        <v>161</v>
      </c>
    </row>
    <row r="396" spans="1:79" x14ac:dyDescent="0.25">
      <c r="A396" s="34" t="s">
        <v>1640</v>
      </c>
      <c r="B396" s="34" t="s">
        <v>1641</v>
      </c>
      <c r="C396" s="34">
        <v>2020</v>
      </c>
      <c r="D396" s="34" t="s">
        <v>487</v>
      </c>
      <c r="E396" s="34">
        <v>2.0210426944541798E+17</v>
      </c>
      <c r="F396" s="34" t="s">
        <v>182</v>
      </c>
      <c r="G396" s="34" t="s">
        <v>1648</v>
      </c>
      <c r="H396" s="34">
        <v>1514397</v>
      </c>
      <c r="I396" s="34"/>
      <c r="J396" s="34" t="s">
        <v>180</v>
      </c>
      <c r="K396" s="34" t="s">
        <v>179</v>
      </c>
      <c r="L396" s="34"/>
      <c r="M396" s="34"/>
      <c r="N396" s="34" t="s">
        <v>905</v>
      </c>
      <c r="O396" s="34" t="s">
        <v>39</v>
      </c>
      <c r="P396" s="34"/>
      <c r="Q396" s="34" t="s">
        <v>28</v>
      </c>
      <c r="R396" s="34" t="s">
        <v>906</v>
      </c>
      <c r="S396" s="34"/>
      <c r="T396" s="34" t="s">
        <v>907</v>
      </c>
      <c r="U396" s="34"/>
      <c r="V396" s="34" t="s">
        <v>908</v>
      </c>
      <c r="W396" s="34"/>
      <c r="X396" s="34" t="s">
        <v>909</v>
      </c>
      <c r="Y396" s="34" t="s">
        <v>47</v>
      </c>
      <c r="Z396" s="34">
        <v>21421229</v>
      </c>
      <c r="AA396" s="34" t="s">
        <v>1028</v>
      </c>
      <c r="AB396" s="34" t="s">
        <v>393</v>
      </c>
      <c r="AC396" s="34"/>
      <c r="AD396" s="34" t="s">
        <v>345</v>
      </c>
      <c r="AE396" s="34" t="s">
        <v>344</v>
      </c>
      <c r="AF396" s="34"/>
      <c r="AG396" s="34"/>
      <c r="AH396" s="34"/>
      <c r="AI396" s="34">
        <v>44107</v>
      </c>
      <c r="AJ396" s="34">
        <v>26</v>
      </c>
      <c r="AK396" s="34">
        <v>293.5</v>
      </c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 t="s">
        <v>501</v>
      </c>
      <c r="BH396" s="34"/>
      <c r="BI396" s="34" t="s">
        <v>500</v>
      </c>
      <c r="BJ396" s="34">
        <v>2020</v>
      </c>
      <c r="BK396" s="34" t="s">
        <v>50</v>
      </c>
      <c r="BL396" s="34" t="s">
        <v>167</v>
      </c>
      <c r="BM396" s="34" t="s">
        <v>166</v>
      </c>
      <c r="BN396" s="34">
        <v>44324.207451400463</v>
      </c>
      <c r="BO396" s="34"/>
      <c r="BP396" s="34" t="s">
        <v>1649</v>
      </c>
      <c r="BQ396" s="34" t="s">
        <v>419</v>
      </c>
      <c r="BR396" s="34" t="s">
        <v>513</v>
      </c>
      <c r="BS396" s="34">
        <v>4.0426202112790702E+18</v>
      </c>
      <c r="BT396" s="34" t="s">
        <v>164</v>
      </c>
      <c r="BU396" s="34" t="s">
        <v>512</v>
      </c>
      <c r="BV396" s="34">
        <v>2020</v>
      </c>
      <c r="BW396" s="34" t="s">
        <v>163</v>
      </c>
      <c r="BX396" s="34"/>
      <c r="BY396" s="34">
        <v>4.05082021128753E+18</v>
      </c>
      <c r="BZ396" s="34" t="s">
        <v>1650</v>
      </c>
      <c r="CA396" s="34" t="s">
        <v>161</v>
      </c>
    </row>
    <row r="397" spans="1:79" x14ac:dyDescent="0.25">
      <c r="A397" s="34" t="s">
        <v>1640</v>
      </c>
      <c r="B397" s="34" t="s">
        <v>1641</v>
      </c>
      <c r="C397" s="34">
        <v>2020</v>
      </c>
      <c r="D397" s="34" t="s">
        <v>487</v>
      </c>
      <c r="E397" s="34">
        <v>2.0210426944541798E+17</v>
      </c>
      <c r="F397" s="34" t="s">
        <v>182</v>
      </c>
      <c r="G397" s="34" t="s">
        <v>1651</v>
      </c>
      <c r="H397" s="34">
        <v>1514397</v>
      </c>
      <c r="I397" s="34"/>
      <c r="J397" s="34" t="s">
        <v>180</v>
      </c>
      <c r="K397" s="34" t="s">
        <v>179</v>
      </c>
      <c r="L397" s="34"/>
      <c r="M397" s="34"/>
      <c r="N397" s="34" t="s">
        <v>905</v>
      </c>
      <c r="O397" s="34" t="s">
        <v>39</v>
      </c>
      <c r="P397" s="34"/>
      <c r="Q397" s="34" t="s">
        <v>28</v>
      </c>
      <c r="R397" s="34" t="s">
        <v>906</v>
      </c>
      <c r="S397" s="34"/>
      <c r="T397" s="34" t="s">
        <v>907</v>
      </c>
      <c r="U397" s="34"/>
      <c r="V397" s="34" t="s">
        <v>908</v>
      </c>
      <c r="W397" s="34"/>
      <c r="X397" s="34" t="s">
        <v>909</v>
      </c>
      <c r="Y397" s="34" t="s">
        <v>47</v>
      </c>
      <c r="Z397" s="34">
        <v>21421229</v>
      </c>
      <c r="AA397" s="34" t="s">
        <v>1028</v>
      </c>
      <c r="AB397" s="34" t="s">
        <v>393</v>
      </c>
      <c r="AC397" s="34"/>
      <c r="AD397" s="34" t="s">
        <v>345</v>
      </c>
      <c r="AE397" s="34" t="s">
        <v>344</v>
      </c>
      <c r="AF397" s="34"/>
      <c r="AG397" s="34"/>
      <c r="AH397" s="34"/>
      <c r="AI397" s="34">
        <v>44107</v>
      </c>
      <c r="AJ397" s="34">
        <v>26</v>
      </c>
      <c r="AK397" s="34">
        <v>293.5</v>
      </c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 t="s">
        <v>501</v>
      </c>
      <c r="BH397" s="34"/>
      <c r="BI397" s="34" t="s">
        <v>500</v>
      </c>
      <c r="BJ397" s="34">
        <v>2020</v>
      </c>
      <c r="BK397" s="34" t="s">
        <v>50</v>
      </c>
      <c r="BL397" s="34" t="s">
        <v>167</v>
      </c>
      <c r="BM397" s="34" t="s">
        <v>166</v>
      </c>
      <c r="BN397" s="34">
        <v>44324.207451400463</v>
      </c>
      <c r="BO397" s="34"/>
      <c r="BP397" s="34" t="s">
        <v>1652</v>
      </c>
      <c r="BQ397" s="34" t="s">
        <v>419</v>
      </c>
      <c r="BR397" s="34" t="s">
        <v>513</v>
      </c>
      <c r="BS397" s="34">
        <v>4.0426202112790702E+18</v>
      </c>
      <c r="BT397" s="34" t="s">
        <v>164</v>
      </c>
      <c r="BU397" s="34" t="s">
        <v>512</v>
      </c>
      <c r="BV397" s="34">
        <v>2020</v>
      </c>
      <c r="BW397" s="34" t="s">
        <v>163</v>
      </c>
      <c r="BX397" s="34"/>
      <c r="BY397" s="34">
        <v>4.05082021128753E+18</v>
      </c>
      <c r="BZ397" s="34" t="s">
        <v>1650</v>
      </c>
      <c r="CA397" s="34" t="s">
        <v>161</v>
      </c>
    </row>
    <row r="398" spans="1:79" x14ac:dyDescent="0.25">
      <c r="A398" s="34" t="s">
        <v>1640</v>
      </c>
      <c r="B398" s="34" t="s">
        <v>1641</v>
      </c>
      <c r="C398" s="34">
        <v>2020</v>
      </c>
      <c r="D398" s="34" t="s">
        <v>487</v>
      </c>
      <c r="E398" s="34">
        <v>2.0210426944541798E+17</v>
      </c>
      <c r="F398" s="34" t="s">
        <v>182</v>
      </c>
      <c r="G398" s="34" t="s">
        <v>1653</v>
      </c>
      <c r="H398" s="34">
        <v>1514397</v>
      </c>
      <c r="I398" s="34"/>
      <c r="J398" s="34" t="s">
        <v>180</v>
      </c>
      <c r="K398" s="34" t="s">
        <v>179</v>
      </c>
      <c r="L398" s="34"/>
      <c r="M398" s="34"/>
      <c r="N398" s="34" t="s">
        <v>905</v>
      </c>
      <c r="O398" s="34" t="s">
        <v>39</v>
      </c>
      <c r="P398" s="34"/>
      <c r="Q398" s="34" t="s">
        <v>28</v>
      </c>
      <c r="R398" s="34" t="s">
        <v>906</v>
      </c>
      <c r="S398" s="34"/>
      <c r="T398" s="34" t="s">
        <v>907</v>
      </c>
      <c r="U398" s="34"/>
      <c r="V398" s="34" t="s">
        <v>908</v>
      </c>
      <c r="W398" s="34"/>
      <c r="X398" s="34" t="s">
        <v>909</v>
      </c>
      <c r="Y398" s="34" t="s">
        <v>47</v>
      </c>
      <c r="Z398" s="34">
        <v>21421229</v>
      </c>
      <c r="AA398" s="34" t="s">
        <v>1028</v>
      </c>
      <c r="AB398" s="34" t="s">
        <v>393</v>
      </c>
      <c r="AC398" s="34"/>
      <c r="AD398" s="34" t="s">
        <v>345</v>
      </c>
      <c r="AE398" s="34" t="s">
        <v>344</v>
      </c>
      <c r="AF398" s="34"/>
      <c r="AG398" s="34"/>
      <c r="AH398" s="34"/>
      <c r="AI398" s="34">
        <v>44110</v>
      </c>
      <c r="AJ398" s="34">
        <v>24</v>
      </c>
      <c r="AK398" s="34">
        <v>293.5</v>
      </c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 t="s">
        <v>501</v>
      </c>
      <c r="BH398" s="34"/>
      <c r="BI398" s="34" t="s">
        <v>500</v>
      </c>
      <c r="BJ398" s="34">
        <v>2020</v>
      </c>
      <c r="BK398" s="34" t="s">
        <v>50</v>
      </c>
      <c r="BL398" s="34" t="s">
        <v>167</v>
      </c>
      <c r="BM398" s="34" t="s">
        <v>166</v>
      </c>
      <c r="BN398" s="34">
        <v>44324.20745141204</v>
      </c>
      <c r="BO398" s="34"/>
      <c r="BP398" s="34" t="s">
        <v>1654</v>
      </c>
      <c r="BQ398" s="34" t="s">
        <v>419</v>
      </c>
      <c r="BR398" s="34" t="s">
        <v>513</v>
      </c>
      <c r="BS398" s="34">
        <v>4.0426202112790702E+18</v>
      </c>
      <c r="BT398" s="34" t="s">
        <v>164</v>
      </c>
      <c r="BU398" s="34" t="s">
        <v>512</v>
      </c>
      <c r="BV398" s="34">
        <v>2020</v>
      </c>
      <c r="BW398" s="34" t="s">
        <v>163</v>
      </c>
      <c r="BX398" s="34"/>
      <c r="BY398" s="34">
        <v>4.05082021128753E+18</v>
      </c>
      <c r="BZ398" s="34" t="s">
        <v>1647</v>
      </c>
      <c r="CA398" s="34" t="s">
        <v>161</v>
      </c>
    </row>
    <row r="399" spans="1:79" x14ac:dyDescent="0.25">
      <c r="A399" s="34" t="s">
        <v>1640</v>
      </c>
      <c r="B399" s="34" t="s">
        <v>1641</v>
      </c>
      <c r="C399" s="34">
        <v>2020</v>
      </c>
      <c r="D399" s="34" t="s">
        <v>487</v>
      </c>
      <c r="E399" s="34">
        <v>2.0210426944541798E+17</v>
      </c>
      <c r="F399" s="34" t="s">
        <v>182</v>
      </c>
      <c r="G399" s="34" t="s">
        <v>1655</v>
      </c>
      <c r="H399" s="34">
        <v>1514397</v>
      </c>
      <c r="I399" s="34"/>
      <c r="J399" s="34" t="s">
        <v>180</v>
      </c>
      <c r="K399" s="34" t="s">
        <v>179</v>
      </c>
      <c r="L399" s="34"/>
      <c r="M399" s="34"/>
      <c r="N399" s="34" t="s">
        <v>905</v>
      </c>
      <c r="O399" s="34" t="s">
        <v>39</v>
      </c>
      <c r="P399" s="34"/>
      <c r="Q399" s="34" t="s">
        <v>28</v>
      </c>
      <c r="R399" s="34" t="s">
        <v>906</v>
      </c>
      <c r="S399" s="34"/>
      <c r="T399" s="34" t="s">
        <v>907</v>
      </c>
      <c r="U399" s="34"/>
      <c r="V399" s="34" t="s">
        <v>908</v>
      </c>
      <c r="W399" s="34"/>
      <c r="X399" s="34" t="s">
        <v>909</v>
      </c>
      <c r="Y399" s="34" t="s">
        <v>47</v>
      </c>
      <c r="Z399" s="34">
        <v>21421229</v>
      </c>
      <c r="AA399" s="34" t="s">
        <v>1028</v>
      </c>
      <c r="AB399" s="34" t="s">
        <v>393</v>
      </c>
      <c r="AC399" s="34"/>
      <c r="AD399" s="34" t="s">
        <v>345</v>
      </c>
      <c r="AE399" s="34" t="s">
        <v>344</v>
      </c>
      <c r="AF399" s="34"/>
      <c r="AG399" s="34"/>
      <c r="AH399" s="34"/>
      <c r="AI399" s="34">
        <v>44107</v>
      </c>
      <c r="AJ399" s="34">
        <v>5</v>
      </c>
      <c r="AK399" s="34">
        <v>293.5</v>
      </c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 t="s">
        <v>501</v>
      </c>
      <c r="BH399" s="34"/>
      <c r="BI399" s="34" t="s">
        <v>500</v>
      </c>
      <c r="BJ399" s="34">
        <v>2020</v>
      </c>
      <c r="BK399" s="34" t="s">
        <v>50</v>
      </c>
      <c r="BL399" s="34" t="s">
        <v>167</v>
      </c>
      <c r="BM399" s="34" t="s">
        <v>166</v>
      </c>
      <c r="BN399" s="34">
        <v>44324.207451400463</v>
      </c>
      <c r="BO399" s="34"/>
      <c r="BP399" s="34" t="s">
        <v>1656</v>
      </c>
      <c r="BQ399" s="34" t="s">
        <v>419</v>
      </c>
      <c r="BR399" s="34" t="s">
        <v>513</v>
      </c>
      <c r="BS399" s="34">
        <v>4.0426202112790702E+18</v>
      </c>
      <c r="BT399" s="34" t="s">
        <v>164</v>
      </c>
      <c r="BU399" s="34" t="s">
        <v>512</v>
      </c>
      <c r="BV399" s="34">
        <v>2020</v>
      </c>
      <c r="BW399" s="34" t="s">
        <v>163</v>
      </c>
      <c r="BX399" s="34"/>
      <c r="BY399" s="34">
        <v>4.05082021128753E+18</v>
      </c>
      <c r="BZ399" s="34" t="s">
        <v>1657</v>
      </c>
      <c r="CA399" s="34" t="s">
        <v>161</v>
      </c>
    </row>
    <row r="400" spans="1:79" x14ac:dyDescent="0.25">
      <c r="A400" s="34" t="s">
        <v>1640</v>
      </c>
      <c r="B400" s="34" t="s">
        <v>1641</v>
      </c>
      <c r="C400" s="34">
        <v>2020</v>
      </c>
      <c r="D400" s="34" t="s">
        <v>487</v>
      </c>
      <c r="E400" s="34">
        <v>2.0210426944541798E+17</v>
      </c>
      <c r="F400" s="34" t="s">
        <v>182</v>
      </c>
      <c r="G400" s="34" t="s">
        <v>1658</v>
      </c>
      <c r="H400" s="34">
        <v>1514397</v>
      </c>
      <c r="I400" s="34"/>
      <c r="J400" s="34" t="s">
        <v>180</v>
      </c>
      <c r="K400" s="34" t="s">
        <v>179</v>
      </c>
      <c r="L400" s="34"/>
      <c r="M400" s="34"/>
      <c r="N400" s="34" t="s">
        <v>905</v>
      </c>
      <c r="O400" s="34" t="s">
        <v>39</v>
      </c>
      <c r="P400" s="34"/>
      <c r="Q400" s="34" t="s">
        <v>28</v>
      </c>
      <c r="R400" s="34" t="s">
        <v>906</v>
      </c>
      <c r="S400" s="34"/>
      <c r="T400" s="34" t="s">
        <v>907</v>
      </c>
      <c r="U400" s="34"/>
      <c r="V400" s="34" t="s">
        <v>908</v>
      </c>
      <c r="W400" s="34"/>
      <c r="X400" s="34" t="s">
        <v>909</v>
      </c>
      <c r="Y400" s="34" t="s">
        <v>47</v>
      </c>
      <c r="Z400" s="34">
        <v>21421229</v>
      </c>
      <c r="AA400" s="34" t="s">
        <v>1028</v>
      </c>
      <c r="AB400" s="34" t="s">
        <v>393</v>
      </c>
      <c r="AC400" s="34"/>
      <c r="AD400" s="34" t="s">
        <v>345</v>
      </c>
      <c r="AE400" s="34" t="s">
        <v>344</v>
      </c>
      <c r="AF400" s="34"/>
      <c r="AG400" s="34"/>
      <c r="AH400" s="34"/>
      <c r="AI400" s="34">
        <v>44114</v>
      </c>
      <c r="AJ400" s="34">
        <v>5</v>
      </c>
      <c r="AK400" s="34">
        <v>293.5</v>
      </c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 t="s">
        <v>501</v>
      </c>
      <c r="BH400" s="34"/>
      <c r="BI400" s="34" t="s">
        <v>500</v>
      </c>
      <c r="BJ400" s="34">
        <v>2020</v>
      </c>
      <c r="BK400" s="34" t="s">
        <v>50</v>
      </c>
      <c r="BL400" s="34" t="s">
        <v>167</v>
      </c>
      <c r="BM400" s="34" t="s">
        <v>166</v>
      </c>
      <c r="BN400" s="34">
        <v>44324.20745141204</v>
      </c>
      <c r="BO400" s="34"/>
      <c r="BP400" s="34" t="s">
        <v>1659</v>
      </c>
      <c r="BQ400" s="34" t="s">
        <v>419</v>
      </c>
      <c r="BR400" s="34" t="s">
        <v>513</v>
      </c>
      <c r="BS400" s="34">
        <v>4.0426202112790702E+18</v>
      </c>
      <c r="BT400" s="34" t="s">
        <v>164</v>
      </c>
      <c r="BU400" s="34" t="s">
        <v>512</v>
      </c>
      <c r="BV400" s="34">
        <v>2020</v>
      </c>
      <c r="BW400" s="34" t="s">
        <v>163</v>
      </c>
      <c r="BX400" s="34"/>
      <c r="BY400" s="34">
        <v>4.05082021128753E+18</v>
      </c>
      <c r="BZ400" s="34" t="s">
        <v>1660</v>
      </c>
      <c r="CA400" s="34" t="s">
        <v>161</v>
      </c>
    </row>
    <row r="401" spans="1:79" x14ac:dyDescent="0.25">
      <c r="A401" s="34" t="s">
        <v>1640</v>
      </c>
      <c r="B401" s="34" t="s">
        <v>1641</v>
      </c>
      <c r="C401" s="34">
        <v>2020</v>
      </c>
      <c r="D401" s="34" t="s">
        <v>487</v>
      </c>
      <c r="E401" s="34">
        <v>2.0210426944541798E+17</v>
      </c>
      <c r="F401" s="34" t="s">
        <v>182</v>
      </c>
      <c r="G401" s="34" t="s">
        <v>1661</v>
      </c>
      <c r="H401" s="34">
        <v>1514397</v>
      </c>
      <c r="I401" s="34"/>
      <c r="J401" s="34" t="s">
        <v>180</v>
      </c>
      <c r="K401" s="34" t="s">
        <v>179</v>
      </c>
      <c r="L401" s="34"/>
      <c r="M401" s="34"/>
      <c r="N401" s="34" t="s">
        <v>905</v>
      </c>
      <c r="O401" s="34" t="s">
        <v>39</v>
      </c>
      <c r="P401" s="34"/>
      <c r="Q401" s="34" t="s">
        <v>28</v>
      </c>
      <c r="R401" s="34" t="s">
        <v>906</v>
      </c>
      <c r="S401" s="34"/>
      <c r="T401" s="34" t="s">
        <v>907</v>
      </c>
      <c r="U401" s="34"/>
      <c r="V401" s="34" t="s">
        <v>908</v>
      </c>
      <c r="W401" s="34"/>
      <c r="X401" s="34" t="s">
        <v>909</v>
      </c>
      <c r="Y401" s="34" t="s">
        <v>47</v>
      </c>
      <c r="Z401" s="34">
        <v>21421229</v>
      </c>
      <c r="AA401" s="34" t="s">
        <v>1028</v>
      </c>
      <c r="AB401" s="34" t="s">
        <v>393</v>
      </c>
      <c r="AC401" s="34"/>
      <c r="AD401" s="34" t="s">
        <v>345</v>
      </c>
      <c r="AE401" s="34" t="s">
        <v>344</v>
      </c>
      <c r="AF401" s="34"/>
      <c r="AG401" s="34"/>
      <c r="AH401" s="34"/>
      <c r="AI401" s="34">
        <v>44114</v>
      </c>
      <c r="AJ401" s="34">
        <v>21</v>
      </c>
      <c r="AK401" s="34">
        <v>293.5</v>
      </c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 t="s">
        <v>501</v>
      </c>
      <c r="BH401" s="34"/>
      <c r="BI401" s="34" t="s">
        <v>500</v>
      </c>
      <c r="BJ401" s="34">
        <v>2020</v>
      </c>
      <c r="BK401" s="34" t="s">
        <v>50</v>
      </c>
      <c r="BL401" s="34" t="s">
        <v>167</v>
      </c>
      <c r="BM401" s="34" t="s">
        <v>166</v>
      </c>
      <c r="BN401" s="34">
        <v>44324.20745141204</v>
      </c>
      <c r="BO401" s="34"/>
      <c r="BP401" s="34" t="s">
        <v>1662</v>
      </c>
      <c r="BQ401" s="34" t="s">
        <v>419</v>
      </c>
      <c r="BR401" s="34" t="s">
        <v>513</v>
      </c>
      <c r="BS401" s="34">
        <v>4.0426202112790702E+18</v>
      </c>
      <c r="BT401" s="34" t="s">
        <v>164</v>
      </c>
      <c r="BU401" s="34" t="s">
        <v>512</v>
      </c>
      <c r="BV401" s="34">
        <v>2020</v>
      </c>
      <c r="BW401" s="34" t="s">
        <v>163</v>
      </c>
      <c r="BX401" s="34"/>
      <c r="BY401" s="34">
        <v>4.05082021128753E+18</v>
      </c>
      <c r="BZ401" s="34" t="s">
        <v>1663</v>
      </c>
      <c r="CA401" s="34" t="s">
        <v>161</v>
      </c>
    </row>
    <row r="402" spans="1:79" x14ac:dyDescent="0.25">
      <c r="A402" s="34" t="s">
        <v>1640</v>
      </c>
      <c r="B402" s="34" t="s">
        <v>1641</v>
      </c>
      <c r="C402" s="34">
        <v>2020</v>
      </c>
      <c r="D402" s="34" t="s">
        <v>487</v>
      </c>
      <c r="E402" s="34">
        <v>2.0210426944541798E+17</v>
      </c>
      <c r="F402" s="34" t="s">
        <v>182</v>
      </c>
      <c r="G402" s="34" t="s">
        <v>1664</v>
      </c>
      <c r="H402" s="34">
        <v>1514397</v>
      </c>
      <c r="I402" s="34"/>
      <c r="J402" s="34" t="s">
        <v>180</v>
      </c>
      <c r="K402" s="34" t="s">
        <v>179</v>
      </c>
      <c r="L402" s="34"/>
      <c r="M402" s="34"/>
      <c r="N402" s="34" t="s">
        <v>905</v>
      </c>
      <c r="O402" s="34" t="s">
        <v>39</v>
      </c>
      <c r="P402" s="34"/>
      <c r="Q402" s="34" t="s">
        <v>28</v>
      </c>
      <c r="R402" s="34" t="s">
        <v>906</v>
      </c>
      <c r="S402" s="34"/>
      <c r="T402" s="34" t="s">
        <v>907</v>
      </c>
      <c r="U402" s="34"/>
      <c r="V402" s="34" t="s">
        <v>908</v>
      </c>
      <c r="W402" s="34"/>
      <c r="X402" s="34" t="s">
        <v>909</v>
      </c>
      <c r="Y402" s="34" t="s">
        <v>47</v>
      </c>
      <c r="Z402" s="34">
        <v>21421229</v>
      </c>
      <c r="AA402" s="34" t="s">
        <v>1028</v>
      </c>
      <c r="AB402" s="34" t="s">
        <v>393</v>
      </c>
      <c r="AC402" s="34"/>
      <c r="AD402" s="34" t="s">
        <v>345</v>
      </c>
      <c r="AE402" s="34" t="s">
        <v>344</v>
      </c>
      <c r="AF402" s="34"/>
      <c r="AG402" s="34"/>
      <c r="AH402" s="34"/>
      <c r="AI402" s="34">
        <v>44113</v>
      </c>
      <c r="AJ402" s="34">
        <v>24</v>
      </c>
      <c r="AK402" s="34">
        <v>293.5</v>
      </c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 t="s">
        <v>501</v>
      </c>
      <c r="BH402" s="34"/>
      <c r="BI402" s="34" t="s">
        <v>500</v>
      </c>
      <c r="BJ402" s="34">
        <v>2020</v>
      </c>
      <c r="BK402" s="34" t="s">
        <v>50</v>
      </c>
      <c r="BL402" s="34" t="s">
        <v>167</v>
      </c>
      <c r="BM402" s="34" t="s">
        <v>166</v>
      </c>
      <c r="BN402" s="34">
        <v>44324.20745141204</v>
      </c>
      <c r="BO402" s="34"/>
      <c r="BP402" s="34" t="s">
        <v>1665</v>
      </c>
      <c r="BQ402" s="34" t="s">
        <v>419</v>
      </c>
      <c r="BR402" s="34" t="s">
        <v>513</v>
      </c>
      <c r="BS402" s="34">
        <v>4.0426202112790702E+18</v>
      </c>
      <c r="BT402" s="34" t="s">
        <v>164</v>
      </c>
      <c r="BU402" s="34" t="s">
        <v>512</v>
      </c>
      <c r="BV402" s="34">
        <v>2020</v>
      </c>
      <c r="BW402" s="34" t="s">
        <v>163</v>
      </c>
      <c r="BX402" s="34"/>
      <c r="BY402" s="34">
        <v>4.05082021128753E+18</v>
      </c>
      <c r="BZ402" s="34" t="s">
        <v>1663</v>
      </c>
      <c r="CA402" s="34" t="s">
        <v>161</v>
      </c>
    </row>
    <row r="403" spans="1:79" x14ac:dyDescent="0.25">
      <c r="A403" s="34" t="s">
        <v>1640</v>
      </c>
      <c r="B403" s="34" t="s">
        <v>1641</v>
      </c>
      <c r="C403" s="34">
        <v>2020</v>
      </c>
      <c r="D403" s="34" t="s">
        <v>487</v>
      </c>
      <c r="E403" s="34">
        <v>2.0210426944541798E+17</v>
      </c>
      <c r="F403" s="34" t="s">
        <v>182</v>
      </c>
      <c r="G403" s="34" t="s">
        <v>1666</v>
      </c>
      <c r="H403" s="34">
        <v>1514397</v>
      </c>
      <c r="I403" s="34"/>
      <c r="J403" s="34" t="s">
        <v>180</v>
      </c>
      <c r="K403" s="34" t="s">
        <v>179</v>
      </c>
      <c r="L403" s="34"/>
      <c r="M403" s="34"/>
      <c r="N403" s="34" t="s">
        <v>905</v>
      </c>
      <c r="O403" s="34" t="s">
        <v>39</v>
      </c>
      <c r="P403" s="34"/>
      <c r="Q403" s="34" t="s">
        <v>28</v>
      </c>
      <c r="R403" s="34" t="s">
        <v>906</v>
      </c>
      <c r="S403" s="34"/>
      <c r="T403" s="34" t="s">
        <v>907</v>
      </c>
      <c r="U403" s="34"/>
      <c r="V403" s="34" t="s">
        <v>908</v>
      </c>
      <c r="W403" s="34"/>
      <c r="X403" s="34" t="s">
        <v>909</v>
      </c>
      <c r="Y403" s="34" t="s">
        <v>47</v>
      </c>
      <c r="Z403" s="34">
        <v>21421229</v>
      </c>
      <c r="AA403" s="34" t="s">
        <v>1028</v>
      </c>
      <c r="AB403" s="34" t="s">
        <v>393</v>
      </c>
      <c r="AC403" s="34"/>
      <c r="AD403" s="34" t="s">
        <v>345</v>
      </c>
      <c r="AE403" s="34" t="s">
        <v>344</v>
      </c>
      <c r="AF403" s="34"/>
      <c r="AG403" s="34"/>
      <c r="AH403" s="34"/>
      <c r="AI403" s="34">
        <v>44114</v>
      </c>
      <c r="AJ403" s="34">
        <v>5</v>
      </c>
      <c r="AK403" s="34">
        <v>293.5</v>
      </c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 t="s">
        <v>501</v>
      </c>
      <c r="BH403" s="34"/>
      <c r="BI403" s="34" t="s">
        <v>500</v>
      </c>
      <c r="BJ403" s="34">
        <v>2020</v>
      </c>
      <c r="BK403" s="34" t="s">
        <v>50</v>
      </c>
      <c r="BL403" s="34" t="s">
        <v>167</v>
      </c>
      <c r="BM403" s="34" t="s">
        <v>166</v>
      </c>
      <c r="BN403" s="34">
        <v>44324.20745141204</v>
      </c>
      <c r="BO403" s="34"/>
      <c r="BP403" s="34" t="s">
        <v>1667</v>
      </c>
      <c r="BQ403" s="34" t="s">
        <v>419</v>
      </c>
      <c r="BR403" s="34" t="s">
        <v>513</v>
      </c>
      <c r="BS403" s="34">
        <v>4.0426202112790702E+18</v>
      </c>
      <c r="BT403" s="34" t="s">
        <v>164</v>
      </c>
      <c r="BU403" s="34" t="s">
        <v>512</v>
      </c>
      <c r="BV403" s="34">
        <v>2020</v>
      </c>
      <c r="BW403" s="34" t="s">
        <v>163</v>
      </c>
      <c r="BX403" s="34"/>
      <c r="BY403" s="34">
        <v>4.05082021128753E+18</v>
      </c>
      <c r="BZ403" s="34" t="s">
        <v>1668</v>
      </c>
      <c r="CA403" s="34" t="s">
        <v>161</v>
      </c>
    </row>
    <row r="404" spans="1:79" x14ac:dyDescent="0.25">
      <c r="A404" s="34" t="s">
        <v>1603</v>
      </c>
      <c r="B404" s="34" t="s">
        <v>1669</v>
      </c>
      <c r="C404" s="34">
        <v>2020</v>
      </c>
      <c r="D404" s="34" t="s">
        <v>341</v>
      </c>
      <c r="E404" s="34">
        <v>2.0201015929460099E+17</v>
      </c>
      <c r="F404" s="34" t="s">
        <v>182</v>
      </c>
      <c r="G404" s="34">
        <v>7018560</v>
      </c>
      <c r="H404" s="34">
        <v>1451061</v>
      </c>
      <c r="I404" s="34"/>
      <c r="J404" s="34" t="s">
        <v>180</v>
      </c>
      <c r="K404" s="34" t="s">
        <v>179</v>
      </c>
      <c r="L404" s="34" t="s">
        <v>374</v>
      </c>
      <c r="M404" s="34"/>
      <c r="N404" s="34" t="s">
        <v>905</v>
      </c>
      <c r="O404" s="34" t="s">
        <v>39</v>
      </c>
      <c r="P404" s="34"/>
      <c r="Q404" s="34" t="s">
        <v>28</v>
      </c>
      <c r="R404" s="34" t="s">
        <v>906</v>
      </c>
      <c r="S404" s="34"/>
      <c r="T404" s="34" t="s">
        <v>907</v>
      </c>
      <c r="U404" s="34"/>
      <c r="V404" s="34" t="s">
        <v>908</v>
      </c>
      <c r="W404" s="34"/>
      <c r="X404" s="34" t="s">
        <v>909</v>
      </c>
      <c r="Y404" s="34" t="s">
        <v>47</v>
      </c>
      <c r="Z404" s="34">
        <v>21421229</v>
      </c>
      <c r="AA404" s="34" t="s">
        <v>910</v>
      </c>
      <c r="AB404" s="34" t="s">
        <v>393</v>
      </c>
      <c r="AC404" s="34" t="s">
        <v>374</v>
      </c>
      <c r="AD404" s="34" t="s">
        <v>345</v>
      </c>
      <c r="AE404" s="34" t="s">
        <v>344</v>
      </c>
      <c r="AF404" s="34"/>
      <c r="AG404" s="34"/>
      <c r="AH404" s="34"/>
      <c r="AI404" s="34">
        <v>44041</v>
      </c>
      <c r="AJ404" s="34">
        <v>28</v>
      </c>
      <c r="AK404" s="34">
        <v>203</v>
      </c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 t="s">
        <v>1670</v>
      </c>
      <c r="BH404" s="34"/>
      <c r="BI404" s="34" t="s">
        <v>168</v>
      </c>
      <c r="BJ404" s="34">
        <v>2024</v>
      </c>
      <c r="BK404" s="34" t="s">
        <v>50</v>
      </c>
      <c r="BL404" s="34" t="s">
        <v>167</v>
      </c>
      <c r="BM404" s="34" t="s">
        <v>166</v>
      </c>
      <c r="BN404" s="34">
        <v>44156.159682650461</v>
      </c>
      <c r="BO404" s="34"/>
      <c r="BP404" s="34" t="s">
        <v>1671</v>
      </c>
      <c r="BQ404" s="34" t="s">
        <v>419</v>
      </c>
      <c r="BR404" s="34" t="s">
        <v>513</v>
      </c>
      <c r="BS404" s="34">
        <v>4.1016202018576502E+18</v>
      </c>
      <c r="BT404" s="34" t="s">
        <v>164</v>
      </c>
      <c r="BU404" s="34" t="s">
        <v>512</v>
      </c>
      <c r="BV404" s="34">
        <v>2020</v>
      </c>
      <c r="BW404" s="34" t="s">
        <v>163</v>
      </c>
      <c r="BX404" s="34"/>
      <c r="BY404" s="34">
        <v>4.11212020195985E+18</v>
      </c>
      <c r="BZ404" s="34" t="s">
        <v>1672</v>
      </c>
      <c r="CA404" s="34" t="s">
        <v>161</v>
      </c>
    </row>
    <row r="405" spans="1:79" x14ac:dyDescent="0.25">
      <c r="A405" s="34" t="s">
        <v>374</v>
      </c>
      <c r="B405" s="34" t="s">
        <v>287</v>
      </c>
      <c r="C405" s="34">
        <v>2020</v>
      </c>
      <c r="D405" s="34" t="s">
        <v>494</v>
      </c>
      <c r="E405" s="34">
        <v>2.0201214938057501E+17</v>
      </c>
      <c r="F405" s="34" t="s">
        <v>182</v>
      </c>
      <c r="G405" s="34" t="s">
        <v>1673</v>
      </c>
      <c r="H405" s="34">
        <v>1482832</v>
      </c>
      <c r="I405" s="34"/>
      <c r="J405" s="34" t="s">
        <v>180</v>
      </c>
      <c r="K405" s="34" t="s">
        <v>179</v>
      </c>
      <c r="L405" s="34" t="s">
        <v>1433</v>
      </c>
      <c r="M405" s="34"/>
      <c r="N405" s="34" t="s">
        <v>905</v>
      </c>
      <c r="O405" s="34" t="s">
        <v>297</v>
      </c>
      <c r="P405" s="34"/>
      <c r="Q405" s="34" t="s">
        <v>296</v>
      </c>
      <c r="R405" s="34" t="s">
        <v>906</v>
      </c>
      <c r="S405" s="34"/>
      <c r="T405" s="34" t="s">
        <v>907</v>
      </c>
      <c r="U405" s="34"/>
      <c r="V405" s="34" t="s">
        <v>949</v>
      </c>
      <c r="W405" s="34"/>
      <c r="X405" s="34" t="s">
        <v>909</v>
      </c>
      <c r="Y405" s="34" t="s">
        <v>47</v>
      </c>
      <c r="Z405" s="34">
        <v>2142</v>
      </c>
      <c r="AA405" s="34" t="s">
        <v>393</v>
      </c>
      <c r="AB405" s="34" t="s">
        <v>393</v>
      </c>
      <c r="AC405" s="34" t="s">
        <v>1433</v>
      </c>
      <c r="AD405" s="34" t="s">
        <v>383</v>
      </c>
      <c r="AE405" s="34" t="s">
        <v>382</v>
      </c>
      <c r="AF405" s="34" t="s">
        <v>377</v>
      </c>
      <c r="AG405" s="34"/>
      <c r="AH405" s="34"/>
      <c r="AI405" s="34">
        <v>44075</v>
      </c>
      <c r="AJ405" s="34">
        <v>100</v>
      </c>
      <c r="AK405" s="34">
        <v>1225</v>
      </c>
      <c r="AL405" s="34" t="s">
        <v>1474</v>
      </c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 t="s">
        <v>363</v>
      </c>
      <c r="BG405" s="34"/>
      <c r="BH405" s="34"/>
      <c r="BI405" s="34"/>
      <c r="BJ405" s="34"/>
      <c r="BK405" s="34" t="s">
        <v>50</v>
      </c>
      <c r="BL405" s="34" t="s">
        <v>167</v>
      </c>
      <c r="BM405" s="34" t="s">
        <v>166</v>
      </c>
      <c r="BN405" s="34">
        <v>44218.70489079861</v>
      </c>
      <c r="BO405" s="34"/>
      <c r="BP405" s="34"/>
      <c r="BQ405" s="34"/>
      <c r="BR405" s="34" t="s">
        <v>165</v>
      </c>
      <c r="BS405" s="34">
        <v>4.1216202019742802E+18</v>
      </c>
      <c r="BT405" s="34" t="s">
        <v>164</v>
      </c>
      <c r="BU405" s="34" t="s">
        <v>400</v>
      </c>
      <c r="BV405" s="34">
        <v>2020</v>
      </c>
      <c r="BW405" s="34" t="s">
        <v>163</v>
      </c>
      <c r="BX405" s="34"/>
      <c r="BY405" s="34">
        <v>4.0121202120966298E+18</v>
      </c>
      <c r="BZ405" s="34" t="s">
        <v>1674</v>
      </c>
      <c r="CA405" s="34" t="s">
        <v>161</v>
      </c>
    </row>
    <row r="406" spans="1:79" x14ac:dyDescent="0.25">
      <c r="A406" s="34" t="s">
        <v>374</v>
      </c>
      <c r="B406" s="34" t="s">
        <v>287</v>
      </c>
      <c r="C406" s="34">
        <v>2020</v>
      </c>
      <c r="D406" s="34" t="s">
        <v>494</v>
      </c>
      <c r="E406" s="34">
        <v>2.0201214938057501E+17</v>
      </c>
      <c r="F406" s="34" t="s">
        <v>182</v>
      </c>
      <c r="G406" s="34" t="s">
        <v>1675</v>
      </c>
      <c r="H406" s="34">
        <v>1482832</v>
      </c>
      <c r="I406" s="34"/>
      <c r="J406" s="34" t="s">
        <v>180</v>
      </c>
      <c r="K406" s="34" t="s">
        <v>179</v>
      </c>
      <c r="L406" s="34"/>
      <c r="M406" s="34"/>
      <c r="N406" s="34" t="s">
        <v>905</v>
      </c>
      <c r="O406" s="34" t="s">
        <v>297</v>
      </c>
      <c r="P406" s="34"/>
      <c r="Q406" s="34" t="s">
        <v>296</v>
      </c>
      <c r="R406" s="34" t="s">
        <v>906</v>
      </c>
      <c r="S406" s="34"/>
      <c r="T406" s="34" t="s">
        <v>907</v>
      </c>
      <c r="U406" s="34"/>
      <c r="V406" s="34" t="s">
        <v>949</v>
      </c>
      <c r="W406" s="34"/>
      <c r="X406" s="34" t="s">
        <v>909</v>
      </c>
      <c r="Y406" s="34" t="s">
        <v>47</v>
      </c>
      <c r="Z406" s="34">
        <v>2142</v>
      </c>
      <c r="AA406" s="34" t="s">
        <v>393</v>
      </c>
      <c r="AB406" s="34" t="s">
        <v>393</v>
      </c>
      <c r="AC406" s="34"/>
      <c r="AD406" s="34">
        <v>15</v>
      </c>
      <c r="AE406" s="34" t="s">
        <v>169</v>
      </c>
      <c r="AF406" s="34" t="s">
        <v>364</v>
      </c>
      <c r="AG406" s="34"/>
      <c r="AH406" s="34"/>
      <c r="AI406" s="34">
        <v>44075</v>
      </c>
      <c r="AJ406" s="34">
        <v>10</v>
      </c>
      <c r="AK406" s="34">
        <v>460.1</v>
      </c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 t="s">
        <v>363</v>
      </c>
      <c r="BG406" s="34"/>
      <c r="BH406" s="34"/>
      <c r="BI406" s="34"/>
      <c r="BJ406" s="34"/>
      <c r="BK406" s="34" t="s">
        <v>50</v>
      </c>
      <c r="BL406" s="34" t="s">
        <v>167</v>
      </c>
      <c r="BM406" s="34" t="s">
        <v>166</v>
      </c>
      <c r="BN406" s="34">
        <v>44218.705409479167</v>
      </c>
      <c r="BO406" s="34"/>
      <c r="BP406" s="34"/>
      <c r="BQ406" s="34"/>
      <c r="BR406" s="34" t="s">
        <v>165</v>
      </c>
      <c r="BS406" s="34">
        <v>4.1216202019742802E+18</v>
      </c>
      <c r="BT406" s="34" t="s">
        <v>164</v>
      </c>
      <c r="BU406" s="34" t="s">
        <v>362</v>
      </c>
      <c r="BV406" s="34">
        <v>2020</v>
      </c>
      <c r="BW406" s="34" t="s">
        <v>163</v>
      </c>
      <c r="BX406" s="34"/>
      <c r="BY406" s="34">
        <v>4.01212021209664E+18</v>
      </c>
      <c r="BZ406" s="34" t="s">
        <v>1674</v>
      </c>
      <c r="CA406" s="34" t="s">
        <v>161</v>
      </c>
    </row>
    <row r="407" spans="1:79" x14ac:dyDescent="0.25">
      <c r="A407" s="34" t="s">
        <v>1118</v>
      </c>
      <c r="B407" s="34" t="s">
        <v>1676</v>
      </c>
      <c r="C407" s="34">
        <v>2020</v>
      </c>
      <c r="D407" s="34" t="s">
        <v>644</v>
      </c>
      <c r="E407" s="34">
        <v>2.0210324944206598E+17</v>
      </c>
      <c r="F407" s="34" t="s">
        <v>182</v>
      </c>
      <c r="G407" s="34">
        <v>29238595</v>
      </c>
      <c r="H407" s="34">
        <v>1506164</v>
      </c>
      <c r="I407" s="34"/>
      <c r="J407" s="34" t="s">
        <v>180</v>
      </c>
      <c r="K407" s="34" t="s">
        <v>179</v>
      </c>
      <c r="L407" s="34"/>
      <c r="M407" s="34"/>
      <c r="N407" s="34" t="s">
        <v>905</v>
      </c>
      <c r="O407" s="34" t="s">
        <v>26</v>
      </c>
      <c r="P407" s="34"/>
      <c r="Q407" s="34" t="s">
        <v>296</v>
      </c>
      <c r="R407" s="34" t="s">
        <v>906</v>
      </c>
      <c r="S407" s="34"/>
      <c r="T407" s="34" t="s">
        <v>907</v>
      </c>
      <c r="U407" s="34"/>
      <c r="V407" s="34" t="s">
        <v>908</v>
      </c>
      <c r="W407" s="34"/>
      <c r="X407" s="34" t="s">
        <v>909</v>
      </c>
      <c r="Y407" s="34" t="s">
        <v>47</v>
      </c>
      <c r="Z407" s="34">
        <v>21421229</v>
      </c>
      <c r="AA407" s="34" t="s">
        <v>1028</v>
      </c>
      <c r="AB407" s="34" t="s">
        <v>393</v>
      </c>
      <c r="AC407" s="34"/>
      <c r="AD407" s="34" t="s">
        <v>345</v>
      </c>
      <c r="AE407" s="34" t="s">
        <v>344</v>
      </c>
      <c r="AF407" s="34"/>
      <c r="AG407" s="34"/>
      <c r="AH407" s="34"/>
      <c r="AI407" s="34">
        <v>43936</v>
      </c>
      <c r="AJ407" s="34">
        <v>100</v>
      </c>
      <c r="AK407" s="34">
        <v>300</v>
      </c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 t="s">
        <v>28</v>
      </c>
      <c r="BH407" s="34"/>
      <c r="BI407" s="34" t="s">
        <v>168</v>
      </c>
      <c r="BJ407" s="34"/>
      <c r="BK407" s="34" t="s">
        <v>50</v>
      </c>
      <c r="BL407" s="34" t="s">
        <v>167</v>
      </c>
      <c r="BM407" s="34" t="s">
        <v>166</v>
      </c>
      <c r="BN407" s="34">
        <v>44284.553159270836</v>
      </c>
      <c r="BO407" s="34"/>
      <c r="BP407" s="34"/>
      <c r="BQ407" s="34"/>
      <c r="BR407" s="34" t="s">
        <v>165</v>
      </c>
      <c r="BS407" s="34">
        <v>4.0325202112685701E+18</v>
      </c>
      <c r="BT407" s="34" t="s">
        <v>164</v>
      </c>
      <c r="BU407" s="34" t="s">
        <v>1677</v>
      </c>
      <c r="BV407" s="34">
        <v>2020</v>
      </c>
      <c r="BW407" s="34" t="s">
        <v>163</v>
      </c>
      <c r="BX407" s="34"/>
      <c r="BY407" s="34">
        <v>4.0329202112691799E+18</v>
      </c>
      <c r="BZ407" s="34" t="s">
        <v>1678</v>
      </c>
      <c r="CA407" s="34" t="s">
        <v>161</v>
      </c>
    </row>
    <row r="408" spans="1:79" x14ac:dyDescent="0.25">
      <c r="A408" s="34" t="s">
        <v>374</v>
      </c>
      <c r="B408" s="34" t="s">
        <v>287</v>
      </c>
      <c r="C408" s="34">
        <v>2020</v>
      </c>
      <c r="D408" s="34" t="s">
        <v>373</v>
      </c>
      <c r="E408" s="34">
        <v>2.0201211937029402E+17</v>
      </c>
      <c r="F408" s="34" t="s">
        <v>182</v>
      </c>
      <c r="G408" s="34" t="s">
        <v>1679</v>
      </c>
      <c r="H408" s="34">
        <v>1482644</v>
      </c>
      <c r="I408" s="34"/>
      <c r="J408" s="34" t="s">
        <v>180</v>
      </c>
      <c r="K408" s="34" t="s">
        <v>179</v>
      </c>
      <c r="L408" s="34" t="s">
        <v>1118</v>
      </c>
      <c r="M408" s="34"/>
      <c r="N408" s="34" t="s">
        <v>905</v>
      </c>
      <c r="O408" s="34" t="s">
        <v>297</v>
      </c>
      <c r="P408" s="34"/>
      <c r="Q408" s="34" t="s">
        <v>296</v>
      </c>
      <c r="R408" s="34" t="s">
        <v>906</v>
      </c>
      <c r="S408" s="34"/>
      <c r="T408" s="34" t="s">
        <v>907</v>
      </c>
      <c r="U408" s="34"/>
      <c r="V408" s="34" t="s">
        <v>949</v>
      </c>
      <c r="W408" s="34"/>
      <c r="X408" s="34" t="s">
        <v>909</v>
      </c>
      <c r="Y408" s="34" t="s">
        <v>47</v>
      </c>
      <c r="Z408" s="34">
        <v>2142</v>
      </c>
      <c r="AA408" s="34" t="s">
        <v>393</v>
      </c>
      <c r="AB408" s="34" t="s">
        <v>393</v>
      </c>
      <c r="AC408" s="34" t="s">
        <v>1118</v>
      </c>
      <c r="AD408" s="34" t="s">
        <v>383</v>
      </c>
      <c r="AE408" s="34" t="s">
        <v>382</v>
      </c>
      <c r="AF408" s="34" t="s">
        <v>377</v>
      </c>
      <c r="AG408" s="34"/>
      <c r="AH408" s="34"/>
      <c r="AI408" s="34">
        <v>44058</v>
      </c>
      <c r="AJ408" s="34">
        <v>100</v>
      </c>
      <c r="AK408" s="34">
        <v>800</v>
      </c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 t="s">
        <v>363</v>
      </c>
      <c r="BG408" s="34"/>
      <c r="BH408" s="34"/>
      <c r="BI408" s="34"/>
      <c r="BJ408" s="34"/>
      <c r="BK408" s="34" t="s">
        <v>50</v>
      </c>
      <c r="BL408" s="34" t="s">
        <v>167</v>
      </c>
      <c r="BM408" s="34" t="s">
        <v>166</v>
      </c>
      <c r="BN408" s="34">
        <v>44209.409548564814</v>
      </c>
      <c r="BO408" s="34"/>
      <c r="BP408" s="34"/>
      <c r="BQ408" s="34"/>
      <c r="BR408" s="34" t="s">
        <v>165</v>
      </c>
      <c r="BS408" s="34">
        <v>4.1215202019740099E+18</v>
      </c>
      <c r="BT408" s="34" t="s">
        <v>164</v>
      </c>
      <c r="BU408" s="34" t="s">
        <v>1119</v>
      </c>
      <c r="BV408" s="34">
        <v>2020</v>
      </c>
      <c r="BW408" s="34" t="s">
        <v>163</v>
      </c>
      <c r="BX408" s="34"/>
      <c r="BY408" s="34">
        <v>4.0112202120732001E+18</v>
      </c>
      <c r="BZ408" s="34" t="s">
        <v>1680</v>
      </c>
      <c r="CA408" s="34" t="s">
        <v>161</v>
      </c>
    </row>
    <row r="409" spans="1:79" x14ac:dyDescent="0.25">
      <c r="A409" s="34" t="s">
        <v>374</v>
      </c>
      <c r="B409" s="34" t="s">
        <v>287</v>
      </c>
      <c r="C409" s="34">
        <v>2020</v>
      </c>
      <c r="D409" s="34" t="s">
        <v>373</v>
      </c>
      <c r="E409" s="34">
        <v>2.0201211937029402E+17</v>
      </c>
      <c r="F409" s="34" t="s">
        <v>182</v>
      </c>
      <c r="G409" s="34" t="s">
        <v>1681</v>
      </c>
      <c r="H409" s="34">
        <v>1482644</v>
      </c>
      <c r="I409" s="34"/>
      <c r="J409" s="34" t="s">
        <v>180</v>
      </c>
      <c r="K409" s="34" t="s">
        <v>179</v>
      </c>
      <c r="L409" s="34"/>
      <c r="M409" s="34"/>
      <c r="N409" s="34" t="s">
        <v>905</v>
      </c>
      <c r="O409" s="34" t="s">
        <v>297</v>
      </c>
      <c r="P409" s="34"/>
      <c r="Q409" s="34" t="s">
        <v>296</v>
      </c>
      <c r="R409" s="34" t="s">
        <v>906</v>
      </c>
      <c r="S409" s="34"/>
      <c r="T409" s="34" t="s">
        <v>907</v>
      </c>
      <c r="U409" s="34"/>
      <c r="V409" s="34" t="s">
        <v>949</v>
      </c>
      <c r="W409" s="34"/>
      <c r="X409" s="34" t="s">
        <v>909</v>
      </c>
      <c r="Y409" s="34" t="s">
        <v>47</v>
      </c>
      <c r="Z409" s="34">
        <v>2142</v>
      </c>
      <c r="AA409" s="34" t="s">
        <v>393</v>
      </c>
      <c r="AB409" s="34" t="s">
        <v>393</v>
      </c>
      <c r="AC409" s="34"/>
      <c r="AD409" s="34">
        <v>15</v>
      </c>
      <c r="AE409" s="34" t="s">
        <v>169</v>
      </c>
      <c r="AF409" s="34" t="s">
        <v>364</v>
      </c>
      <c r="AG409" s="34"/>
      <c r="AH409" s="34"/>
      <c r="AI409" s="34">
        <v>44059</v>
      </c>
      <c r="AJ409" s="34">
        <v>10</v>
      </c>
      <c r="AK409" s="34">
        <v>450.1</v>
      </c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 t="s">
        <v>363</v>
      </c>
      <c r="BG409" s="34"/>
      <c r="BH409" s="34"/>
      <c r="BI409" s="34"/>
      <c r="BJ409" s="34"/>
      <c r="BK409" s="34" t="s">
        <v>50</v>
      </c>
      <c r="BL409" s="34" t="s">
        <v>167</v>
      </c>
      <c r="BM409" s="34" t="s">
        <v>166</v>
      </c>
      <c r="BN409" s="34">
        <v>44209.411040069448</v>
      </c>
      <c r="BO409" s="34"/>
      <c r="BP409" s="34"/>
      <c r="BQ409" s="34"/>
      <c r="BR409" s="34" t="s">
        <v>165</v>
      </c>
      <c r="BS409" s="34">
        <v>4.1215202019740099E+18</v>
      </c>
      <c r="BT409" s="34" t="s">
        <v>164</v>
      </c>
      <c r="BU409" s="34" t="s">
        <v>362</v>
      </c>
      <c r="BV409" s="34">
        <v>2020</v>
      </c>
      <c r="BW409" s="34" t="s">
        <v>163</v>
      </c>
      <c r="BX409" s="34"/>
      <c r="BY409" s="34">
        <v>4.0112202120735601E+18</v>
      </c>
      <c r="BZ409" s="34" t="s">
        <v>1682</v>
      </c>
      <c r="CA409" s="34" t="s">
        <v>161</v>
      </c>
    </row>
    <row r="410" spans="1:79" x14ac:dyDescent="0.25">
      <c r="A410" s="34" t="s">
        <v>374</v>
      </c>
      <c r="B410" s="34" t="s">
        <v>287</v>
      </c>
      <c r="C410" s="34">
        <v>2020</v>
      </c>
      <c r="D410" s="34" t="s">
        <v>373</v>
      </c>
      <c r="E410" s="34">
        <v>2.0201211937029402E+17</v>
      </c>
      <c r="F410" s="34" t="s">
        <v>182</v>
      </c>
      <c r="G410" s="34" t="s">
        <v>1683</v>
      </c>
      <c r="H410" s="34">
        <v>1482644</v>
      </c>
      <c r="I410" s="34"/>
      <c r="J410" s="34" t="s">
        <v>180</v>
      </c>
      <c r="K410" s="34" t="s">
        <v>179</v>
      </c>
      <c r="L410" s="34" t="s">
        <v>1433</v>
      </c>
      <c r="M410" s="34"/>
      <c r="N410" s="34" t="s">
        <v>905</v>
      </c>
      <c r="O410" s="34" t="s">
        <v>297</v>
      </c>
      <c r="P410" s="34"/>
      <c r="Q410" s="34" t="s">
        <v>296</v>
      </c>
      <c r="R410" s="34" t="s">
        <v>906</v>
      </c>
      <c r="S410" s="34"/>
      <c r="T410" s="34" t="s">
        <v>907</v>
      </c>
      <c r="U410" s="34"/>
      <c r="V410" s="34" t="s">
        <v>949</v>
      </c>
      <c r="W410" s="34"/>
      <c r="X410" s="34" t="s">
        <v>909</v>
      </c>
      <c r="Y410" s="34" t="s">
        <v>47</v>
      </c>
      <c r="Z410" s="34">
        <v>2142</v>
      </c>
      <c r="AA410" s="34" t="s">
        <v>393</v>
      </c>
      <c r="AB410" s="34" t="s">
        <v>393</v>
      </c>
      <c r="AC410" s="34" t="s">
        <v>1433</v>
      </c>
      <c r="AD410" s="34" t="s">
        <v>383</v>
      </c>
      <c r="AE410" s="34" t="s">
        <v>382</v>
      </c>
      <c r="AF410" s="34" t="s">
        <v>377</v>
      </c>
      <c r="AG410" s="34"/>
      <c r="AH410" s="34"/>
      <c r="AI410" s="34">
        <v>44059</v>
      </c>
      <c r="AJ410" s="34">
        <v>100</v>
      </c>
      <c r="AK410" s="34">
        <v>1125</v>
      </c>
      <c r="AL410" s="34" t="s">
        <v>1474</v>
      </c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 t="s">
        <v>363</v>
      </c>
      <c r="BG410" s="34"/>
      <c r="BH410" s="34"/>
      <c r="BI410" s="34"/>
      <c r="BJ410" s="34"/>
      <c r="BK410" s="34" t="s">
        <v>50</v>
      </c>
      <c r="BL410" s="34" t="s">
        <v>167</v>
      </c>
      <c r="BM410" s="34" t="s">
        <v>166</v>
      </c>
      <c r="BN410" s="34">
        <v>44209.411040069448</v>
      </c>
      <c r="BO410" s="34"/>
      <c r="BP410" s="34"/>
      <c r="BQ410" s="34"/>
      <c r="BR410" s="34" t="s">
        <v>165</v>
      </c>
      <c r="BS410" s="34">
        <v>4.1215202019740099E+18</v>
      </c>
      <c r="BT410" s="34" t="s">
        <v>164</v>
      </c>
      <c r="BU410" s="34" t="s">
        <v>400</v>
      </c>
      <c r="BV410" s="34">
        <v>2020</v>
      </c>
      <c r="BW410" s="34" t="s">
        <v>163</v>
      </c>
      <c r="BX410" s="34"/>
      <c r="BY410" s="34">
        <v>4.0112202120735601E+18</v>
      </c>
      <c r="BZ410" s="34" t="s">
        <v>1684</v>
      </c>
      <c r="CA410" s="34" t="s">
        <v>161</v>
      </c>
    </row>
    <row r="411" spans="1:79" x14ac:dyDescent="0.25">
      <c r="A411" s="34" t="s">
        <v>374</v>
      </c>
      <c r="B411" s="34" t="s">
        <v>287</v>
      </c>
      <c r="C411" s="34">
        <v>2020</v>
      </c>
      <c r="D411" s="34" t="s">
        <v>373</v>
      </c>
      <c r="E411" s="34">
        <v>2.0201211937029402E+17</v>
      </c>
      <c r="F411" s="34" t="s">
        <v>182</v>
      </c>
      <c r="G411" s="34" t="s">
        <v>1685</v>
      </c>
      <c r="H411" s="34">
        <v>1482644</v>
      </c>
      <c r="I411" s="34"/>
      <c r="J411" s="34" t="s">
        <v>180</v>
      </c>
      <c r="K411" s="34" t="s">
        <v>179</v>
      </c>
      <c r="L411" s="34" t="s">
        <v>1025</v>
      </c>
      <c r="M411" s="34"/>
      <c r="N411" s="34" t="s">
        <v>905</v>
      </c>
      <c r="O411" s="34" t="s">
        <v>297</v>
      </c>
      <c r="P411" s="34"/>
      <c r="Q411" s="34" t="s">
        <v>296</v>
      </c>
      <c r="R411" s="34" t="s">
        <v>906</v>
      </c>
      <c r="S411" s="34"/>
      <c r="T411" s="34" t="s">
        <v>907</v>
      </c>
      <c r="U411" s="34"/>
      <c r="V411" s="34" t="s">
        <v>949</v>
      </c>
      <c r="W411" s="34"/>
      <c r="X411" s="34" t="s">
        <v>909</v>
      </c>
      <c r="Y411" s="34" t="s">
        <v>47</v>
      </c>
      <c r="Z411" s="34">
        <v>2142</v>
      </c>
      <c r="AA411" s="34" t="s">
        <v>393</v>
      </c>
      <c r="AB411" s="34" t="s">
        <v>393</v>
      </c>
      <c r="AC411" s="34" t="s">
        <v>1025</v>
      </c>
      <c r="AD411" s="34" t="s">
        <v>383</v>
      </c>
      <c r="AE411" s="34" t="s">
        <v>382</v>
      </c>
      <c r="AF411" s="34" t="s">
        <v>377</v>
      </c>
      <c r="AG411" s="34"/>
      <c r="AH411" s="34"/>
      <c r="AI411" s="34">
        <v>44073</v>
      </c>
      <c r="AJ411" s="34">
        <v>68</v>
      </c>
      <c r="AK411" s="34">
        <v>748.5</v>
      </c>
      <c r="AL411" s="34" t="s">
        <v>1098</v>
      </c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 t="s">
        <v>363</v>
      </c>
      <c r="BG411" s="34"/>
      <c r="BH411" s="34"/>
      <c r="BI411" s="34"/>
      <c r="BJ411" s="34"/>
      <c r="BK411" s="34" t="s">
        <v>50</v>
      </c>
      <c r="BL411" s="34" t="s">
        <v>167</v>
      </c>
      <c r="BM411" s="34" t="s">
        <v>166</v>
      </c>
      <c r="BN411" s="34">
        <v>44209.41720841435</v>
      </c>
      <c r="BO411" s="34"/>
      <c r="BP411" s="34"/>
      <c r="BQ411" s="34"/>
      <c r="BR411" s="34" t="s">
        <v>165</v>
      </c>
      <c r="BS411" s="34">
        <v>4.1215202019740099E+18</v>
      </c>
      <c r="BT411" s="34" t="s">
        <v>164</v>
      </c>
      <c r="BU411" s="34" t="s">
        <v>1099</v>
      </c>
      <c r="BV411" s="34">
        <v>2020</v>
      </c>
      <c r="BW411" s="34" t="s">
        <v>163</v>
      </c>
      <c r="BX411" s="34"/>
      <c r="BY411" s="34">
        <v>4.0112202120800302E+18</v>
      </c>
      <c r="BZ411" s="34" t="s">
        <v>1686</v>
      </c>
      <c r="CA411" s="34" t="s">
        <v>161</v>
      </c>
    </row>
    <row r="412" spans="1:79" x14ac:dyDescent="0.25">
      <c r="A412" s="34" t="s">
        <v>374</v>
      </c>
      <c r="B412" s="34" t="s">
        <v>287</v>
      </c>
      <c r="C412" s="34">
        <v>2020</v>
      </c>
      <c r="D412" s="34" t="s">
        <v>373</v>
      </c>
      <c r="E412" s="34">
        <v>2.0201211937029402E+17</v>
      </c>
      <c r="F412" s="34" t="s">
        <v>182</v>
      </c>
      <c r="G412" s="34" t="s">
        <v>1687</v>
      </c>
      <c r="H412" s="34">
        <v>1482644</v>
      </c>
      <c r="I412" s="34"/>
      <c r="J412" s="34" t="s">
        <v>180</v>
      </c>
      <c r="K412" s="34" t="s">
        <v>179</v>
      </c>
      <c r="L412" s="34"/>
      <c r="M412" s="34"/>
      <c r="N412" s="34" t="s">
        <v>905</v>
      </c>
      <c r="O412" s="34" t="s">
        <v>297</v>
      </c>
      <c r="P412" s="34"/>
      <c r="Q412" s="34" t="s">
        <v>296</v>
      </c>
      <c r="R412" s="34" t="s">
        <v>906</v>
      </c>
      <c r="S412" s="34"/>
      <c r="T412" s="34" t="s">
        <v>907</v>
      </c>
      <c r="U412" s="34"/>
      <c r="V412" s="34" t="s">
        <v>949</v>
      </c>
      <c r="W412" s="34"/>
      <c r="X412" s="34" t="s">
        <v>909</v>
      </c>
      <c r="Y412" s="34" t="s">
        <v>47</v>
      </c>
      <c r="Z412" s="34">
        <v>2142</v>
      </c>
      <c r="AA412" s="34" t="s">
        <v>393</v>
      </c>
      <c r="AB412" s="34" t="s">
        <v>393</v>
      </c>
      <c r="AC412" s="34"/>
      <c r="AD412" s="34">
        <v>15</v>
      </c>
      <c r="AE412" s="34" t="s">
        <v>169</v>
      </c>
      <c r="AF412" s="34" t="s">
        <v>364</v>
      </c>
      <c r="AG412" s="34"/>
      <c r="AH412" s="34"/>
      <c r="AI412" s="34">
        <v>44073</v>
      </c>
      <c r="AJ412" s="34">
        <v>5</v>
      </c>
      <c r="AK412" s="34">
        <v>450.1</v>
      </c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 t="s">
        <v>363</v>
      </c>
      <c r="BG412" s="34"/>
      <c r="BH412" s="34"/>
      <c r="BI412" s="34"/>
      <c r="BJ412" s="34"/>
      <c r="BK412" s="34" t="s">
        <v>50</v>
      </c>
      <c r="BL412" s="34" t="s">
        <v>167</v>
      </c>
      <c r="BM412" s="34" t="s">
        <v>166</v>
      </c>
      <c r="BN412" s="34">
        <v>44209.418101493058</v>
      </c>
      <c r="BO412" s="34"/>
      <c r="BP412" s="34"/>
      <c r="BQ412" s="34"/>
      <c r="BR412" s="34" t="s">
        <v>165</v>
      </c>
      <c r="BS412" s="34">
        <v>4.1215202019740099E+18</v>
      </c>
      <c r="BT412" s="34" t="s">
        <v>164</v>
      </c>
      <c r="BU412" s="34" t="s">
        <v>362</v>
      </c>
      <c r="BV412" s="34">
        <v>2020</v>
      </c>
      <c r="BW412" s="34" t="s">
        <v>163</v>
      </c>
      <c r="BX412" s="34"/>
      <c r="BY412" s="34">
        <v>4.0112202120797501E+18</v>
      </c>
      <c r="BZ412" s="34" t="s">
        <v>1688</v>
      </c>
      <c r="CA412" s="34" t="s">
        <v>161</v>
      </c>
    </row>
    <row r="413" spans="1:79" x14ac:dyDescent="0.25">
      <c r="A413" s="34" t="s">
        <v>374</v>
      </c>
      <c r="B413" s="34" t="s">
        <v>287</v>
      </c>
      <c r="C413" s="34">
        <v>2020</v>
      </c>
      <c r="D413" s="34" t="s">
        <v>373</v>
      </c>
      <c r="E413" s="34">
        <v>2.0201211937029402E+17</v>
      </c>
      <c r="F413" s="34" t="s">
        <v>182</v>
      </c>
      <c r="G413" s="34" t="s">
        <v>1689</v>
      </c>
      <c r="H413" s="34">
        <v>1482644</v>
      </c>
      <c r="I413" s="34"/>
      <c r="J413" s="34" t="s">
        <v>180</v>
      </c>
      <c r="K413" s="34" t="s">
        <v>179</v>
      </c>
      <c r="L413" s="34"/>
      <c r="M413" s="34"/>
      <c r="N413" s="34" t="s">
        <v>905</v>
      </c>
      <c r="O413" s="34" t="s">
        <v>297</v>
      </c>
      <c r="P413" s="34"/>
      <c r="Q413" s="34" t="s">
        <v>296</v>
      </c>
      <c r="R413" s="34" t="s">
        <v>906</v>
      </c>
      <c r="S413" s="34"/>
      <c r="T413" s="34" t="s">
        <v>907</v>
      </c>
      <c r="U413" s="34"/>
      <c r="V413" s="34" t="s">
        <v>949</v>
      </c>
      <c r="W413" s="34"/>
      <c r="X413" s="34" t="s">
        <v>909</v>
      </c>
      <c r="Y413" s="34" t="s">
        <v>47</v>
      </c>
      <c r="Z413" s="34">
        <v>2142</v>
      </c>
      <c r="AA413" s="34" t="s">
        <v>393</v>
      </c>
      <c r="AB413" s="34" t="s">
        <v>393</v>
      </c>
      <c r="AC413" s="34"/>
      <c r="AD413" s="34"/>
      <c r="AE413" s="34"/>
      <c r="AF413" s="34" t="s">
        <v>377</v>
      </c>
      <c r="AG413" s="34"/>
      <c r="AH413" s="34"/>
      <c r="AI413" s="34">
        <v>44073</v>
      </c>
      <c r="AJ413" s="34">
        <v>50</v>
      </c>
      <c r="AK413" s="34">
        <v>100</v>
      </c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 t="s">
        <v>363</v>
      </c>
      <c r="BG413" s="34"/>
      <c r="BH413" s="34"/>
      <c r="BI413" s="34"/>
      <c r="BJ413" s="34"/>
      <c r="BK413" s="34" t="s">
        <v>50</v>
      </c>
      <c r="BL413" s="34" t="s">
        <v>167</v>
      </c>
      <c r="BM413" s="34" t="s">
        <v>166</v>
      </c>
      <c r="BN413" s="34">
        <v>44209.418209131945</v>
      </c>
      <c r="BO413" s="34"/>
      <c r="BP413" s="34"/>
      <c r="BQ413" s="34"/>
      <c r="BR413" s="34" t="s">
        <v>165</v>
      </c>
      <c r="BS413" s="34">
        <v>4.1215202019740099E+18</v>
      </c>
      <c r="BT413" s="34" t="s">
        <v>164</v>
      </c>
      <c r="BU413" s="34" t="s">
        <v>1514</v>
      </c>
      <c r="BV413" s="34">
        <v>2020</v>
      </c>
      <c r="BW413" s="34" t="s">
        <v>163</v>
      </c>
      <c r="BX413" s="34"/>
      <c r="BY413" s="34">
        <v>4.0112202120797501E+18</v>
      </c>
      <c r="BZ413" s="34" t="s">
        <v>1690</v>
      </c>
      <c r="CA413" s="34" t="s">
        <v>161</v>
      </c>
    </row>
    <row r="414" spans="1:79" x14ac:dyDescent="0.25">
      <c r="A414" s="34" t="s">
        <v>374</v>
      </c>
      <c r="B414" s="34" t="s">
        <v>287</v>
      </c>
      <c r="C414" s="34">
        <v>2020</v>
      </c>
      <c r="D414" s="34" t="s">
        <v>373</v>
      </c>
      <c r="E414" s="34">
        <v>2.0201211937029402E+17</v>
      </c>
      <c r="F414" s="34" t="s">
        <v>182</v>
      </c>
      <c r="G414" s="34" t="s">
        <v>1691</v>
      </c>
      <c r="H414" s="34">
        <v>1482644</v>
      </c>
      <c r="I414" s="34"/>
      <c r="J414" s="34" t="s">
        <v>180</v>
      </c>
      <c r="K414" s="34" t="s">
        <v>179</v>
      </c>
      <c r="L414" s="34"/>
      <c r="M414" s="34"/>
      <c r="N414" s="34" t="s">
        <v>905</v>
      </c>
      <c r="O414" s="34" t="s">
        <v>297</v>
      </c>
      <c r="P414" s="34"/>
      <c r="Q414" s="34" t="s">
        <v>296</v>
      </c>
      <c r="R414" s="34" t="s">
        <v>906</v>
      </c>
      <c r="S414" s="34"/>
      <c r="T414" s="34" t="s">
        <v>907</v>
      </c>
      <c r="U414" s="34"/>
      <c r="V414" s="34" t="s">
        <v>949</v>
      </c>
      <c r="W414" s="34"/>
      <c r="X414" s="34" t="s">
        <v>909</v>
      </c>
      <c r="Y414" s="34" t="s">
        <v>47</v>
      </c>
      <c r="Z414" s="34">
        <v>2142</v>
      </c>
      <c r="AA414" s="34" t="s">
        <v>393</v>
      </c>
      <c r="AB414" s="34" t="s">
        <v>393</v>
      </c>
      <c r="AC414" s="34"/>
      <c r="AD414" s="34"/>
      <c r="AE414" s="34"/>
      <c r="AF414" s="34" t="s">
        <v>377</v>
      </c>
      <c r="AG414" s="34"/>
      <c r="AH414" s="34"/>
      <c r="AI414" s="34">
        <v>44073</v>
      </c>
      <c r="AJ414" s="34">
        <v>50</v>
      </c>
      <c r="AK414" s="34">
        <v>150</v>
      </c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 t="s">
        <v>363</v>
      </c>
      <c r="BG414" s="34"/>
      <c r="BH414" s="34"/>
      <c r="BI414" s="34"/>
      <c r="BJ414" s="34"/>
      <c r="BK414" s="34" t="s">
        <v>50</v>
      </c>
      <c r="BL414" s="34" t="s">
        <v>167</v>
      </c>
      <c r="BM414" s="34" t="s">
        <v>166</v>
      </c>
      <c r="BN414" s="34">
        <v>44209.418160995374</v>
      </c>
      <c r="BO414" s="34"/>
      <c r="BP414" s="34"/>
      <c r="BQ414" s="34"/>
      <c r="BR414" s="34" t="s">
        <v>165</v>
      </c>
      <c r="BS414" s="34">
        <v>4.1215202019740099E+18</v>
      </c>
      <c r="BT414" s="34" t="s">
        <v>164</v>
      </c>
      <c r="BU414" s="34" t="s">
        <v>1692</v>
      </c>
      <c r="BV414" s="34">
        <v>2020</v>
      </c>
      <c r="BW414" s="34" t="s">
        <v>163</v>
      </c>
      <c r="BX414" s="34"/>
      <c r="BY414" s="34">
        <v>4.0112202120797501E+18</v>
      </c>
      <c r="BZ414" s="34" t="s">
        <v>1693</v>
      </c>
      <c r="CA414" s="34" t="s">
        <v>161</v>
      </c>
    </row>
    <row r="415" spans="1:79" x14ac:dyDescent="0.25">
      <c r="A415" s="34" t="s">
        <v>374</v>
      </c>
      <c r="B415" s="34" t="s">
        <v>287</v>
      </c>
      <c r="C415" s="34">
        <v>2020</v>
      </c>
      <c r="D415" s="34" t="s">
        <v>373</v>
      </c>
      <c r="E415" s="34">
        <v>2.0201211937029402E+17</v>
      </c>
      <c r="F415" s="34" t="s">
        <v>182</v>
      </c>
      <c r="G415" s="34" t="s">
        <v>1694</v>
      </c>
      <c r="H415" s="34">
        <v>1482644</v>
      </c>
      <c r="I415" s="34"/>
      <c r="J415" s="34" t="s">
        <v>180</v>
      </c>
      <c r="K415" s="34" t="s">
        <v>179</v>
      </c>
      <c r="L415" s="34" t="s">
        <v>1433</v>
      </c>
      <c r="M415" s="34"/>
      <c r="N415" s="34" t="s">
        <v>905</v>
      </c>
      <c r="O415" s="34" t="s">
        <v>297</v>
      </c>
      <c r="P415" s="34"/>
      <c r="Q415" s="34" t="s">
        <v>296</v>
      </c>
      <c r="R415" s="34" t="s">
        <v>906</v>
      </c>
      <c r="S415" s="34"/>
      <c r="T415" s="34" t="s">
        <v>907</v>
      </c>
      <c r="U415" s="34"/>
      <c r="V415" s="34" t="s">
        <v>949</v>
      </c>
      <c r="W415" s="34"/>
      <c r="X415" s="34" t="s">
        <v>909</v>
      </c>
      <c r="Y415" s="34" t="s">
        <v>47</v>
      </c>
      <c r="Z415" s="34">
        <v>2142</v>
      </c>
      <c r="AA415" s="34" t="s">
        <v>393</v>
      </c>
      <c r="AB415" s="34" t="s">
        <v>393</v>
      </c>
      <c r="AC415" s="34" t="s">
        <v>1433</v>
      </c>
      <c r="AD415" s="34" t="s">
        <v>383</v>
      </c>
      <c r="AE415" s="34" t="s">
        <v>382</v>
      </c>
      <c r="AF415" s="34" t="s">
        <v>377</v>
      </c>
      <c r="AG415" s="34"/>
      <c r="AH415" s="34"/>
      <c r="AI415" s="34">
        <v>44073</v>
      </c>
      <c r="AJ415" s="34">
        <v>25</v>
      </c>
      <c r="AK415" s="34">
        <v>1125</v>
      </c>
      <c r="AL415" s="34" t="s">
        <v>1474</v>
      </c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 t="s">
        <v>363</v>
      </c>
      <c r="BG415" s="34"/>
      <c r="BH415" s="34"/>
      <c r="BI415" s="34"/>
      <c r="BJ415" s="34"/>
      <c r="BK415" s="34" t="s">
        <v>50</v>
      </c>
      <c r="BL415" s="34" t="s">
        <v>167</v>
      </c>
      <c r="BM415" s="34" t="s">
        <v>166</v>
      </c>
      <c r="BN415" s="34">
        <v>44209.418209178242</v>
      </c>
      <c r="BO415" s="34"/>
      <c r="BP415" s="34"/>
      <c r="BQ415" s="34"/>
      <c r="BR415" s="34" t="s">
        <v>165</v>
      </c>
      <c r="BS415" s="34">
        <v>4.1215202019740099E+18</v>
      </c>
      <c r="BT415" s="34" t="s">
        <v>164</v>
      </c>
      <c r="BU415" s="34" t="s">
        <v>400</v>
      </c>
      <c r="BV415" s="34">
        <v>2020</v>
      </c>
      <c r="BW415" s="34" t="s">
        <v>163</v>
      </c>
      <c r="BX415" s="34"/>
      <c r="BY415" s="34">
        <v>4.0112202120797501E+18</v>
      </c>
      <c r="BZ415" s="34" t="s">
        <v>1686</v>
      </c>
      <c r="CA415" s="34" t="s">
        <v>161</v>
      </c>
    </row>
    <row r="416" spans="1:79" x14ac:dyDescent="0.25">
      <c r="A416" s="34" t="s">
        <v>374</v>
      </c>
      <c r="B416" s="34" t="s">
        <v>287</v>
      </c>
      <c r="C416" s="34">
        <v>2020</v>
      </c>
      <c r="D416" s="34" t="s">
        <v>373</v>
      </c>
      <c r="E416" s="34">
        <v>2.0201211937029402E+17</v>
      </c>
      <c r="F416" s="34" t="s">
        <v>182</v>
      </c>
      <c r="G416" s="34" t="s">
        <v>1695</v>
      </c>
      <c r="H416" s="34">
        <v>1482644</v>
      </c>
      <c r="I416" s="34"/>
      <c r="J416" s="34" t="s">
        <v>180</v>
      </c>
      <c r="K416" s="34" t="s">
        <v>179</v>
      </c>
      <c r="L416" s="34"/>
      <c r="M416" s="34"/>
      <c r="N416" s="34" t="s">
        <v>905</v>
      </c>
      <c r="O416" s="34" t="s">
        <v>297</v>
      </c>
      <c r="P416" s="34"/>
      <c r="Q416" s="34" t="s">
        <v>296</v>
      </c>
      <c r="R416" s="34" t="s">
        <v>906</v>
      </c>
      <c r="S416" s="34"/>
      <c r="T416" s="34" t="s">
        <v>907</v>
      </c>
      <c r="U416" s="34"/>
      <c r="V416" s="34" t="s">
        <v>949</v>
      </c>
      <c r="W416" s="34"/>
      <c r="X416" s="34" t="s">
        <v>909</v>
      </c>
      <c r="Y416" s="34" t="s">
        <v>47</v>
      </c>
      <c r="Z416" s="34">
        <v>2142</v>
      </c>
      <c r="AA416" s="34" t="s">
        <v>393</v>
      </c>
      <c r="AB416" s="34" t="s">
        <v>393</v>
      </c>
      <c r="AC416" s="34"/>
      <c r="AD416" s="34">
        <v>15</v>
      </c>
      <c r="AE416" s="34" t="s">
        <v>169</v>
      </c>
      <c r="AF416" s="34" t="s">
        <v>364</v>
      </c>
      <c r="AG416" s="34"/>
      <c r="AH416" s="34"/>
      <c r="AI416" s="34">
        <v>44073</v>
      </c>
      <c r="AJ416" s="34">
        <v>2.5</v>
      </c>
      <c r="AK416" s="34">
        <v>450.1</v>
      </c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 t="s">
        <v>363</v>
      </c>
      <c r="BG416" s="34"/>
      <c r="BH416" s="34"/>
      <c r="BI416" s="34"/>
      <c r="BJ416" s="34"/>
      <c r="BK416" s="34" t="s">
        <v>50</v>
      </c>
      <c r="BL416" s="34" t="s">
        <v>167</v>
      </c>
      <c r="BM416" s="34" t="s">
        <v>166</v>
      </c>
      <c r="BN416" s="34">
        <v>44209.418209212963</v>
      </c>
      <c r="BO416" s="34"/>
      <c r="BP416" s="34"/>
      <c r="BQ416" s="34"/>
      <c r="BR416" s="34" t="s">
        <v>165</v>
      </c>
      <c r="BS416" s="34">
        <v>4.1215202019740099E+18</v>
      </c>
      <c r="BT416" s="34" t="s">
        <v>164</v>
      </c>
      <c r="BU416" s="34" t="s">
        <v>362</v>
      </c>
      <c r="BV416" s="34">
        <v>2020</v>
      </c>
      <c r="BW416" s="34" t="s">
        <v>163</v>
      </c>
      <c r="BX416" s="34"/>
      <c r="BY416" s="34">
        <v>4.0112202120797501E+18</v>
      </c>
      <c r="BZ416" s="34" t="s">
        <v>1688</v>
      </c>
      <c r="CA416" s="34" t="s">
        <v>161</v>
      </c>
    </row>
    <row r="417" spans="1:79" x14ac:dyDescent="0.25">
      <c r="A417" s="34" t="s">
        <v>374</v>
      </c>
      <c r="B417" s="34" t="s">
        <v>287</v>
      </c>
      <c r="C417" s="34">
        <v>2020</v>
      </c>
      <c r="D417" s="34" t="s">
        <v>373</v>
      </c>
      <c r="E417" s="34">
        <v>2.0201211937029402E+17</v>
      </c>
      <c r="F417" s="34" t="s">
        <v>182</v>
      </c>
      <c r="G417" s="34" t="s">
        <v>1696</v>
      </c>
      <c r="H417" s="34">
        <v>1482644</v>
      </c>
      <c r="I417" s="34"/>
      <c r="J417" s="34" t="s">
        <v>180</v>
      </c>
      <c r="K417" s="34" t="s">
        <v>179</v>
      </c>
      <c r="L417" s="34"/>
      <c r="M417" s="34"/>
      <c r="N417" s="34" t="s">
        <v>905</v>
      </c>
      <c r="O417" s="34" t="s">
        <v>297</v>
      </c>
      <c r="P417" s="34"/>
      <c r="Q417" s="34" t="s">
        <v>296</v>
      </c>
      <c r="R417" s="34" t="s">
        <v>906</v>
      </c>
      <c r="S417" s="34"/>
      <c r="T417" s="34" t="s">
        <v>907</v>
      </c>
      <c r="U417" s="34"/>
      <c r="V417" s="34" t="s">
        <v>949</v>
      </c>
      <c r="W417" s="34"/>
      <c r="X417" s="34" t="s">
        <v>909</v>
      </c>
      <c r="Y417" s="34" t="s">
        <v>47</v>
      </c>
      <c r="Z417" s="34">
        <v>2142</v>
      </c>
      <c r="AA417" s="34" t="s">
        <v>393</v>
      </c>
      <c r="AB417" s="34" t="s">
        <v>393</v>
      </c>
      <c r="AC417" s="34"/>
      <c r="AD417" s="34">
        <v>15</v>
      </c>
      <c r="AE417" s="34" t="s">
        <v>169</v>
      </c>
      <c r="AF417" s="34" t="s">
        <v>364</v>
      </c>
      <c r="AG417" s="34"/>
      <c r="AH417" s="34"/>
      <c r="AI417" s="34">
        <v>44073</v>
      </c>
      <c r="AJ417" s="34">
        <v>5</v>
      </c>
      <c r="AK417" s="34">
        <v>450.1</v>
      </c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 t="s">
        <v>363</v>
      </c>
      <c r="BG417" s="34"/>
      <c r="BH417" s="34"/>
      <c r="BI417" s="34"/>
      <c r="BJ417" s="34"/>
      <c r="BK417" s="34" t="s">
        <v>50</v>
      </c>
      <c r="BL417" s="34" t="s">
        <v>167</v>
      </c>
      <c r="BM417" s="34" t="s">
        <v>166</v>
      </c>
      <c r="BN417" s="34">
        <v>44209.418209756943</v>
      </c>
      <c r="BO417" s="34"/>
      <c r="BP417" s="34"/>
      <c r="BQ417" s="34"/>
      <c r="BR417" s="34" t="s">
        <v>165</v>
      </c>
      <c r="BS417" s="34">
        <v>4.1215202019740099E+18</v>
      </c>
      <c r="BT417" s="34" t="s">
        <v>164</v>
      </c>
      <c r="BU417" s="34" t="s">
        <v>362</v>
      </c>
      <c r="BV417" s="34">
        <v>2020</v>
      </c>
      <c r="BW417" s="34" t="s">
        <v>163</v>
      </c>
      <c r="BX417" s="34"/>
      <c r="BY417" s="34">
        <v>4.0112202120797501E+18</v>
      </c>
      <c r="BZ417" s="34" t="s">
        <v>1697</v>
      </c>
      <c r="CA417" s="34" t="s">
        <v>161</v>
      </c>
    </row>
    <row r="418" spans="1:79" x14ac:dyDescent="0.25">
      <c r="A418" s="34" t="s">
        <v>374</v>
      </c>
      <c r="B418" s="34" t="s">
        <v>287</v>
      </c>
      <c r="C418" s="34">
        <v>2020</v>
      </c>
      <c r="D418" s="34" t="s">
        <v>373</v>
      </c>
      <c r="E418" s="34">
        <v>2.0201211937029402E+17</v>
      </c>
      <c r="F418" s="34" t="s">
        <v>182</v>
      </c>
      <c r="G418" s="34" t="s">
        <v>1698</v>
      </c>
      <c r="H418" s="34">
        <v>1482644</v>
      </c>
      <c r="I418" s="34"/>
      <c r="J418" s="34" t="s">
        <v>180</v>
      </c>
      <c r="K418" s="34" t="s">
        <v>179</v>
      </c>
      <c r="L418" s="34" t="s">
        <v>1433</v>
      </c>
      <c r="M418" s="34"/>
      <c r="N418" s="34" t="s">
        <v>905</v>
      </c>
      <c r="O418" s="34" t="s">
        <v>297</v>
      </c>
      <c r="P418" s="34"/>
      <c r="Q418" s="34" t="s">
        <v>296</v>
      </c>
      <c r="R418" s="34" t="s">
        <v>906</v>
      </c>
      <c r="S418" s="34"/>
      <c r="T418" s="34" t="s">
        <v>907</v>
      </c>
      <c r="U418" s="34"/>
      <c r="V418" s="34" t="s">
        <v>949</v>
      </c>
      <c r="W418" s="34"/>
      <c r="X418" s="34" t="s">
        <v>909</v>
      </c>
      <c r="Y418" s="34" t="s">
        <v>47</v>
      </c>
      <c r="Z418" s="34">
        <v>2142</v>
      </c>
      <c r="AA418" s="34" t="s">
        <v>393</v>
      </c>
      <c r="AB418" s="34" t="s">
        <v>393</v>
      </c>
      <c r="AC418" s="34" t="s">
        <v>1433</v>
      </c>
      <c r="AD418" s="34" t="s">
        <v>383</v>
      </c>
      <c r="AE418" s="34" t="s">
        <v>382</v>
      </c>
      <c r="AF418" s="34" t="s">
        <v>377</v>
      </c>
      <c r="AG418" s="34"/>
      <c r="AH418" s="34"/>
      <c r="AI418" s="34">
        <v>44056</v>
      </c>
      <c r="AJ418" s="34">
        <v>100</v>
      </c>
      <c r="AK418" s="34">
        <v>1125</v>
      </c>
      <c r="AL418" s="34" t="s">
        <v>1474</v>
      </c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 t="s">
        <v>363</v>
      </c>
      <c r="BG418" s="34"/>
      <c r="BH418" s="34"/>
      <c r="BI418" s="34"/>
      <c r="BJ418" s="34"/>
      <c r="BK418" s="34" t="s">
        <v>50</v>
      </c>
      <c r="BL418" s="34" t="s">
        <v>167</v>
      </c>
      <c r="BM418" s="34" t="s">
        <v>166</v>
      </c>
      <c r="BN418" s="34">
        <v>44209.427937939814</v>
      </c>
      <c r="BO418" s="34"/>
      <c r="BP418" s="34"/>
      <c r="BQ418" s="34"/>
      <c r="BR418" s="34" t="s">
        <v>165</v>
      </c>
      <c r="BS418" s="34">
        <v>4.1215202019740099E+18</v>
      </c>
      <c r="BT418" s="34" t="s">
        <v>164</v>
      </c>
      <c r="BU418" s="34" t="s">
        <v>400</v>
      </c>
      <c r="BV418" s="34">
        <v>2020</v>
      </c>
      <c r="BW418" s="34" t="s">
        <v>163</v>
      </c>
      <c r="BX418" s="34"/>
      <c r="BY418" s="34">
        <v>4.0112202120723599E+18</v>
      </c>
      <c r="BZ418" s="34" t="s">
        <v>1699</v>
      </c>
      <c r="CA418" s="34" t="s">
        <v>161</v>
      </c>
    </row>
    <row r="419" spans="1:79" x14ac:dyDescent="0.25">
      <c r="A419" s="34" t="s">
        <v>374</v>
      </c>
      <c r="B419" s="34" t="s">
        <v>287</v>
      </c>
      <c r="C419" s="34">
        <v>2020</v>
      </c>
      <c r="D419" s="34" t="s">
        <v>373</v>
      </c>
      <c r="E419" s="34">
        <v>2.0201211937029402E+17</v>
      </c>
      <c r="F419" s="34" t="s">
        <v>182</v>
      </c>
      <c r="G419" s="34" t="s">
        <v>1700</v>
      </c>
      <c r="H419" s="34">
        <v>1482644</v>
      </c>
      <c r="I419" s="34"/>
      <c r="J419" s="34" t="s">
        <v>180</v>
      </c>
      <c r="K419" s="34" t="s">
        <v>179</v>
      </c>
      <c r="L419" s="34"/>
      <c r="M419" s="34"/>
      <c r="N419" s="34" t="s">
        <v>905</v>
      </c>
      <c r="O419" s="34" t="s">
        <v>297</v>
      </c>
      <c r="P419" s="34"/>
      <c r="Q419" s="34" t="s">
        <v>296</v>
      </c>
      <c r="R419" s="34" t="s">
        <v>906</v>
      </c>
      <c r="S419" s="34"/>
      <c r="T419" s="34" t="s">
        <v>907</v>
      </c>
      <c r="U419" s="34"/>
      <c r="V419" s="34" t="s">
        <v>949</v>
      </c>
      <c r="W419" s="34"/>
      <c r="X419" s="34" t="s">
        <v>909</v>
      </c>
      <c r="Y419" s="34" t="s">
        <v>47</v>
      </c>
      <c r="Z419" s="34">
        <v>2142</v>
      </c>
      <c r="AA419" s="34" t="s">
        <v>393</v>
      </c>
      <c r="AB419" s="34" t="s">
        <v>393</v>
      </c>
      <c r="AC419" s="34"/>
      <c r="AD419" s="34">
        <v>15</v>
      </c>
      <c r="AE419" s="34" t="s">
        <v>169</v>
      </c>
      <c r="AF419" s="34" t="s">
        <v>364</v>
      </c>
      <c r="AG419" s="34"/>
      <c r="AH419" s="34"/>
      <c r="AI419" s="34">
        <v>44056</v>
      </c>
      <c r="AJ419" s="34">
        <v>10</v>
      </c>
      <c r="AK419" s="34">
        <v>450.1</v>
      </c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 t="s">
        <v>363</v>
      </c>
      <c r="BG419" s="34"/>
      <c r="BH419" s="34"/>
      <c r="BI419" s="34"/>
      <c r="BJ419" s="34"/>
      <c r="BK419" s="34" t="s">
        <v>50</v>
      </c>
      <c r="BL419" s="34" t="s">
        <v>167</v>
      </c>
      <c r="BM419" s="34" t="s">
        <v>166</v>
      </c>
      <c r="BN419" s="34">
        <v>44209.42802929398</v>
      </c>
      <c r="BO419" s="34"/>
      <c r="BP419" s="34"/>
      <c r="BQ419" s="34"/>
      <c r="BR419" s="34" t="s">
        <v>165</v>
      </c>
      <c r="BS419" s="34">
        <v>4.1215202019740099E+18</v>
      </c>
      <c r="BT419" s="34" t="s">
        <v>164</v>
      </c>
      <c r="BU419" s="34" t="s">
        <v>362</v>
      </c>
      <c r="BV419" s="34">
        <v>2020</v>
      </c>
      <c r="BW419" s="34" t="s">
        <v>163</v>
      </c>
      <c r="BX419" s="34"/>
      <c r="BY419" s="34">
        <v>4.0112202120723702E+18</v>
      </c>
      <c r="BZ419" s="34" t="s">
        <v>1701</v>
      </c>
      <c r="CA419" s="34" t="s">
        <v>161</v>
      </c>
    </row>
    <row r="420" spans="1:79" x14ac:dyDescent="0.25">
      <c r="A420" s="34" t="s">
        <v>374</v>
      </c>
      <c r="B420" s="34" t="s">
        <v>287</v>
      </c>
      <c r="C420" s="34">
        <v>2020</v>
      </c>
      <c r="D420" s="34" t="s">
        <v>373</v>
      </c>
      <c r="E420" s="34">
        <v>2.0201211937029402E+17</v>
      </c>
      <c r="F420" s="34" t="s">
        <v>182</v>
      </c>
      <c r="G420" s="34" t="s">
        <v>1702</v>
      </c>
      <c r="H420" s="34">
        <v>1482644</v>
      </c>
      <c r="I420" s="34"/>
      <c r="J420" s="34" t="s">
        <v>180</v>
      </c>
      <c r="K420" s="34" t="s">
        <v>179</v>
      </c>
      <c r="L420" s="34"/>
      <c r="M420" s="34"/>
      <c r="N420" s="34" t="s">
        <v>905</v>
      </c>
      <c r="O420" s="34" t="s">
        <v>297</v>
      </c>
      <c r="P420" s="34"/>
      <c r="Q420" s="34" t="s">
        <v>296</v>
      </c>
      <c r="R420" s="34" t="s">
        <v>906</v>
      </c>
      <c r="S420" s="34"/>
      <c r="T420" s="34" t="s">
        <v>907</v>
      </c>
      <c r="U420" s="34"/>
      <c r="V420" s="34" t="s">
        <v>949</v>
      </c>
      <c r="W420" s="34"/>
      <c r="X420" s="34" t="s">
        <v>909</v>
      </c>
      <c r="Y420" s="34" t="s">
        <v>47</v>
      </c>
      <c r="Z420" s="34">
        <v>2142</v>
      </c>
      <c r="AA420" s="34" t="s">
        <v>393</v>
      </c>
      <c r="AB420" s="34" t="s">
        <v>393</v>
      </c>
      <c r="AC420" s="34"/>
      <c r="AD420" s="34">
        <v>15</v>
      </c>
      <c r="AE420" s="34" t="s">
        <v>169</v>
      </c>
      <c r="AF420" s="34" t="s">
        <v>364</v>
      </c>
      <c r="AG420" s="34"/>
      <c r="AH420" s="34"/>
      <c r="AI420" s="34">
        <v>44071</v>
      </c>
      <c r="AJ420" s="34">
        <v>10</v>
      </c>
      <c r="AK420" s="34">
        <v>450.1</v>
      </c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 t="s">
        <v>363</v>
      </c>
      <c r="BG420" s="34"/>
      <c r="BH420" s="34"/>
      <c r="BI420" s="34"/>
      <c r="BJ420" s="34"/>
      <c r="BK420" s="34" t="s">
        <v>50</v>
      </c>
      <c r="BL420" s="34" t="s">
        <v>167</v>
      </c>
      <c r="BM420" s="34" t="s">
        <v>166</v>
      </c>
      <c r="BN420" s="34">
        <v>44209.433162337962</v>
      </c>
      <c r="BO420" s="34"/>
      <c r="BP420" s="34"/>
      <c r="BQ420" s="34"/>
      <c r="BR420" s="34" t="s">
        <v>165</v>
      </c>
      <c r="BS420" s="34">
        <v>4.1215202019740099E+18</v>
      </c>
      <c r="BT420" s="34" t="s">
        <v>164</v>
      </c>
      <c r="BU420" s="34" t="s">
        <v>362</v>
      </c>
      <c r="BV420" s="34">
        <v>2020</v>
      </c>
      <c r="BW420" s="34" t="s">
        <v>163</v>
      </c>
      <c r="BX420" s="34"/>
      <c r="BY420" s="34">
        <v>4.0112202120789898E+18</v>
      </c>
      <c r="BZ420" s="34" t="s">
        <v>1703</v>
      </c>
      <c r="CA420" s="34" t="s">
        <v>161</v>
      </c>
    </row>
    <row r="421" spans="1:79" x14ac:dyDescent="0.25">
      <c r="A421" s="34" t="s">
        <v>374</v>
      </c>
      <c r="B421" s="34" t="s">
        <v>287</v>
      </c>
      <c r="C421" s="34">
        <v>2020</v>
      </c>
      <c r="D421" s="34" t="s">
        <v>373</v>
      </c>
      <c r="E421" s="34">
        <v>2.0201211937029402E+17</v>
      </c>
      <c r="F421" s="34" t="s">
        <v>182</v>
      </c>
      <c r="G421" s="34" t="s">
        <v>1704</v>
      </c>
      <c r="H421" s="34">
        <v>1482644</v>
      </c>
      <c r="I421" s="34"/>
      <c r="J421" s="34" t="s">
        <v>180</v>
      </c>
      <c r="K421" s="34" t="s">
        <v>179</v>
      </c>
      <c r="L421" s="34" t="s">
        <v>1025</v>
      </c>
      <c r="M421" s="34"/>
      <c r="N421" s="34" t="s">
        <v>905</v>
      </c>
      <c r="O421" s="34" t="s">
        <v>297</v>
      </c>
      <c r="P421" s="34"/>
      <c r="Q421" s="34" t="s">
        <v>296</v>
      </c>
      <c r="R421" s="34" t="s">
        <v>906</v>
      </c>
      <c r="S421" s="34"/>
      <c r="T421" s="34" t="s">
        <v>907</v>
      </c>
      <c r="U421" s="34"/>
      <c r="V421" s="34" t="s">
        <v>949</v>
      </c>
      <c r="W421" s="34"/>
      <c r="X421" s="34" t="s">
        <v>909</v>
      </c>
      <c r="Y421" s="34" t="s">
        <v>47</v>
      </c>
      <c r="Z421" s="34">
        <v>2142</v>
      </c>
      <c r="AA421" s="34" t="s">
        <v>393</v>
      </c>
      <c r="AB421" s="34" t="s">
        <v>393</v>
      </c>
      <c r="AC421" s="34" t="s">
        <v>1025</v>
      </c>
      <c r="AD421" s="34" t="s">
        <v>383</v>
      </c>
      <c r="AE421" s="34" t="s">
        <v>382</v>
      </c>
      <c r="AF421" s="34" t="s">
        <v>377</v>
      </c>
      <c r="AG421" s="34"/>
      <c r="AH421" s="34"/>
      <c r="AI421" s="34">
        <v>44053</v>
      </c>
      <c r="AJ421" s="34">
        <v>100</v>
      </c>
      <c r="AK421" s="34">
        <v>748.5</v>
      </c>
      <c r="AL421" s="34" t="s">
        <v>1098</v>
      </c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 t="s">
        <v>363</v>
      </c>
      <c r="BG421" s="34"/>
      <c r="BH421" s="34"/>
      <c r="BI421" s="34"/>
      <c r="BJ421" s="34"/>
      <c r="BK421" s="34" t="s">
        <v>50</v>
      </c>
      <c r="BL421" s="34" t="s">
        <v>167</v>
      </c>
      <c r="BM421" s="34" t="s">
        <v>166</v>
      </c>
      <c r="BN421" s="34">
        <v>44209.44015923611</v>
      </c>
      <c r="BO421" s="34"/>
      <c r="BP421" s="34"/>
      <c r="BQ421" s="34"/>
      <c r="BR421" s="34" t="s">
        <v>165</v>
      </c>
      <c r="BS421" s="34">
        <v>4.1215202019740099E+18</v>
      </c>
      <c r="BT421" s="34" t="s">
        <v>164</v>
      </c>
      <c r="BU421" s="34" t="s">
        <v>1099</v>
      </c>
      <c r="BV421" s="34">
        <v>2020</v>
      </c>
      <c r="BW421" s="34" t="s">
        <v>163</v>
      </c>
      <c r="BX421" s="34"/>
      <c r="BY421" s="34">
        <v>4.0112202120707302E+18</v>
      </c>
      <c r="BZ421" s="34" t="s">
        <v>1705</v>
      </c>
      <c r="CA421" s="34" t="s">
        <v>161</v>
      </c>
    </row>
    <row r="422" spans="1:79" x14ac:dyDescent="0.25">
      <c r="A422" s="34" t="s">
        <v>374</v>
      </c>
      <c r="B422" s="34" t="s">
        <v>287</v>
      </c>
      <c r="C422" s="34">
        <v>2020</v>
      </c>
      <c r="D422" s="34" t="s">
        <v>373</v>
      </c>
      <c r="E422" s="34">
        <v>2.0201211937029402E+17</v>
      </c>
      <c r="F422" s="34" t="s">
        <v>182</v>
      </c>
      <c r="G422" s="34" t="s">
        <v>1706</v>
      </c>
      <c r="H422" s="34">
        <v>1482644</v>
      </c>
      <c r="I422" s="34"/>
      <c r="J422" s="34" t="s">
        <v>180</v>
      </c>
      <c r="K422" s="34" t="s">
        <v>179</v>
      </c>
      <c r="L422" s="34"/>
      <c r="M422" s="34"/>
      <c r="N422" s="34" t="s">
        <v>905</v>
      </c>
      <c r="O422" s="34" t="s">
        <v>297</v>
      </c>
      <c r="P422" s="34"/>
      <c r="Q422" s="34" t="s">
        <v>296</v>
      </c>
      <c r="R422" s="34" t="s">
        <v>906</v>
      </c>
      <c r="S422" s="34"/>
      <c r="T422" s="34" t="s">
        <v>907</v>
      </c>
      <c r="U422" s="34"/>
      <c r="V422" s="34" t="s">
        <v>949</v>
      </c>
      <c r="W422" s="34"/>
      <c r="X422" s="34" t="s">
        <v>909</v>
      </c>
      <c r="Y422" s="34" t="s">
        <v>47</v>
      </c>
      <c r="Z422" s="34">
        <v>2142</v>
      </c>
      <c r="AA422" s="34" t="s">
        <v>393</v>
      </c>
      <c r="AB422" s="34" t="s">
        <v>393</v>
      </c>
      <c r="AC422" s="34"/>
      <c r="AD422" s="34">
        <v>15</v>
      </c>
      <c r="AE422" s="34" t="s">
        <v>169</v>
      </c>
      <c r="AF422" s="34" t="s">
        <v>364</v>
      </c>
      <c r="AG422" s="34"/>
      <c r="AH422" s="34"/>
      <c r="AI422" s="34">
        <v>44053</v>
      </c>
      <c r="AJ422" s="34">
        <v>10</v>
      </c>
      <c r="AK422" s="34">
        <v>450.1</v>
      </c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 t="s">
        <v>363</v>
      </c>
      <c r="BG422" s="34"/>
      <c r="BH422" s="34"/>
      <c r="BI422" s="34"/>
      <c r="BJ422" s="34"/>
      <c r="BK422" s="34" t="s">
        <v>50</v>
      </c>
      <c r="BL422" s="34" t="s">
        <v>167</v>
      </c>
      <c r="BM422" s="34" t="s">
        <v>166</v>
      </c>
      <c r="BN422" s="34">
        <v>44209.440159282407</v>
      </c>
      <c r="BO422" s="34"/>
      <c r="BP422" s="34"/>
      <c r="BQ422" s="34"/>
      <c r="BR422" s="34" t="s">
        <v>165</v>
      </c>
      <c r="BS422" s="34">
        <v>4.1215202019740099E+18</v>
      </c>
      <c r="BT422" s="34" t="s">
        <v>164</v>
      </c>
      <c r="BU422" s="34" t="s">
        <v>362</v>
      </c>
      <c r="BV422" s="34">
        <v>2020</v>
      </c>
      <c r="BW422" s="34" t="s">
        <v>163</v>
      </c>
      <c r="BX422" s="34"/>
      <c r="BY422" s="34">
        <v>4.0112202120707302E+18</v>
      </c>
      <c r="BZ422" s="34" t="s">
        <v>1705</v>
      </c>
      <c r="CA422" s="34" t="s">
        <v>161</v>
      </c>
    </row>
    <row r="423" spans="1:79" x14ac:dyDescent="0.25">
      <c r="A423" s="34" t="s">
        <v>374</v>
      </c>
      <c r="B423" s="34" t="s">
        <v>287</v>
      </c>
      <c r="C423" s="34">
        <v>2020</v>
      </c>
      <c r="D423" s="34" t="s">
        <v>373</v>
      </c>
      <c r="E423" s="34">
        <v>2.0201211937029402E+17</v>
      </c>
      <c r="F423" s="34" t="s">
        <v>182</v>
      </c>
      <c r="G423" s="34" t="s">
        <v>1707</v>
      </c>
      <c r="H423" s="34">
        <v>1482644</v>
      </c>
      <c r="I423" s="34"/>
      <c r="J423" s="34" t="s">
        <v>180</v>
      </c>
      <c r="K423" s="34" t="s">
        <v>179</v>
      </c>
      <c r="L423" s="34"/>
      <c r="M423" s="34"/>
      <c r="N423" s="34" t="s">
        <v>905</v>
      </c>
      <c r="O423" s="34" t="s">
        <v>297</v>
      </c>
      <c r="P423" s="34"/>
      <c r="Q423" s="34" t="s">
        <v>296</v>
      </c>
      <c r="R423" s="34" t="s">
        <v>906</v>
      </c>
      <c r="S423" s="34"/>
      <c r="T423" s="34" t="s">
        <v>907</v>
      </c>
      <c r="U423" s="34"/>
      <c r="V423" s="34" t="s">
        <v>949</v>
      </c>
      <c r="W423" s="34"/>
      <c r="X423" s="34" t="s">
        <v>909</v>
      </c>
      <c r="Y423" s="34" t="s">
        <v>47</v>
      </c>
      <c r="Z423" s="34">
        <v>2142</v>
      </c>
      <c r="AA423" s="34" t="s">
        <v>393</v>
      </c>
      <c r="AB423" s="34" t="s">
        <v>393</v>
      </c>
      <c r="AC423" s="34"/>
      <c r="AD423" s="34">
        <v>15</v>
      </c>
      <c r="AE423" s="34" t="s">
        <v>169</v>
      </c>
      <c r="AF423" s="34" t="s">
        <v>364</v>
      </c>
      <c r="AG423" s="34"/>
      <c r="AH423" s="34"/>
      <c r="AI423" s="34">
        <v>44048</v>
      </c>
      <c r="AJ423" s="34">
        <v>2.5</v>
      </c>
      <c r="AK423" s="34">
        <v>450.1</v>
      </c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 t="s">
        <v>363</v>
      </c>
      <c r="BG423" s="34"/>
      <c r="BH423" s="34"/>
      <c r="BI423" s="34"/>
      <c r="BJ423" s="34"/>
      <c r="BK423" s="34" t="s">
        <v>50</v>
      </c>
      <c r="BL423" s="34" t="s">
        <v>167</v>
      </c>
      <c r="BM423" s="34" t="s">
        <v>166</v>
      </c>
      <c r="BN423" s="34">
        <v>44209.444584837962</v>
      </c>
      <c r="BO423" s="34"/>
      <c r="BP423" s="34"/>
      <c r="BQ423" s="34"/>
      <c r="BR423" s="34" t="s">
        <v>165</v>
      </c>
      <c r="BS423" s="34">
        <v>4.1215202019740099E+18</v>
      </c>
      <c r="BT423" s="34" t="s">
        <v>164</v>
      </c>
      <c r="BU423" s="34" t="s">
        <v>362</v>
      </c>
      <c r="BV423" s="34">
        <v>2020</v>
      </c>
      <c r="BW423" s="34" t="s">
        <v>163</v>
      </c>
      <c r="BX423" s="34"/>
      <c r="BY423" s="34">
        <v>4.01122021206927E+18</v>
      </c>
      <c r="BZ423" s="34" t="s">
        <v>1708</v>
      </c>
      <c r="CA423" s="34" t="s">
        <v>161</v>
      </c>
    </row>
    <row r="424" spans="1:79" x14ac:dyDescent="0.25">
      <c r="A424" s="34" t="s">
        <v>374</v>
      </c>
      <c r="B424" s="34" t="s">
        <v>287</v>
      </c>
      <c r="C424" s="34">
        <v>2020</v>
      </c>
      <c r="D424" s="34" t="s">
        <v>373</v>
      </c>
      <c r="E424" s="34">
        <v>2.0201211937029402E+17</v>
      </c>
      <c r="F424" s="34" t="s">
        <v>182</v>
      </c>
      <c r="G424" s="34" t="s">
        <v>1709</v>
      </c>
      <c r="H424" s="34">
        <v>1482644</v>
      </c>
      <c r="I424" s="34"/>
      <c r="J424" s="34" t="s">
        <v>180</v>
      </c>
      <c r="K424" s="34" t="s">
        <v>179</v>
      </c>
      <c r="L424" s="34" t="s">
        <v>1118</v>
      </c>
      <c r="M424" s="34"/>
      <c r="N424" s="34" t="s">
        <v>905</v>
      </c>
      <c r="O424" s="34" t="s">
        <v>297</v>
      </c>
      <c r="P424" s="34"/>
      <c r="Q424" s="34" t="s">
        <v>296</v>
      </c>
      <c r="R424" s="34" t="s">
        <v>906</v>
      </c>
      <c r="S424" s="34"/>
      <c r="T424" s="34" t="s">
        <v>907</v>
      </c>
      <c r="U424" s="34"/>
      <c r="V424" s="34" t="s">
        <v>949</v>
      </c>
      <c r="W424" s="34"/>
      <c r="X424" s="34" t="s">
        <v>909</v>
      </c>
      <c r="Y424" s="34" t="s">
        <v>47</v>
      </c>
      <c r="Z424" s="34">
        <v>2142</v>
      </c>
      <c r="AA424" s="34" t="s">
        <v>393</v>
      </c>
      <c r="AB424" s="34" t="s">
        <v>393</v>
      </c>
      <c r="AC424" s="34" t="s">
        <v>1118</v>
      </c>
      <c r="AD424" s="34" t="s">
        <v>383</v>
      </c>
      <c r="AE424" s="34" t="s">
        <v>382</v>
      </c>
      <c r="AF424" s="34" t="s">
        <v>377</v>
      </c>
      <c r="AG424" s="34"/>
      <c r="AH424" s="34"/>
      <c r="AI424" s="34">
        <v>44048</v>
      </c>
      <c r="AJ424" s="34">
        <v>25</v>
      </c>
      <c r="AK424" s="34">
        <v>800</v>
      </c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 t="s">
        <v>363</v>
      </c>
      <c r="BG424" s="34"/>
      <c r="BH424" s="34"/>
      <c r="BI424" s="34"/>
      <c r="BJ424" s="34"/>
      <c r="BK424" s="34" t="s">
        <v>50</v>
      </c>
      <c r="BL424" s="34" t="s">
        <v>167</v>
      </c>
      <c r="BM424" s="34" t="s">
        <v>166</v>
      </c>
      <c r="BN424" s="34">
        <v>44209.444584837962</v>
      </c>
      <c r="BO424" s="34"/>
      <c r="BP424" s="34"/>
      <c r="BQ424" s="34"/>
      <c r="BR424" s="34" t="s">
        <v>165</v>
      </c>
      <c r="BS424" s="34">
        <v>4.1215202019740099E+18</v>
      </c>
      <c r="BT424" s="34" t="s">
        <v>164</v>
      </c>
      <c r="BU424" s="34" t="s">
        <v>1119</v>
      </c>
      <c r="BV424" s="34">
        <v>2020</v>
      </c>
      <c r="BW424" s="34" t="s">
        <v>163</v>
      </c>
      <c r="BX424" s="34"/>
      <c r="BY424" s="34">
        <v>4.01122021206927E+18</v>
      </c>
      <c r="BZ424" s="34" t="s">
        <v>1710</v>
      </c>
      <c r="CA424" s="34" t="s">
        <v>161</v>
      </c>
    </row>
    <row r="425" spans="1:79" x14ac:dyDescent="0.25">
      <c r="A425" s="34" t="s">
        <v>374</v>
      </c>
      <c r="B425" s="34" t="s">
        <v>287</v>
      </c>
      <c r="C425" s="34">
        <v>2020</v>
      </c>
      <c r="D425" s="34" t="s">
        <v>373</v>
      </c>
      <c r="E425" s="34">
        <v>2.0201211937029402E+17</v>
      </c>
      <c r="F425" s="34" t="s">
        <v>182</v>
      </c>
      <c r="G425" s="34" t="s">
        <v>1711</v>
      </c>
      <c r="H425" s="34">
        <v>1482644</v>
      </c>
      <c r="I425" s="34"/>
      <c r="J425" s="34" t="s">
        <v>180</v>
      </c>
      <c r="K425" s="34" t="s">
        <v>179</v>
      </c>
      <c r="L425" s="34"/>
      <c r="M425" s="34"/>
      <c r="N425" s="34" t="s">
        <v>905</v>
      </c>
      <c r="O425" s="34" t="s">
        <v>297</v>
      </c>
      <c r="P425" s="34"/>
      <c r="Q425" s="34" t="s">
        <v>296</v>
      </c>
      <c r="R425" s="34" t="s">
        <v>906</v>
      </c>
      <c r="S425" s="34"/>
      <c r="T425" s="34" t="s">
        <v>907</v>
      </c>
      <c r="U425" s="34"/>
      <c r="V425" s="34" t="s">
        <v>949</v>
      </c>
      <c r="W425" s="34"/>
      <c r="X425" s="34" t="s">
        <v>909</v>
      </c>
      <c r="Y425" s="34" t="s">
        <v>47</v>
      </c>
      <c r="Z425" s="34">
        <v>2142</v>
      </c>
      <c r="AA425" s="34" t="s">
        <v>393</v>
      </c>
      <c r="AB425" s="34" t="s">
        <v>393</v>
      </c>
      <c r="AC425" s="34"/>
      <c r="AD425" s="34">
        <v>15</v>
      </c>
      <c r="AE425" s="34" t="s">
        <v>169</v>
      </c>
      <c r="AF425" s="34" t="s">
        <v>364</v>
      </c>
      <c r="AG425" s="34"/>
      <c r="AH425" s="34"/>
      <c r="AI425" s="34">
        <v>44071</v>
      </c>
      <c r="AJ425" s="34">
        <v>10</v>
      </c>
      <c r="AK425" s="34">
        <v>450.1</v>
      </c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 t="s">
        <v>363</v>
      </c>
      <c r="BG425" s="34"/>
      <c r="BH425" s="34"/>
      <c r="BI425" s="34"/>
      <c r="BJ425" s="34"/>
      <c r="BK425" s="34" t="s">
        <v>50</v>
      </c>
      <c r="BL425" s="34" t="s">
        <v>167</v>
      </c>
      <c r="BM425" s="34" t="s">
        <v>166</v>
      </c>
      <c r="BN425" s="34">
        <v>44209.44571133102</v>
      </c>
      <c r="BO425" s="34"/>
      <c r="BP425" s="34"/>
      <c r="BQ425" s="34"/>
      <c r="BR425" s="34" t="s">
        <v>165</v>
      </c>
      <c r="BS425" s="34">
        <v>4.1215202019740099E+18</v>
      </c>
      <c r="BT425" s="34" t="s">
        <v>164</v>
      </c>
      <c r="BU425" s="34" t="s">
        <v>362</v>
      </c>
      <c r="BV425" s="34">
        <v>2020</v>
      </c>
      <c r="BW425" s="34" t="s">
        <v>163</v>
      </c>
      <c r="BX425" s="34"/>
      <c r="BY425" s="34">
        <v>4.0112202120790098E+18</v>
      </c>
      <c r="BZ425" s="34" t="s">
        <v>1712</v>
      </c>
      <c r="CA425" s="34" t="s">
        <v>161</v>
      </c>
    </row>
    <row r="426" spans="1:79" x14ac:dyDescent="0.25">
      <c r="A426" s="34" t="s">
        <v>374</v>
      </c>
      <c r="B426" s="34" t="s">
        <v>287</v>
      </c>
      <c r="C426" s="34">
        <v>2020</v>
      </c>
      <c r="D426" s="34" t="s">
        <v>373</v>
      </c>
      <c r="E426" s="34">
        <v>2.0201211937029402E+17</v>
      </c>
      <c r="F426" s="34" t="s">
        <v>182</v>
      </c>
      <c r="G426" s="34" t="s">
        <v>1713</v>
      </c>
      <c r="H426" s="34">
        <v>1482644</v>
      </c>
      <c r="I426" s="34"/>
      <c r="J426" s="34" t="s">
        <v>180</v>
      </c>
      <c r="K426" s="34" t="s">
        <v>179</v>
      </c>
      <c r="L426" s="34"/>
      <c r="M426" s="34"/>
      <c r="N426" s="34" t="s">
        <v>905</v>
      </c>
      <c r="O426" s="34" t="s">
        <v>297</v>
      </c>
      <c r="P426" s="34"/>
      <c r="Q426" s="34" t="s">
        <v>296</v>
      </c>
      <c r="R426" s="34" t="s">
        <v>906</v>
      </c>
      <c r="S426" s="34"/>
      <c r="T426" s="34" t="s">
        <v>907</v>
      </c>
      <c r="U426" s="34"/>
      <c r="V426" s="34" t="s">
        <v>949</v>
      </c>
      <c r="W426" s="34"/>
      <c r="X426" s="34" t="s">
        <v>909</v>
      </c>
      <c r="Y426" s="34" t="s">
        <v>47</v>
      </c>
      <c r="Z426" s="34">
        <v>2142</v>
      </c>
      <c r="AA426" s="34" t="s">
        <v>393</v>
      </c>
      <c r="AB426" s="34" t="s">
        <v>393</v>
      </c>
      <c r="AC426" s="34"/>
      <c r="AD426" s="34"/>
      <c r="AE426" s="34"/>
      <c r="AF426" s="34" t="s">
        <v>377</v>
      </c>
      <c r="AG426" s="34"/>
      <c r="AH426" s="34"/>
      <c r="AI426" s="34">
        <v>44071</v>
      </c>
      <c r="AJ426" s="34">
        <v>100</v>
      </c>
      <c r="AK426" s="34">
        <v>150</v>
      </c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 t="s">
        <v>363</v>
      </c>
      <c r="BG426" s="34"/>
      <c r="BH426" s="34"/>
      <c r="BI426" s="34"/>
      <c r="BJ426" s="34"/>
      <c r="BK426" s="34" t="s">
        <v>50</v>
      </c>
      <c r="BL426" s="34" t="s">
        <v>167</v>
      </c>
      <c r="BM426" s="34" t="s">
        <v>166</v>
      </c>
      <c r="BN426" s="34">
        <v>44209.44565991898</v>
      </c>
      <c r="BO426" s="34"/>
      <c r="BP426" s="34"/>
      <c r="BQ426" s="34"/>
      <c r="BR426" s="34" t="s">
        <v>165</v>
      </c>
      <c r="BS426" s="34">
        <v>4.1215202019740099E+18</v>
      </c>
      <c r="BT426" s="34" t="s">
        <v>164</v>
      </c>
      <c r="BU426" s="34" t="s">
        <v>1692</v>
      </c>
      <c r="BV426" s="34">
        <v>2020</v>
      </c>
      <c r="BW426" s="34" t="s">
        <v>163</v>
      </c>
      <c r="BX426" s="34"/>
      <c r="BY426" s="34">
        <v>4.0112202120790098E+18</v>
      </c>
      <c r="BZ426" s="34" t="s">
        <v>1712</v>
      </c>
      <c r="CA426" s="34" t="s">
        <v>161</v>
      </c>
    </row>
    <row r="427" spans="1:79" x14ac:dyDescent="0.25">
      <c r="A427" s="34" t="s">
        <v>374</v>
      </c>
      <c r="B427" s="34" t="s">
        <v>287</v>
      </c>
      <c r="C427" s="34">
        <v>2020</v>
      </c>
      <c r="D427" s="34" t="s">
        <v>373</v>
      </c>
      <c r="E427" s="34">
        <v>2.0201211937029402E+17</v>
      </c>
      <c r="F427" s="34" t="s">
        <v>182</v>
      </c>
      <c r="G427" s="34" t="s">
        <v>1714</v>
      </c>
      <c r="H427" s="34">
        <v>1482644</v>
      </c>
      <c r="I427" s="34"/>
      <c r="J427" s="34" t="s">
        <v>180</v>
      </c>
      <c r="K427" s="34" t="s">
        <v>179</v>
      </c>
      <c r="L427" s="34"/>
      <c r="M427" s="34"/>
      <c r="N427" s="34" t="s">
        <v>905</v>
      </c>
      <c r="O427" s="34" t="s">
        <v>297</v>
      </c>
      <c r="P427" s="34"/>
      <c r="Q427" s="34" t="s">
        <v>296</v>
      </c>
      <c r="R427" s="34" t="s">
        <v>906</v>
      </c>
      <c r="S427" s="34"/>
      <c r="T427" s="34" t="s">
        <v>907</v>
      </c>
      <c r="U427" s="34"/>
      <c r="V427" s="34" t="s">
        <v>949</v>
      </c>
      <c r="W427" s="34"/>
      <c r="X427" s="34" t="s">
        <v>909</v>
      </c>
      <c r="Y427" s="34" t="s">
        <v>47</v>
      </c>
      <c r="Z427" s="34">
        <v>2142</v>
      </c>
      <c r="AA427" s="34" t="s">
        <v>393</v>
      </c>
      <c r="AB427" s="34" t="s">
        <v>393</v>
      </c>
      <c r="AC427" s="34"/>
      <c r="AD427" s="34"/>
      <c r="AE427" s="34"/>
      <c r="AF427" s="34" t="s">
        <v>377</v>
      </c>
      <c r="AG427" s="34"/>
      <c r="AH427" s="34"/>
      <c r="AI427" s="34">
        <v>44054</v>
      </c>
      <c r="AJ427" s="34">
        <v>100</v>
      </c>
      <c r="AK427" s="34">
        <v>100</v>
      </c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 t="s">
        <v>363</v>
      </c>
      <c r="BG427" s="34"/>
      <c r="BH427" s="34"/>
      <c r="BI427" s="34"/>
      <c r="BJ427" s="34"/>
      <c r="BK427" s="34" t="s">
        <v>50</v>
      </c>
      <c r="BL427" s="34" t="s">
        <v>167</v>
      </c>
      <c r="BM427" s="34" t="s">
        <v>166</v>
      </c>
      <c r="BN427" s="34">
        <v>44209.445724618054</v>
      </c>
      <c r="BO427" s="34"/>
      <c r="BP427" s="34"/>
      <c r="BQ427" s="34"/>
      <c r="BR427" s="34" t="s">
        <v>165</v>
      </c>
      <c r="BS427" s="34">
        <v>4.1215202019740099E+18</v>
      </c>
      <c r="BT427" s="34" t="s">
        <v>164</v>
      </c>
      <c r="BU427" s="34" t="s">
        <v>1715</v>
      </c>
      <c r="BV427" s="34">
        <v>2020</v>
      </c>
      <c r="BW427" s="34" t="s">
        <v>163</v>
      </c>
      <c r="BX427" s="34"/>
      <c r="BY427" s="34">
        <v>4.0112202120714102E+18</v>
      </c>
      <c r="BZ427" s="34" t="s">
        <v>1716</v>
      </c>
      <c r="CA427" s="34" t="s">
        <v>161</v>
      </c>
    </row>
    <row r="428" spans="1:79" x14ac:dyDescent="0.25">
      <c r="A428" s="34" t="s">
        <v>374</v>
      </c>
      <c r="B428" s="34" t="s">
        <v>287</v>
      </c>
      <c r="C428" s="34">
        <v>2020</v>
      </c>
      <c r="D428" s="34" t="s">
        <v>373</v>
      </c>
      <c r="E428" s="34">
        <v>2.0201211937029402E+17</v>
      </c>
      <c r="F428" s="34" t="s">
        <v>182</v>
      </c>
      <c r="G428" s="34" t="s">
        <v>1717</v>
      </c>
      <c r="H428" s="34">
        <v>1482644</v>
      </c>
      <c r="I428" s="34"/>
      <c r="J428" s="34" t="s">
        <v>180</v>
      </c>
      <c r="K428" s="34" t="s">
        <v>179</v>
      </c>
      <c r="L428" s="34"/>
      <c r="M428" s="34"/>
      <c r="N428" s="34" t="s">
        <v>905</v>
      </c>
      <c r="O428" s="34" t="s">
        <v>297</v>
      </c>
      <c r="P428" s="34"/>
      <c r="Q428" s="34" t="s">
        <v>296</v>
      </c>
      <c r="R428" s="34" t="s">
        <v>906</v>
      </c>
      <c r="S428" s="34"/>
      <c r="T428" s="34" t="s">
        <v>907</v>
      </c>
      <c r="U428" s="34"/>
      <c r="V428" s="34" t="s">
        <v>949</v>
      </c>
      <c r="W428" s="34"/>
      <c r="X428" s="34" t="s">
        <v>909</v>
      </c>
      <c r="Y428" s="34" t="s">
        <v>47</v>
      </c>
      <c r="Z428" s="34">
        <v>2142</v>
      </c>
      <c r="AA428" s="34" t="s">
        <v>393</v>
      </c>
      <c r="AB428" s="34" t="s">
        <v>393</v>
      </c>
      <c r="AC428" s="34"/>
      <c r="AD428" s="34">
        <v>15</v>
      </c>
      <c r="AE428" s="34" t="s">
        <v>169</v>
      </c>
      <c r="AF428" s="34" t="s">
        <v>364</v>
      </c>
      <c r="AG428" s="34"/>
      <c r="AH428" s="34"/>
      <c r="AI428" s="34">
        <v>44054</v>
      </c>
      <c r="AJ428" s="34">
        <v>10</v>
      </c>
      <c r="AK428" s="34">
        <v>450.1</v>
      </c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 t="s">
        <v>363</v>
      </c>
      <c r="BG428" s="34"/>
      <c r="BH428" s="34"/>
      <c r="BI428" s="34"/>
      <c r="BJ428" s="34"/>
      <c r="BK428" s="34" t="s">
        <v>50</v>
      </c>
      <c r="BL428" s="34" t="s">
        <v>167</v>
      </c>
      <c r="BM428" s="34" t="s">
        <v>166</v>
      </c>
      <c r="BN428" s="34">
        <v>44209.445751874999</v>
      </c>
      <c r="BO428" s="34"/>
      <c r="BP428" s="34"/>
      <c r="BQ428" s="34"/>
      <c r="BR428" s="34" t="s">
        <v>165</v>
      </c>
      <c r="BS428" s="34">
        <v>4.1215202019740099E+18</v>
      </c>
      <c r="BT428" s="34" t="s">
        <v>164</v>
      </c>
      <c r="BU428" s="34" t="s">
        <v>362</v>
      </c>
      <c r="BV428" s="34">
        <v>2020</v>
      </c>
      <c r="BW428" s="34" t="s">
        <v>163</v>
      </c>
      <c r="BX428" s="34"/>
      <c r="BY428" s="34">
        <v>4.0112202120714102E+18</v>
      </c>
      <c r="BZ428" s="34" t="s">
        <v>1718</v>
      </c>
      <c r="CA428" s="34" t="s">
        <v>161</v>
      </c>
    </row>
    <row r="429" spans="1:79" x14ac:dyDescent="0.25">
      <c r="A429" s="34" t="s">
        <v>374</v>
      </c>
      <c r="B429" s="34" t="s">
        <v>287</v>
      </c>
      <c r="C429" s="34">
        <v>2020</v>
      </c>
      <c r="D429" s="34" t="s">
        <v>373</v>
      </c>
      <c r="E429" s="34">
        <v>2.0201211937029402E+17</v>
      </c>
      <c r="F429" s="34" t="s">
        <v>182</v>
      </c>
      <c r="G429" s="34" t="s">
        <v>1719</v>
      </c>
      <c r="H429" s="34">
        <v>1482644</v>
      </c>
      <c r="I429" s="34"/>
      <c r="J429" s="34" t="s">
        <v>180</v>
      </c>
      <c r="K429" s="34" t="s">
        <v>179</v>
      </c>
      <c r="L429" s="34" t="s">
        <v>1433</v>
      </c>
      <c r="M429" s="34"/>
      <c r="N429" s="34" t="s">
        <v>905</v>
      </c>
      <c r="O429" s="34" t="s">
        <v>297</v>
      </c>
      <c r="P429" s="34"/>
      <c r="Q429" s="34" t="s">
        <v>296</v>
      </c>
      <c r="R429" s="34" t="s">
        <v>906</v>
      </c>
      <c r="S429" s="34"/>
      <c r="T429" s="34" t="s">
        <v>907</v>
      </c>
      <c r="U429" s="34"/>
      <c r="V429" s="34" t="s">
        <v>949</v>
      </c>
      <c r="W429" s="34"/>
      <c r="X429" s="34" t="s">
        <v>909</v>
      </c>
      <c r="Y429" s="34" t="s">
        <v>47</v>
      </c>
      <c r="Z429" s="34">
        <v>2142</v>
      </c>
      <c r="AA429" s="34" t="s">
        <v>393</v>
      </c>
      <c r="AB429" s="34" t="s">
        <v>393</v>
      </c>
      <c r="AC429" s="34" t="s">
        <v>1433</v>
      </c>
      <c r="AD429" s="34" t="s">
        <v>383</v>
      </c>
      <c r="AE429" s="34" t="s">
        <v>382</v>
      </c>
      <c r="AF429" s="34" t="s">
        <v>377</v>
      </c>
      <c r="AG429" s="34"/>
      <c r="AH429" s="34"/>
      <c r="AI429" s="34">
        <v>44071</v>
      </c>
      <c r="AJ429" s="34">
        <v>100</v>
      </c>
      <c r="AK429" s="34">
        <v>1125</v>
      </c>
      <c r="AL429" s="34" t="s">
        <v>1474</v>
      </c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 t="s">
        <v>363</v>
      </c>
      <c r="BG429" s="34"/>
      <c r="BH429" s="34"/>
      <c r="BI429" s="34"/>
      <c r="BJ429" s="34"/>
      <c r="BK429" s="34" t="s">
        <v>50</v>
      </c>
      <c r="BL429" s="34" t="s">
        <v>167</v>
      </c>
      <c r="BM429" s="34" t="s">
        <v>166</v>
      </c>
      <c r="BN429" s="34">
        <v>44209.445738923612</v>
      </c>
      <c r="BO429" s="34"/>
      <c r="BP429" s="34"/>
      <c r="BQ429" s="34"/>
      <c r="BR429" s="34" t="s">
        <v>165</v>
      </c>
      <c r="BS429" s="34">
        <v>4.1215202019740099E+18</v>
      </c>
      <c r="BT429" s="34" t="s">
        <v>164</v>
      </c>
      <c r="BU429" s="34" t="s">
        <v>400</v>
      </c>
      <c r="BV429" s="34">
        <v>2020</v>
      </c>
      <c r="BW429" s="34" t="s">
        <v>163</v>
      </c>
      <c r="BX429" s="34"/>
      <c r="BY429" s="34">
        <v>4.0112202120790098E+18</v>
      </c>
      <c r="BZ429" s="34" t="s">
        <v>1712</v>
      </c>
      <c r="CA429" s="34" t="s">
        <v>161</v>
      </c>
    </row>
    <row r="430" spans="1:79" x14ac:dyDescent="0.25">
      <c r="A430" s="34" t="s">
        <v>374</v>
      </c>
      <c r="B430" s="34" t="s">
        <v>287</v>
      </c>
      <c r="C430" s="34">
        <v>2020</v>
      </c>
      <c r="D430" s="34" t="s">
        <v>373</v>
      </c>
      <c r="E430" s="34">
        <v>2.0201211937029402E+17</v>
      </c>
      <c r="F430" s="34" t="s">
        <v>182</v>
      </c>
      <c r="G430" s="34" t="s">
        <v>1720</v>
      </c>
      <c r="H430" s="34">
        <v>1482644</v>
      </c>
      <c r="I430" s="34"/>
      <c r="J430" s="34" t="s">
        <v>180</v>
      </c>
      <c r="K430" s="34" t="s">
        <v>179</v>
      </c>
      <c r="L430" s="34"/>
      <c r="M430" s="34"/>
      <c r="N430" s="34" t="s">
        <v>905</v>
      </c>
      <c r="O430" s="34" t="s">
        <v>297</v>
      </c>
      <c r="P430" s="34"/>
      <c r="Q430" s="34" t="s">
        <v>296</v>
      </c>
      <c r="R430" s="34" t="s">
        <v>906</v>
      </c>
      <c r="S430" s="34"/>
      <c r="T430" s="34" t="s">
        <v>907</v>
      </c>
      <c r="U430" s="34"/>
      <c r="V430" s="34" t="s">
        <v>949</v>
      </c>
      <c r="W430" s="34"/>
      <c r="X430" s="34" t="s">
        <v>909</v>
      </c>
      <c r="Y430" s="34" t="s">
        <v>47</v>
      </c>
      <c r="Z430" s="34">
        <v>2142</v>
      </c>
      <c r="AA430" s="34" t="s">
        <v>393</v>
      </c>
      <c r="AB430" s="34" t="s">
        <v>393</v>
      </c>
      <c r="AC430" s="34"/>
      <c r="AD430" s="34"/>
      <c r="AE430" s="34"/>
      <c r="AF430" s="34" t="s">
        <v>377</v>
      </c>
      <c r="AG430" s="34"/>
      <c r="AH430" s="34"/>
      <c r="AI430" s="34">
        <v>44071</v>
      </c>
      <c r="AJ430" s="34">
        <v>25</v>
      </c>
      <c r="AK430" s="34">
        <v>175</v>
      </c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 t="s">
        <v>363</v>
      </c>
      <c r="BG430" s="34"/>
      <c r="BH430" s="34"/>
      <c r="BI430" s="34"/>
      <c r="BJ430" s="34"/>
      <c r="BK430" s="34" t="s">
        <v>50</v>
      </c>
      <c r="BL430" s="34" t="s">
        <v>167</v>
      </c>
      <c r="BM430" s="34" t="s">
        <v>166</v>
      </c>
      <c r="BN430" s="34">
        <v>44209.446915162036</v>
      </c>
      <c r="BO430" s="34"/>
      <c r="BP430" s="34"/>
      <c r="BQ430" s="34"/>
      <c r="BR430" s="34" t="s">
        <v>165</v>
      </c>
      <c r="BS430" s="34">
        <v>4.1215202019740099E+18</v>
      </c>
      <c r="BT430" s="34" t="s">
        <v>164</v>
      </c>
      <c r="BU430" s="34" t="s">
        <v>1364</v>
      </c>
      <c r="BV430" s="34">
        <v>2020</v>
      </c>
      <c r="BW430" s="34" t="s">
        <v>163</v>
      </c>
      <c r="BX430" s="34"/>
      <c r="BY430" s="34">
        <v>4.0112202120790799E+18</v>
      </c>
      <c r="BZ430" s="34" t="s">
        <v>1703</v>
      </c>
      <c r="CA430" s="34" t="s">
        <v>161</v>
      </c>
    </row>
    <row r="431" spans="1:79" x14ac:dyDescent="0.25">
      <c r="A431" s="34" t="s">
        <v>374</v>
      </c>
      <c r="B431" s="34" t="s">
        <v>287</v>
      </c>
      <c r="C431" s="34">
        <v>2020</v>
      </c>
      <c r="D431" s="34" t="s">
        <v>373</v>
      </c>
      <c r="E431" s="34">
        <v>2.0201211937029402E+17</v>
      </c>
      <c r="F431" s="34" t="s">
        <v>182</v>
      </c>
      <c r="G431" s="34" t="s">
        <v>1721</v>
      </c>
      <c r="H431" s="34">
        <v>1482644</v>
      </c>
      <c r="I431" s="34"/>
      <c r="J431" s="34" t="s">
        <v>180</v>
      </c>
      <c r="K431" s="34" t="s">
        <v>179</v>
      </c>
      <c r="L431" s="34"/>
      <c r="M431" s="34"/>
      <c r="N431" s="34" t="s">
        <v>905</v>
      </c>
      <c r="O431" s="34" t="s">
        <v>297</v>
      </c>
      <c r="P431" s="34"/>
      <c r="Q431" s="34" t="s">
        <v>296</v>
      </c>
      <c r="R431" s="34" t="s">
        <v>906</v>
      </c>
      <c r="S431" s="34"/>
      <c r="T431" s="34" t="s">
        <v>907</v>
      </c>
      <c r="U431" s="34"/>
      <c r="V431" s="34" t="s">
        <v>949</v>
      </c>
      <c r="W431" s="34"/>
      <c r="X431" s="34" t="s">
        <v>909</v>
      </c>
      <c r="Y431" s="34" t="s">
        <v>47</v>
      </c>
      <c r="Z431" s="34">
        <v>2142</v>
      </c>
      <c r="AA431" s="34" t="s">
        <v>393</v>
      </c>
      <c r="AB431" s="34" t="s">
        <v>393</v>
      </c>
      <c r="AC431" s="34"/>
      <c r="AD431" s="34">
        <v>15</v>
      </c>
      <c r="AE431" s="34" t="s">
        <v>169</v>
      </c>
      <c r="AF431" s="34" t="s">
        <v>364</v>
      </c>
      <c r="AG431" s="34"/>
      <c r="AH431" s="34"/>
      <c r="AI431" s="34">
        <v>44071</v>
      </c>
      <c r="AJ431" s="34">
        <v>2.5</v>
      </c>
      <c r="AK431" s="34">
        <v>450.1</v>
      </c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 t="s">
        <v>363</v>
      </c>
      <c r="BG431" s="34"/>
      <c r="BH431" s="34"/>
      <c r="BI431" s="34"/>
      <c r="BJ431" s="34"/>
      <c r="BK431" s="34" t="s">
        <v>50</v>
      </c>
      <c r="BL431" s="34" t="s">
        <v>167</v>
      </c>
      <c r="BM431" s="34" t="s">
        <v>166</v>
      </c>
      <c r="BN431" s="34">
        <v>44209.446940995367</v>
      </c>
      <c r="BO431" s="34"/>
      <c r="BP431" s="34"/>
      <c r="BQ431" s="34"/>
      <c r="BR431" s="34" t="s">
        <v>165</v>
      </c>
      <c r="BS431" s="34">
        <v>4.1215202019740099E+18</v>
      </c>
      <c r="BT431" s="34" t="s">
        <v>164</v>
      </c>
      <c r="BU431" s="34" t="s">
        <v>362</v>
      </c>
      <c r="BV431" s="34">
        <v>2020</v>
      </c>
      <c r="BW431" s="34" t="s">
        <v>163</v>
      </c>
      <c r="BX431" s="34"/>
      <c r="BY431" s="34">
        <v>4.0112202120790799E+18</v>
      </c>
      <c r="BZ431" s="34" t="s">
        <v>1703</v>
      </c>
      <c r="CA431" s="34" t="s">
        <v>161</v>
      </c>
    </row>
    <row r="432" spans="1:79" x14ac:dyDescent="0.25">
      <c r="A432" s="34" t="s">
        <v>374</v>
      </c>
      <c r="B432" s="34" t="s">
        <v>287</v>
      </c>
      <c r="C432" s="34">
        <v>2020</v>
      </c>
      <c r="D432" s="34" t="s">
        <v>373</v>
      </c>
      <c r="E432" s="34">
        <v>2.0201211937029402E+17</v>
      </c>
      <c r="F432" s="34" t="s">
        <v>182</v>
      </c>
      <c r="G432" s="34" t="s">
        <v>1722</v>
      </c>
      <c r="H432" s="34">
        <v>1482644</v>
      </c>
      <c r="I432" s="34"/>
      <c r="J432" s="34" t="s">
        <v>180</v>
      </c>
      <c r="K432" s="34" t="s">
        <v>179</v>
      </c>
      <c r="L432" s="34" t="s">
        <v>1491</v>
      </c>
      <c r="M432" s="34"/>
      <c r="N432" s="34" t="s">
        <v>905</v>
      </c>
      <c r="O432" s="34" t="s">
        <v>297</v>
      </c>
      <c r="P432" s="34"/>
      <c r="Q432" s="34" t="s">
        <v>296</v>
      </c>
      <c r="R432" s="34" t="s">
        <v>906</v>
      </c>
      <c r="S432" s="34"/>
      <c r="T432" s="34" t="s">
        <v>907</v>
      </c>
      <c r="U432" s="34"/>
      <c r="V432" s="34" t="s">
        <v>949</v>
      </c>
      <c r="W432" s="34"/>
      <c r="X432" s="34" t="s">
        <v>909</v>
      </c>
      <c r="Y432" s="34" t="s">
        <v>47</v>
      </c>
      <c r="Z432" s="34">
        <v>2142</v>
      </c>
      <c r="AA432" s="34" t="s">
        <v>393</v>
      </c>
      <c r="AB432" s="34" t="s">
        <v>393</v>
      </c>
      <c r="AC432" s="34" t="s">
        <v>1491</v>
      </c>
      <c r="AD432" s="34" t="s">
        <v>383</v>
      </c>
      <c r="AE432" s="34" t="s">
        <v>382</v>
      </c>
      <c r="AF432" s="34" t="s">
        <v>377</v>
      </c>
      <c r="AG432" s="34"/>
      <c r="AH432" s="34"/>
      <c r="AI432" s="34">
        <v>44056</v>
      </c>
      <c r="AJ432" s="34">
        <v>103</v>
      </c>
      <c r="AK432" s="34">
        <v>308</v>
      </c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 t="s">
        <v>363</v>
      </c>
      <c r="BG432" s="34"/>
      <c r="BH432" s="34"/>
      <c r="BI432" s="34"/>
      <c r="BJ432" s="34"/>
      <c r="BK432" s="34" t="s">
        <v>50</v>
      </c>
      <c r="BL432" s="34" t="s">
        <v>167</v>
      </c>
      <c r="BM432" s="34" t="s">
        <v>166</v>
      </c>
      <c r="BN432" s="34">
        <v>44209.447085486114</v>
      </c>
      <c r="BO432" s="34"/>
      <c r="BP432" s="34"/>
      <c r="BQ432" s="34"/>
      <c r="BR432" s="34" t="s">
        <v>165</v>
      </c>
      <c r="BS432" s="34">
        <v>4.1215202019740099E+18</v>
      </c>
      <c r="BT432" s="34" t="s">
        <v>164</v>
      </c>
      <c r="BU432" s="34" t="s">
        <v>1588</v>
      </c>
      <c r="BV432" s="34">
        <v>2020</v>
      </c>
      <c r="BW432" s="34" t="s">
        <v>163</v>
      </c>
      <c r="BX432" s="34"/>
      <c r="BY432" s="34">
        <v>4.01122021207217E+18</v>
      </c>
      <c r="BZ432" s="34" t="s">
        <v>1701</v>
      </c>
      <c r="CA432" s="34" t="s">
        <v>161</v>
      </c>
    </row>
    <row r="433" spans="1:79" x14ac:dyDescent="0.25">
      <c r="A433" s="34" t="s">
        <v>374</v>
      </c>
      <c r="B433" s="34" t="s">
        <v>287</v>
      </c>
      <c r="C433" s="34">
        <v>2020</v>
      </c>
      <c r="D433" s="34" t="s">
        <v>373</v>
      </c>
      <c r="E433" s="34">
        <v>2.0201211937029402E+17</v>
      </c>
      <c r="F433" s="34" t="s">
        <v>182</v>
      </c>
      <c r="G433" s="34" t="s">
        <v>1723</v>
      </c>
      <c r="H433" s="34">
        <v>1482644</v>
      </c>
      <c r="I433" s="34"/>
      <c r="J433" s="34" t="s">
        <v>180</v>
      </c>
      <c r="K433" s="34" t="s">
        <v>179</v>
      </c>
      <c r="L433" s="34"/>
      <c r="M433" s="34"/>
      <c r="N433" s="34" t="s">
        <v>905</v>
      </c>
      <c r="O433" s="34" t="s">
        <v>297</v>
      </c>
      <c r="P433" s="34"/>
      <c r="Q433" s="34" t="s">
        <v>296</v>
      </c>
      <c r="R433" s="34" t="s">
        <v>906</v>
      </c>
      <c r="S433" s="34"/>
      <c r="T433" s="34" t="s">
        <v>907</v>
      </c>
      <c r="U433" s="34"/>
      <c r="V433" s="34" t="s">
        <v>949</v>
      </c>
      <c r="W433" s="34"/>
      <c r="X433" s="34" t="s">
        <v>909</v>
      </c>
      <c r="Y433" s="34" t="s">
        <v>47</v>
      </c>
      <c r="Z433" s="34">
        <v>2142</v>
      </c>
      <c r="AA433" s="34" t="s">
        <v>393</v>
      </c>
      <c r="AB433" s="34" t="s">
        <v>393</v>
      </c>
      <c r="AC433" s="34"/>
      <c r="AD433" s="34">
        <v>15</v>
      </c>
      <c r="AE433" s="34" t="s">
        <v>169</v>
      </c>
      <c r="AF433" s="34" t="s">
        <v>364</v>
      </c>
      <c r="AG433" s="34"/>
      <c r="AH433" s="34"/>
      <c r="AI433" s="34">
        <v>44056</v>
      </c>
      <c r="AJ433" s="34">
        <v>10.3</v>
      </c>
      <c r="AK433" s="34">
        <v>450.1</v>
      </c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 t="s">
        <v>363</v>
      </c>
      <c r="BG433" s="34"/>
      <c r="BH433" s="34"/>
      <c r="BI433" s="34"/>
      <c r="BJ433" s="34"/>
      <c r="BK433" s="34" t="s">
        <v>50</v>
      </c>
      <c r="BL433" s="34" t="s">
        <v>167</v>
      </c>
      <c r="BM433" s="34" t="s">
        <v>166</v>
      </c>
      <c r="BN433" s="34">
        <v>44209.447113888891</v>
      </c>
      <c r="BO433" s="34"/>
      <c r="BP433" s="34"/>
      <c r="BQ433" s="34"/>
      <c r="BR433" s="34" t="s">
        <v>165</v>
      </c>
      <c r="BS433" s="34">
        <v>4.1215202019740099E+18</v>
      </c>
      <c r="BT433" s="34" t="s">
        <v>164</v>
      </c>
      <c r="BU433" s="34" t="s">
        <v>362</v>
      </c>
      <c r="BV433" s="34">
        <v>2020</v>
      </c>
      <c r="BW433" s="34" t="s">
        <v>163</v>
      </c>
      <c r="BX433" s="34"/>
      <c r="BY433" s="34">
        <v>4.01122021207217E+18</v>
      </c>
      <c r="BZ433" s="34" t="s">
        <v>1724</v>
      </c>
      <c r="CA433" s="34" t="s">
        <v>161</v>
      </c>
    </row>
    <row r="434" spans="1:79" x14ac:dyDescent="0.25">
      <c r="A434" s="34" t="s">
        <v>374</v>
      </c>
      <c r="B434" s="34" t="s">
        <v>287</v>
      </c>
      <c r="C434" s="34">
        <v>2020</v>
      </c>
      <c r="D434" s="34" t="s">
        <v>373</v>
      </c>
      <c r="E434" s="34">
        <v>2.0201211937029402E+17</v>
      </c>
      <c r="F434" s="34" t="s">
        <v>182</v>
      </c>
      <c r="G434" s="34" t="s">
        <v>1725</v>
      </c>
      <c r="H434" s="34">
        <v>1482644</v>
      </c>
      <c r="I434" s="34"/>
      <c r="J434" s="34" t="s">
        <v>180</v>
      </c>
      <c r="K434" s="34" t="s">
        <v>179</v>
      </c>
      <c r="L434" s="34"/>
      <c r="M434" s="34"/>
      <c r="N434" s="34" t="s">
        <v>905</v>
      </c>
      <c r="O434" s="34" t="s">
        <v>297</v>
      </c>
      <c r="P434" s="34"/>
      <c r="Q434" s="34" t="s">
        <v>296</v>
      </c>
      <c r="R434" s="34" t="s">
        <v>906</v>
      </c>
      <c r="S434" s="34"/>
      <c r="T434" s="34" t="s">
        <v>907</v>
      </c>
      <c r="U434" s="34"/>
      <c r="V434" s="34" t="s">
        <v>949</v>
      </c>
      <c r="W434" s="34"/>
      <c r="X434" s="34" t="s">
        <v>909</v>
      </c>
      <c r="Y434" s="34" t="s">
        <v>47</v>
      </c>
      <c r="Z434" s="34">
        <v>2142</v>
      </c>
      <c r="AA434" s="34" t="s">
        <v>393</v>
      </c>
      <c r="AB434" s="34" t="s">
        <v>393</v>
      </c>
      <c r="AC434" s="34"/>
      <c r="AD434" s="34">
        <v>15</v>
      </c>
      <c r="AE434" s="34" t="s">
        <v>169</v>
      </c>
      <c r="AF434" s="34" t="s">
        <v>364</v>
      </c>
      <c r="AG434" s="34"/>
      <c r="AH434" s="34"/>
      <c r="AI434" s="34">
        <v>44068</v>
      </c>
      <c r="AJ434" s="34">
        <v>5</v>
      </c>
      <c r="AK434" s="34">
        <v>450.1</v>
      </c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 t="s">
        <v>363</v>
      </c>
      <c r="BG434" s="34"/>
      <c r="BH434" s="34"/>
      <c r="BI434" s="34"/>
      <c r="BJ434" s="34"/>
      <c r="BK434" s="34" t="s">
        <v>50</v>
      </c>
      <c r="BL434" s="34" t="s">
        <v>167</v>
      </c>
      <c r="BM434" s="34" t="s">
        <v>166</v>
      </c>
      <c r="BN434" s="34">
        <v>44209.447760925927</v>
      </c>
      <c r="BO434" s="34"/>
      <c r="BP434" s="34"/>
      <c r="BQ434" s="34"/>
      <c r="BR434" s="34" t="s">
        <v>165</v>
      </c>
      <c r="BS434" s="34">
        <v>4.1215202019740099E+18</v>
      </c>
      <c r="BT434" s="34" t="s">
        <v>164</v>
      </c>
      <c r="BU434" s="34" t="s">
        <v>362</v>
      </c>
      <c r="BV434" s="34">
        <v>2020</v>
      </c>
      <c r="BW434" s="34" t="s">
        <v>163</v>
      </c>
      <c r="BX434" s="34"/>
      <c r="BY434" s="34">
        <v>4.0112202120776499E+18</v>
      </c>
      <c r="BZ434" s="34" t="s">
        <v>1726</v>
      </c>
      <c r="CA434" s="34" t="s">
        <v>161</v>
      </c>
    </row>
    <row r="435" spans="1:79" x14ac:dyDescent="0.25">
      <c r="A435" s="34" t="s">
        <v>374</v>
      </c>
      <c r="B435" s="34" t="s">
        <v>287</v>
      </c>
      <c r="C435" s="34">
        <v>2020</v>
      </c>
      <c r="D435" s="34" t="s">
        <v>373</v>
      </c>
      <c r="E435" s="34">
        <v>2.0201211937029402E+17</v>
      </c>
      <c r="F435" s="34" t="s">
        <v>182</v>
      </c>
      <c r="G435" s="34" t="s">
        <v>1727</v>
      </c>
      <c r="H435" s="34">
        <v>1482644</v>
      </c>
      <c r="I435" s="34"/>
      <c r="J435" s="34" t="s">
        <v>180</v>
      </c>
      <c r="K435" s="34" t="s">
        <v>179</v>
      </c>
      <c r="L435" s="34" t="s">
        <v>1433</v>
      </c>
      <c r="M435" s="34"/>
      <c r="N435" s="34" t="s">
        <v>905</v>
      </c>
      <c r="O435" s="34" t="s">
        <v>297</v>
      </c>
      <c r="P435" s="34"/>
      <c r="Q435" s="34" t="s">
        <v>296</v>
      </c>
      <c r="R435" s="34" t="s">
        <v>906</v>
      </c>
      <c r="S435" s="34"/>
      <c r="T435" s="34" t="s">
        <v>907</v>
      </c>
      <c r="U435" s="34"/>
      <c r="V435" s="34" t="s">
        <v>949</v>
      </c>
      <c r="W435" s="34"/>
      <c r="X435" s="34" t="s">
        <v>909</v>
      </c>
      <c r="Y435" s="34" t="s">
        <v>47</v>
      </c>
      <c r="Z435" s="34">
        <v>2142</v>
      </c>
      <c r="AA435" s="34" t="s">
        <v>393</v>
      </c>
      <c r="AB435" s="34" t="s">
        <v>393</v>
      </c>
      <c r="AC435" s="34" t="s">
        <v>1433</v>
      </c>
      <c r="AD435" s="34" t="s">
        <v>383</v>
      </c>
      <c r="AE435" s="34" t="s">
        <v>382</v>
      </c>
      <c r="AF435" s="34" t="s">
        <v>377</v>
      </c>
      <c r="AG435" s="34"/>
      <c r="AH435" s="34"/>
      <c r="AI435" s="34">
        <v>44055</v>
      </c>
      <c r="AJ435" s="34">
        <v>100</v>
      </c>
      <c r="AK435" s="34">
        <v>1125</v>
      </c>
      <c r="AL435" s="34" t="s">
        <v>1474</v>
      </c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 t="s">
        <v>363</v>
      </c>
      <c r="BG435" s="34"/>
      <c r="BH435" s="34"/>
      <c r="BI435" s="34"/>
      <c r="BJ435" s="34"/>
      <c r="BK435" s="34" t="s">
        <v>50</v>
      </c>
      <c r="BL435" s="34" t="s">
        <v>167</v>
      </c>
      <c r="BM435" s="34" t="s">
        <v>166</v>
      </c>
      <c r="BN435" s="34">
        <v>44209.448375439817</v>
      </c>
      <c r="BO435" s="34"/>
      <c r="BP435" s="34"/>
      <c r="BQ435" s="34"/>
      <c r="BR435" s="34" t="s">
        <v>165</v>
      </c>
      <c r="BS435" s="34">
        <v>4.1215202019740099E+18</v>
      </c>
      <c r="BT435" s="34" t="s">
        <v>164</v>
      </c>
      <c r="BU435" s="34" t="s">
        <v>400</v>
      </c>
      <c r="BV435" s="34">
        <v>2020</v>
      </c>
      <c r="BW435" s="34" t="s">
        <v>163</v>
      </c>
      <c r="BX435" s="34"/>
      <c r="BY435" s="34">
        <v>4.01122021207185E+18</v>
      </c>
      <c r="BZ435" s="34" t="s">
        <v>1728</v>
      </c>
      <c r="CA435" s="34" t="s">
        <v>161</v>
      </c>
    </row>
    <row r="436" spans="1:79" x14ac:dyDescent="0.25">
      <c r="A436" s="34" t="s">
        <v>374</v>
      </c>
      <c r="B436" s="34" t="s">
        <v>287</v>
      </c>
      <c r="C436" s="34">
        <v>2020</v>
      </c>
      <c r="D436" s="34" t="s">
        <v>373</v>
      </c>
      <c r="E436" s="34">
        <v>2.0201211937029402E+17</v>
      </c>
      <c r="F436" s="34" t="s">
        <v>182</v>
      </c>
      <c r="G436" s="34" t="s">
        <v>1729</v>
      </c>
      <c r="H436" s="34">
        <v>1482644</v>
      </c>
      <c r="I436" s="34"/>
      <c r="J436" s="34" t="s">
        <v>180</v>
      </c>
      <c r="K436" s="34" t="s">
        <v>179</v>
      </c>
      <c r="L436" s="34"/>
      <c r="M436" s="34"/>
      <c r="N436" s="34" t="s">
        <v>905</v>
      </c>
      <c r="O436" s="34" t="s">
        <v>297</v>
      </c>
      <c r="P436" s="34"/>
      <c r="Q436" s="34" t="s">
        <v>296</v>
      </c>
      <c r="R436" s="34" t="s">
        <v>906</v>
      </c>
      <c r="S436" s="34"/>
      <c r="T436" s="34" t="s">
        <v>907</v>
      </c>
      <c r="U436" s="34"/>
      <c r="V436" s="34" t="s">
        <v>949</v>
      </c>
      <c r="W436" s="34"/>
      <c r="X436" s="34" t="s">
        <v>909</v>
      </c>
      <c r="Y436" s="34" t="s">
        <v>47</v>
      </c>
      <c r="Z436" s="34">
        <v>2142</v>
      </c>
      <c r="AA436" s="34" t="s">
        <v>393</v>
      </c>
      <c r="AB436" s="34" t="s">
        <v>393</v>
      </c>
      <c r="AC436" s="34"/>
      <c r="AD436" s="34">
        <v>15</v>
      </c>
      <c r="AE436" s="34" t="s">
        <v>169</v>
      </c>
      <c r="AF436" s="34" t="s">
        <v>364</v>
      </c>
      <c r="AG436" s="34"/>
      <c r="AH436" s="34"/>
      <c r="AI436" s="34">
        <v>44055</v>
      </c>
      <c r="AJ436" s="34">
        <v>10</v>
      </c>
      <c r="AK436" s="34">
        <v>450.1</v>
      </c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 t="s">
        <v>363</v>
      </c>
      <c r="BG436" s="34"/>
      <c r="BH436" s="34"/>
      <c r="BI436" s="34"/>
      <c r="BJ436" s="34"/>
      <c r="BK436" s="34" t="s">
        <v>50</v>
      </c>
      <c r="BL436" s="34" t="s">
        <v>167</v>
      </c>
      <c r="BM436" s="34" t="s">
        <v>166</v>
      </c>
      <c r="BN436" s="34">
        <v>44209.448450983793</v>
      </c>
      <c r="BO436" s="34"/>
      <c r="BP436" s="34"/>
      <c r="BQ436" s="34"/>
      <c r="BR436" s="34" t="s">
        <v>165</v>
      </c>
      <c r="BS436" s="34">
        <v>4.1215202019740099E+18</v>
      </c>
      <c r="BT436" s="34" t="s">
        <v>164</v>
      </c>
      <c r="BU436" s="34" t="s">
        <v>362</v>
      </c>
      <c r="BV436" s="34">
        <v>2020</v>
      </c>
      <c r="BW436" s="34" t="s">
        <v>163</v>
      </c>
      <c r="BX436" s="34"/>
      <c r="BY436" s="34">
        <v>4.01122021207185E+18</v>
      </c>
      <c r="BZ436" s="34" t="s">
        <v>1730</v>
      </c>
      <c r="CA436" s="34" t="s">
        <v>161</v>
      </c>
    </row>
    <row r="437" spans="1:79" x14ac:dyDescent="0.25">
      <c r="A437" s="34" t="s">
        <v>374</v>
      </c>
      <c r="B437" s="34" t="s">
        <v>287</v>
      </c>
      <c r="C437" s="34">
        <v>2020</v>
      </c>
      <c r="D437" s="34" t="s">
        <v>373</v>
      </c>
      <c r="E437" s="34">
        <v>2.0201211937029402E+17</v>
      </c>
      <c r="F437" s="34" t="s">
        <v>182</v>
      </c>
      <c r="G437" s="34" t="s">
        <v>1731</v>
      </c>
      <c r="H437" s="34">
        <v>1482644</v>
      </c>
      <c r="I437" s="34"/>
      <c r="J437" s="34" t="s">
        <v>180</v>
      </c>
      <c r="K437" s="34" t="s">
        <v>179</v>
      </c>
      <c r="L437" s="34"/>
      <c r="M437" s="34"/>
      <c r="N437" s="34" t="s">
        <v>905</v>
      </c>
      <c r="O437" s="34" t="s">
        <v>297</v>
      </c>
      <c r="P437" s="34"/>
      <c r="Q437" s="34" t="s">
        <v>296</v>
      </c>
      <c r="R437" s="34" t="s">
        <v>906</v>
      </c>
      <c r="S437" s="34"/>
      <c r="T437" s="34" t="s">
        <v>907</v>
      </c>
      <c r="U437" s="34"/>
      <c r="V437" s="34" t="s">
        <v>949</v>
      </c>
      <c r="W437" s="34"/>
      <c r="X437" s="34" t="s">
        <v>909</v>
      </c>
      <c r="Y437" s="34" t="s">
        <v>47</v>
      </c>
      <c r="Z437" s="34">
        <v>2142</v>
      </c>
      <c r="AA437" s="34" t="s">
        <v>393</v>
      </c>
      <c r="AB437" s="34" t="s">
        <v>393</v>
      </c>
      <c r="AC437" s="34"/>
      <c r="AD437" s="34">
        <v>15</v>
      </c>
      <c r="AE437" s="34" t="s">
        <v>169</v>
      </c>
      <c r="AF437" s="34" t="s">
        <v>364</v>
      </c>
      <c r="AG437" s="34"/>
      <c r="AH437" s="34"/>
      <c r="AI437" s="34">
        <v>44073</v>
      </c>
      <c r="AJ437" s="34">
        <v>5</v>
      </c>
      <c r="AK437" s="34">
        <v>450.1</v>
      </c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 t="s">
        <v>363</v>
      </c>
      <c r="BG437" s="34"/>
      <c r="BH437" s="34"/>
      <c r="BI437" s="34"/>
      <c r="BJ437" s="34"/>
      <c r="BK437" s="34" t="s">
        <v>50</v>
      </c>
      <c r="BL437" s="34" t="s">
        <v>167</v>
      </c>
      <c r="BM437" s="34" t="s">
        <v>166</v>
      </c>
      <c r="BN437" s="34">
        <v>44209.451216631947</v>
      </c>
      <c r="BO437" s="34"/>
      <c r="BP437" s="34"/>
      <c r="BQ437" s="34"/>
      <c r="BR437" s="34" t="s">
        <v>165</v>
      </c>
      <c r="BS437" s="34">
        <v>4.1215202019740099E+18</v>
      </c>
      <c r="BT437" s="34" t="s">
        <v>164</v>
      </c>
      <c r="BU437" s="34" t="s">
        <v>362</v>
      </c>
      <c r="BV437" s="34">
        <v>2020</v>
      </c>
      <c r="BW437" s="34" t="s">
        <v>163</v>
      </c>
      <c r="BX437" s="34"/>
      <c r="BY437" s="34">
        <v>4.0112202120797302E+18</v>
      </c>
      <c r="BZ437" s="34" t="s">
        <v>1686</v>
      </c>
      <c r="CA437" s="34" t="s">
        <v>161</v>
      </c>
    </row>
    <row r="438" spans="1:79" x14ac:dyDescent="0.25">
      <c r="A438" s="34" t="s">
        <v>374</v>
      </c>
      <c r="B438" s="34" t="s">
        <v>287</v>
      </c>
      <c r="C438" s="34">
        <v>2020</v>
      </c>
      <c r="D438" s="34" t="s">
        <v>373</v>
      </c>
      <c r="E438" s="34">
        <v>2.0201211937029402E+17</v>
      </c>
      <c r="F438" s="34" t="s">
        <v>182</v>
      </c>
      <c r="G438" s="34" t="s">
        <v>1732</v>
      </c>
      <c r="H438" s="34">
        <v>1482644</v>
      </c>
      <c r="I438" s="34"/>
      <c r="J438" s="34" t="s">
        <v>180</v>
      </c>
      <c r="K438" s="34" t="s">
        <v>179</v>
      </c>
      <c r="L438" s="34" t="s">
        <v>1433</v>
      </c>
      <c r="M438" s="34"/>
      <c r="N438" s="34" t="s">
        <v>905</v>
      </c>
      <c r="O438" s="34" t="s">
        <v>297</v>
      </c>
      <c r="P438" s="34"/>
      <c r="Q438" s="34" t="s">
        <v>296</v>
      </c>
      <c r="R438" s="34" t="s">
        <v>906</v>
      </c>
      <c r="S438" s="34"/>
      <c r="T438" s="34" t="s">
        <v>907</v>
      </c>
      <c r="U438" s="34"/>
      <c r="V438" s="34" t="s">
        <v>949</v>
      </c>
      <c r="W438" s="34"/>
      <c r="X438" s="34" t="s">
        <v>909</v>
      </c>
      <c r="Y438" s="34" t="s">
        <v>47</v>
      </c>
      <c r="Z438" s="34">
        <v>2142</v>
      </c>
      <c r="AA438" s="34" t="s">
        <v>393</v>
      </c>
      <c r="AB438" s="34" t="s">
        <v>393</v>
      </c>
      <c r="AC438" s="34" t="s">
        <v>1433</v>
      </c>
      <c r="AD438" s="34" t="s">
        <v>383</v>
      </c>
      <c r="AE438" s="34" t="s">
        <v>382</v>
      </c>
      <c r="AF438" s="34" t="s">
        <v>377</v>
      </c>
      <c r="AG438" s="34"/>
      <c r="AH438" s="34"/>
      <c r="AI438" s="34">
        <v>44073</v>
      </c>
      <c r="AJ438" s="34">
        <v>100</v>
      </c>
      <c r="AK438" s="34">
        <v>1125</v>
      </c>
      <c r="AL438" s="34" t="s">
        <v>1474</v>
      </c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 t="s">
        <v>363</v>
      </c>
      <c r="BG438" s="34"/>
      <c r="BH438" s="34"/>
      <c r="BI438" s="34"/>
      <c r="BJ438" s="34"/>
      <c r="BK438" s="34" t="s">
        <v>50</v>
      </c>
      <c r="BL438" s="34" t="s">
        <v>167</v>
      </c>
      <c r="BM438" s="34" t="s">
        <v>166</v>
      </c>
      <c r="BN438" s="34">
        <v>44209.451350902775</v>
      </c>
      <c r="BO438" s="34"/>
      <c r="BP438" s="34"/>
      <c r="BQ438" s="34"/>
      <c r="BR438" s="34" t="s">
        <v>165</v>
      </c>
      <c r="BS438" s="34">
        <v>4.1215202019740099E+18</v>
      </c>
      <c r="BT438" s="34" t="s">
        <v>164</v>
      </c>
      <c r="BU438" s="34" t="s">
        <v>400</v>
      </c>
      <c r="BV438" s="34">
        <v>2020</v>
      </c>
      <c r="BW438" s="34" t="s">
        <v>163</v>
      </c>
      <c r="BX438" s="34"/>
      <c r="BY438" s="34">
        <v>4.0112202120797302E+18</v>
      </c>
      <c r="BZ438" s="34" t="s">
        <v>1733</v>
      </c>
      <c r="CA438" s="34" t="s">
        <v>161</v>
      </c>
    </row>
    <row r="439" spans="1:79" x14ac:dyDescent="0.25">
      <c r="A439" s="34" t="s">
        <v>374</v>
      </c>
      <c r="B439" s="34" t="s">
        <v>287</v>
      </c>
      <c r="C439" s="34">
        <v>2020</v>
      </c>
      <c r="D439" s="34" t="s">
        <v>373</v>
      </c>
      <c r="E439" s="34">
        <v>2.0201211937029402E+17</v>
      </c>
      <c r="F439" s="34" t="s">
        <v>182</v>
      </c>
      <c r="G439" s="34" t="s">
        <v>1734</v>
      </c>
      <c r="H439" s="34">
        <v>1482644</v>
      </c>
      <c r="I439" s="34"/>
      <c r="J439" s="34" t="s">
        <v>180</v>
      </c>
      <c r="K439" s="34" t="s">
        <v>179</v>
      </c>
      <c r="L439" s="34"/>
      <c r="M439" s="34"/>
      <c r="N439" s="34" t="s">
        <v>905</v>
      </c>
      <c r="O439" s="34" t="s">
        <v>297</v>
      </c>
      <c r="P439" s="34"/>
      <c r="Q439" s="34" t="s">
        <v>296</v>
      </c>
      <c r="R439" s="34" t="s">
        <v>906</v>
      </c>
      <c r="S439" s="34"/>
      <c r="T439" s="34" t="s">
        <v>907</v>
      </c>
      <c r="U439" s="34"/>
      <c r="V439" s="34" t="s">
        <v>949</v>
      </c>
      <c r="W439" s="34"/>
      <c r="X439" s="34" t="s">
        <v>909</v>
      </c>
      <c r="Y439" s="34" t="s">
        <v>47</v>
      </c>
      <c r="Z439" s="34">
        <v>2142</v>
      </c>
      <c r="AA439" s="34" t="s">
        <v>393</v>
      </c>
      <c r="AB439" s="34" t="s">
        <v>393</v>
      </c>
      <c r="AC439" s="34"/>
      <c r="AD439" s="34">
        <v>15</v>
      </c>
      <c r="AE439" s="34" t="s">
        <v>169</v>
      </c>
      <c r="AF439" s="34" t="s">
        <v>364</v>
      </c>
      <c r="AG439" s="34"/>
      <c r="AH439" s="34"/>
      <c r="AI439" s="34">
        <v>44073</v>
      </c>
      <c r="AJ439" s="34">
        <v>10</v>
      </c>
      <c r="AK439" s="34">
        <v>450.1</v>
      </c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 t="s">
        <v>363</v>
      </c>
      <c r="BG439" s="34"/>
      <c r="BH439" s="34"/>
      <c r="BI439" s="34"/>
      <c r="BJ439" s="34"/>
      <c r="BK439" s="34" t="s">
        <v>50</v>
      </c>
      <c r="BL439" s="34" t="s">
        <v>167</v>
      </c>
      <c r="BM439" s="34" t="s">
        <v>166</v>
      </c>
      <c r="BN439" s="34">
        <v>44209.451372060183</v>
      </c>
      <c r="BO439" s="34"/>
      <c r="BP439" s="34"/>
      <c r="BQ439" s="34"/>
      <c r="BR439" s="34" t="s">
        <v>165</v>
      </c>
      <c r="BS439" s="34">
        <v>4.1215202019740099E+18</v>
      </c>
      <c r="BT439" s="34" t="s">
        <v>164</v>
      </c>
      <c r="BU439" s="34" t="s">
        <v>362</v>
      </c>
      <c r="BV439" s="34">
        <v>2020</v>
      </c>
      <c r="BW439" s="34" t="s">
        <v>163</v>
      </c>
      <c r="BX439" s="34"/>
      <c r="BY439" s="34">
        <v>4.0112202120797399E+18</v>
      </c>
      <c r="BZ439" s="34" t="s">
        <v>1693</v>
      </c>
      <c r="CA439" s="34" t="s">
        <v>161</v>
      </c>
    </row>
    <row r="440" spans="1:79" x14ac:dyDescent="0.25">
      <c r="A440" s="34" t="s">
        <v>374</v>
      </c>
      <c r="B440" s="34" t="s">
        <v>287</v>
      </c>
      <c r="C440" s="34">
        <v>2020</v>
      </c>
      <c r="D440" s="34" t="s">
        <v>373</v>
      </c>
      <c r="E440" s="34">
        <v>2.0201211937029402E+17</v>
      </c>
      <c r="F440" s="34" t="s">
        <v>182</v>
      </c>
      <c r="G440" s="34" t="s">
        <v>1735</v>
      </c>
      <c r="H440" s="34">
        <v>1482644</v>
      </c>
      <c r="I440" s="34"/>
      <c r="J440" s="34" t="s">
        <v>180</v>
      </c>
      <c r="K440" s="34" t="s">
        <v>179</v>
      </c>
      <c r="L440" s="34"/>
      <c r="M440" s="34"/>
      <c r="N440" s="34" t="s">
        <v>905</v>
      </c>
      <c r="O440" s="34" t="s">
        <v>297</v>
      </c>
      <c r="P440" s="34"/>
      <c r="Q440" s="34" t="s">
        <v>296</v>
      </c>
      <c r="R440" s="34" t="s">
        <v>906</v>
      </c>
      <c r="S440" s="34"/>
      <c r="T440" s="34" t="s">
        <v>907</v>
      </c>
      <c r="U440" s="34"/>
      <c r="V440" s="34" t="s">
        <v>949</v>
      </c>
      <c r="W440" s="34"/>
      <c r="X440" s="34" t="s">
        <v>909</v>
      </c>
      <c r="Y440" s="34" t="s">
        <v>47</v>
      </c>
      <c r="Z440" s="34">
        <v>2142</v>
      </c>
      <c r="AA440" s="34" t="s">
        <v>393</v>
      </c>
      <c r="AB440" s="34" t="s">
        <v>393</v>
      </c>
      <c r="AC440" s="34"/>
      <c r="AD440" s="34"/>
      <c r="AE440" s="34"/>
      <c r="AF440" s="34" t="s">
        <v>377</v>
      </c>
      <c r="AG440" s="34"/>
      <c r="AH440" s="34"/>
      <c r="AI440" s="34">
        <v>44073</v>
      </c>
      <c r="AJ440" s="34">
        <v>50</v>
      </c>
      <c r="AK440" s="34">
        <v>50</v>
      </c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 t="s">
        <v>363</v>
      </c>
      <c r="BG440" s="34"/>
      <c r="BH440" s="34"/>
      <c r="BI440" s="34"/>
      <c r="BJ440" s="34"/>
      <c r="BK440" s="34" t="s">
        <v>50</v>
      </c>
      <c r="BL440" s="34" t="s">
        <v>167</v>
      </c>
      <c r="BM440" s="34" t="s">
        <v>166</v>
      </c>
      <c r="BN440" s="34">
        <v>44209.451614224534</v>
      </c>
      <c r="BO440" s="34"/>
      <c r="BP440" s="34"/>
      <c r="BQ440" s="34"/>
      <c r="BR440" s="34" t="s">
        <v>165</v>
      </c>
      <c r="BS440" s="34">
        <v>4.1215202019740099E+18</v>
      </c>
      <c r="BT440" s="34" t="s">
        <v>164</v>
      </c>
      <c r="BU440" s="34" t="s">
        <v>1736</v>
      </c>
      <c r="BV440" s="34">
        <v>2020</v>
      </c>
      <c r="BW440" s="34" t="s">
        <v>163</v>
      </c>
      <c r="BX440" s="34"/>
      <c r="BY440" s="34">
        <v>4.0112202120797501E+18</v>
      </c>
      <c r="BZ440" s="34" t="s">
        <v>1688</v>
      </c>
      <c r="CA440" s="34" t="s">
        <v>161</v>
      </c>
    </row>
    <row r="441" spans="1:79" x14ac:dyDescent="0.25">
      <c r="A441" s="34" t="s">
        <v>374</v>
      </c>
      <c r="B441" s="34" t="s">
        <v>287</v>
      </c>
      <c r="C441" s="34">
        <v>2020</v>
      </c>
      <c r="D441" s="34" t="s">
        <v>373</v>
      </c>
      <c r="E441" s="34">
        <v>2.0201211937029402E+17</v>
      </c>
      <c r="F441" s="34" t="s">
        <v>182</v>
      </c>
      <c r="G441" s="34" t="s">
        <v>1737</v>
      </c>
      <c r="H441" s="34">
        <v>1482644</v>
      </c>
      <c r="I441" s="34"/>
      <c r="J441" s="34" t="s">
        <v>180</v>
      </c>
      <c r="K441" s="34" t="s">
        <v>179</v>
      </c>
      <c r="L441" s="34"/>
      <c r="M441" s="34"/>
      <c r="N441" s="34" t="s">
        <v>905</v>
      </c>
      <c r="O441" s="34" t="s">
        <v>297</v>
      </c>
      <c r="P441" s="34"/>
      <c r="Q441" s="34" t="s">
        <v>296</v>
      </c>
      <c r="R441" s="34" t="s">
        <v>906</v>
      </c>
      <c r="S441" s="34"/>
      <c r="T441" s="34" t="s">
        <v>907</v>
      </c>
      <c r="U441" s="34"/>
      <c r="V441" s="34" t="s">
        <v>949</v>
      </c>
      <c r="W441" s="34"/>
      <c r="X441" s="34" t="s">
        <v>909</v>
      </c>
      <c r="Y441" s="34" t="s">
        <v>47</v>
      </c>
      <c r="Z441" s="34">
        <v>2142</v>
      </c>
      <c r="AA441" s="34" t="s">
        <v>393</v>
      </c>
      <c r="AB441" s="34" t="s">
        <v>393</v>
      </c>
      <c r="AC441" s="34"/>
      <c r="AD441" s="34"/>
      <c r="AE441" s="34"/>
      <c r="AF441" s="34" t="s">
        <v>377</v>
      </c>
      <c r="AG441" s="34"/>
      <c r="AH441" s="34"/>
      <c r="AI441" s="34">
        <v>44068</v>
      </c>
      <c r="AJ441" s="34">
        <v>50</v>
      </c>
      <c r="AK441" s="34">
        <v>100</v>
      </c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 t="s">
        <v>363</v>
      </c>
      <c r="BG441" s="34"/>
      <c r="BH441" s="34"/>
      <c r="BI441" s="34"/>
      <c r="BJ441" s="34"/>
      <c r="BK441" s="34" t="s">
        <v>50</v>
      </c>
      <c r="BL441" s="34" t="s">
        <v>167</v>
      </c>
      <c r="BM441" s="34" t="s">
        <v>166</v>
      </c>
      <c r="BN441" s="34">
        <v>44209.462397175928</v>
      </c>
      <c r="BO441" s="34"/>
      <c r="BP441" s="34"/>
      <c r="BQ441" s="34"/>
      <c r="BR441" s="34" t="s">
        <v>165</v>
      </c>
      <c r="BS441" s="34">
        <v>4.1215202019740099E+18</v>
      </c>
      <c r="BT441" s="34" t="s">
        <v>164</v>
      </c>
      <c r="BU441" s="34" t="s">
        <v>1514</v>
      </c>
      <c r="BV441" s="34">
        <v>2020</v>
      </c>
      <c r="BW441" s="34" t="s">
        <v>163</v>
      </c>
      <c r="BX441" s="34"/>
      <c r="BY441" s="34">
        <v>4.0112202120776499E+18</v>
      </c>
      <c r="BZ441" s="34" t="s">
        <v>1738</v>
      </c>
      <c r="CA441" s="34" t="s">
        <v>161</v>
      </c>
    </row>
    <row r="442" spans="1:79" x14ac:dyDescent="0.25">
      <c r="A442" s="34" t="s">
        <v>1118</v>
      </c>
      <c r="B442" s="34" t="s">
        <v>1676</v>
      </c>
      <c r="C442" s="34">
        <v>2020</v>
      </c>
      <c r="D442" s="34" t="s">
        <v>451</v>
      </c>
      <c r="E442" s="34">
        <v>2.0210329944235101E+17</v>
      </c>
      <c r="F442" s="34" t="s">
        <v>182</v>
      </c>
      <c r="G442" s="34">
        <v>30160286</v>
      </c>
      <c r="H442" s="34">
        <v>1506572</v>
      </c>
      <c r="I442" s="34"/>
      <c r="J442" s="34" t="s">
        <v>180</v>
      </c>
      <c r="K442" s="34" t="s">
        <v>179</v>
      </c>
      <c r="L442" s="34"/>
      <c r="M442" s="34"/>
      <c r="N442" s="34" t="s">
        <v>905</v>
      </c>
      <c r="O442" s="34" t="s">
        <v>26</v>
      </c>
      <c r="P442" s="34"/>
      <c r="Q442" s="34" t="s">
        <v>296</v>
      </c>
      <c r="R442" s="34" t="s">
        <v>906</v>
      </c>
      <c r="S442" s="34"/>
      <c r="T442" s="34" t="s">
        <v>907</v>
      </c>
      <c r="U442" s="34"/>
      <c r="V442" s="34" t="s">
        <v>908</v>
      </c>
      <c r="W442" s="34"/>
      <c r="X442" s="34" t="s">
        <v>909</v>
      </c>
      <c r="Y442" s="34" t="s">
        <v>47</v>
      </c>
      <c r="Z442" s="34">
        <v>21421229</v>
      </c>
      <c r="AA442" s="34" t="s">
        <v>1028</v>
      </c>
      <c r="AB442" s="34" t="s">
        <v>393</v>
      </c>
      <c r="AC442" s="34"/>
      <c r="AD442" s="34" t="s">
        <v>345</v>
      </c>
      <c r="AE442" s="34" t="s">
        <v>344</v>
      </c>
      <c r="AF442" s="34"/>
      <c r="AG442" s="34"/>
      <c r="AH442" s="34"/>
      <c r="AI442" s="34">
        <v>44017</v>
      </c>
      <c r="AJ442" s="34">
        <v>25</v>
      </c>
      <c r="AK442" s="34">
        <v>575</v>
      </c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 t="s">
        <v>28</v>
      </c>
      <c r="BH442" s="34"/>
      <c r="BI442" s="34" t="s">
        <v>168</v>
      </c>
      <c r="BJ442" s="34"/>
      <c r="BK442" s="34" t="s">
        <v>50</v>
      </c>
      <c r="BL442" s="34" t="s">
        <v>167</v>
      </c>
      <c r="BM442" s="34" t="s">
        <v>166</v>
      </c>
      <c r="BN442" s="34">
        <v>44287.230370868056</v>
      </c>
      <c r="BO442" s="34"/>
      <c r="BP442" s="34" t="s">
        <v>1739</v>
      </c>
      <c r="BQ442" s="34" t="s">
        <v>419</v>
      </c>
      <c r="BR442" s="34" t="s">
        <v>165</v>
      </c>
      <c r="BS442" s="34">
        <v>4.0330202112703201E+18</v>
      </c>
      <c r="BT442" s="34" t="s">
        <v>164</v>
      </c>
      <c r="BU442" s="34" t="s">
        <v>1740</v>
      </c>
      <c r="BV442" s="34">
        <v>2020</v>
      </c>
      <c r="BW442" s="34" t="s">
        <v>163</v>
      </c>
      <c r="BX442" s="34"/>
      <c r="BY442" s="34">
        <v>4.0401202112719601E+18</v>
      </c>
      <c r="BZ442" s="34" t="s">
        <v>1741</v>
      </c>
      <c r="CA442" s="34" t="s">
        <v>161</v>
      </c>
    </row>
    <row r="443" spans="1:79" x14ac:dyDescent="0.25">
      <c r="A443" s="34" t="s">
        <v>1118</v>
      </c>
      <c r="B443" s="34" t="s">
        <v>1676</v>
      </c>
      <c r="C443" s="34">
        <v>2020</v>
      </c>
      <c r="D443" s="34" t="s">
        <v>706</v>
      </c>
      <c r="E443" s="34">
        <v>2.0210324944208198E+17</v>
      </c>
      <c r="F443" s="34" t="s">
        <v>182</v>
      </c>
      <c r="G443" s="34">
        <v>29492489</v>
      </c>
      <c r="H443" s="34">
        <v>1506190</v>
      </c>
      <c r="I443" s="34"/>
      <c r="J443" s="34" t="s">
        <v>180</v>
      </c>
      <c r="K443" s="34" t="s">
        <v>179</v>
      </c>
      <c r="L443" s="34"/>
      <c r="M443" s="34"/>
      <c r="N443" s="34" t="s">
        <v>905</v>
      </c>
      <c r="O443" s="34" t="s">
        <v>26</v>
      </c>
      <c r="P443" s="34"/>
      <c r="Q443" s="34" t="s">
        <v>296</v>
      </c>
      <c r="R443" s="34" t="s">
        <v>906</v>
      </c>
      <c r="S443" s="34"/>
      <c r="T443" s="34" t="s">
        <v>907</v>
      </c>
      <c r="U443" s="34"/>
      <c r="V443" s="34" t="s">
        <v>908</v>
      </c>
      <c r="W443" s="34"/>
      <c r="X443" s="34" t="s">
        <v>909</v>
      </c>
      <c r="Y443" s="34" t="s">
        <v>47</v>
      </c>
      <c r="Z443" s="34">
        <v>21421229</v>
      </c>
      <c r="AA443" s="34" t="s">
        <v>1028</v>
      </c>
      <c r="AB443" s="34" t="s">
        <v>393</v>
      </c>
      <c r="AC443" s="34"/>
      <c r="AD443" s="34" t="s">
        <v>345</v>
      </c>
      <c r="AE443" s="34" t="s">
        <v>344</v>
      </c>
      <c r="AF443" s="34"/>
      <c r="AG443" s="34"/>
      <c r="AH443" s="34"/>
      <c r="AI443" s="34">
        <v>43956</v>
      </c>
      <c r="AJ443" s="34">
        <v>25</v>
      </c>
      <c r="AK443" s="34">
        <v>325</v>
      </c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 t="s">
        <v>28</v>
      </c>
      <c r="BH443" s="34"/>
      <c r="BI443" s="34" t="s">
        <v>168</v>
      </c>
      <c r="BJ443" s="34"/>
      <c r="BK443" s="34" t="s">
        <v>50</v>
      </c>
      <c r="BL443" s="34" t="s">
        <v>167</v>
      </c>
      <c r="BM443" s="34" t="s">
        <v>166</v>
      </c>
      <c r="BN443" s="34">
        <v>44281.295124837961</v>
      </c>
      <c r="BO443" s="34"/>
      <c r="BP443" s="34"/>
      <c r="BQ443" s="34"/>
      <c r="BR443" s="34" t="s">
        <v>165</v>
      </c>
      <c r="BS443" s="34">
        <v>4.0325202112685701E+18</v>
      </c>
      <c r="BT443" s="34" t="s">
        <v>164</v>
      </c>
      <c r="BU443" s="34" t="s">
        <v>1742</v>
      </c>
      <c r="BV443" s="34">
        <v>2020</v>
      </c>
      <c r="BW443" s="34" t="s">
        <v>163</v>
      </c>
      <c r="BX443" s="34"/>
      <c r="BY443" s="34">
        <v>4.0326202112688502E+18</v>
      </c>
      <c r="BZ443" s="34" t="s">
        <v>1743</v>
      </c>
      <c r="CA443" s="34" t="s">
        <v>161</v>
      </c>
    </row>
    <row r="444" spans="1:79" x14ac:dyDescent="0.25">
      <c r="A444" s="34" t="s">
        <v>1118</v>
      </c>
      <c r="B444" s="34" t="s">
        <v>1676</v>
      </c>
      <c r="C444" s="34">
        <v>2020</v>
      </c>
      <c r="D444" s="34" t="s">
        <v>706</v>
      </c>
      <c r="E444" s="34">
        <v>2.0210324944208198E+17</v>
      </c>
      <c r="F444" s="34" t="s">
        <v>182</v>
      </c>
      <c r="G444" s="34">
        <v>29571053</v>
      </c>
      <c r="H444" s="34">
        <v>1506190</v>
      </c>
      <c r="I444" s="34"/>
      <c r="J444" s="34" t="s">
        <v>180</v>
      </c>
      <c r="K444" s="34" t="s">
        <v>179</v>
      </c>
      <c r="L444" s="34"/>
      <c r="M444" s="34"/>
      <c r="N444" s="34" t="s">
        <v>905</v>
      </c>
      <c r="O444" s="34" t="s">
        <v>26</v>
      </c>
      <c r="P444" s="34"/>
      <c r="Q444" s="34" t="s">
        <v>296</v>
      </c>
      <c r="R444" s="34" t="s">
        <v>906</v>
      </c>
      <c r="S444" s="34"/>
      <c r="T444" s="34" t="s">
        <v>907</v>
      </c>
      <c r="U444" s="34"/>
      <c r="V444" s="34" t="s">
        <v>908</v>
      </c>
      <c r="W444" s="34"/>
      <c r="X444" s="34" t="s">
        <v>909</v>
      </c>
      <c r="Y444" s="34" t="s">
        <v>47</v>
      </c>
      <c r="Z444" s="34">
        <v>21421229</v>
      </c>
      <c r="AA444" s="34" t="s">
        <v>1028</v>
      </c>
      <c r="AB444" s="34" t="s">
        <v>393</v>
      </c>
      <c r="AC444" s="34"/>
      <c r="AD444" s="34" t="s">
        <v>345</v>
      </c>
      <c r="AE444" s="34" t="s">
        <v>344</v>
      </c>
      <c r="AF444" s="34"/>
      <c r="AG444" s="34"/>
      <c r="AH444" s="34"/>
      <c r="AI444" s="34">
        <v>43968</v>
      </c>
      <c r="AJ444" s="34">
        <v>100</v>
      </c>
      <c r="AK444" s="34">
        <v>425</v>
      </c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 t="s">
        <v>28</v>
      </c>
      <c r="BH444" s="34"/>
      <c r="BI444" s="34" t="s">
        <v>168</v>
      </c>
      <c r="BJ444" s="34"/>
      <c r="BK444" s="34" t="s">
        <v>50</v>
      </c>
      <c r="BL444" s="34" t="s">
        <v>167</v>
      </c>
      <c r="BM444" s="34" t="s">
        <v>166</v>
      </c>
      <c r="BN444" s="34">
        <v>44281.295124837961</v>
      </c>
      <c r="BO444" s="34"/>
      <c r="BP444" s="34"/>
      <c r="BQ444" s="34"/>
      <c r="BR444" s="34" t="s">
        <v>165</v>
      </c>
      <c r="BS444" s="34">
        <v>4.0325202112685701E+18</v>
      </c>
      <c r="BT444" s="34" t="s">
        <v>164</v>
      </c>
      <c r="BU444" s="34" t="s">
        <v>1744</v>
      </c>
      <c r="BV444" s="34">
        <v>2020</v>
      </c>
      <c r="BW444" s="34" t="s">
        <v>163</v>
      </c>
      <c r="BX444" s="34"/>
      <c r="BY444" s="34">
        <v>4.0326202112688502E+18</v>
      </c>
      <c r="BZ444" s="34" t="s">
        <v>1745</v>
      </c>
      <c r="CA444" s="34" t="s">
        <v>161</v>
      </c>
    </row>
    <row r="445" spans="1:79" x14ac:dyDescent="0.25">
      <c r="A445" s="34" t="s">
        <v>1118</v>
      </c>
      <c r="B445" s="34" t="s">
        <v>1676</v>
      </c>
      <c r="C445" s="34">
        <v>2020</v>
      </c>
      <c r="D445" s="34" t="s">
        <v>451</v>
      </c>
      <c r="E445" s="34">
        <v>2.0210329944235101E+17</v>
      </c>
      <c r="F445" s="34" t="s">
        <v>182</v>
      </c>
      <c r="G445" s="34">
        <v>30311195</v>
      </c>
      <c r="H445" s="34">
        <v>1506572</v>
      </c>
      <c r="I445" s="34"/>
      <c r="J445" s="34" t="s">
        <v>180</v>
      </c>
      <c r="K445" s="34" t="s">
        <v>179</v>
      </c>
      <c r="L445" s="34"/>
      <c r="M445" s="34"/>
      <c r="N445" s="34" t="s">
        <v>905</v>
      </c>
      <c r="O445" s="34" t="s">
        <v>26</v>
      </c>
      <c r="P445" s="34"/>
      <c r="Q445" s="34" t="s">
        <v>296</v>
      </c>
      <c r="R445" s="34" t="s">
        <v>906</v>
      </c>
      <c r="S445" s="34"/>
      <c r="T445" s="34" t="s">
        <v>907</v>
      </c>
      <c r="U445" s="34"/>
      <c r="V445" s="34" t="s">
        <v>908</v>
      </c>
      <c r="W445" s="34"/>
      <c r="X445" s="34" t="s">
        <v>909</v>
      </c>
      <c r="Y445" s="34" t="s">
        <v>47</v>
      </c>
      <c r="Z445" s="34">
        <v>21421229</v>
      </c>
      <c r="AA445" s="34" t="s">
        <v>1028</v>
      </c>
      <c r="AB445" s="34" t="s">
        <v>393</v>
      </c>
      <c r="AC445" s="34"/>
      <c r="AD445" s="34" t="s">
        <v>345</v>
      </c>
      <c r="AE445" s="34" t="s">
        <v>344</v>
      </c>
      <c r="AF445" s="34"/>
      <c r="AG445" s="34"/>
      <c r="AH445" s="34"/>
      <c r="AI445" s="34">
        <v>44027</v>
      </c>
      <c r="AJ445" s="34">
        <v>100</v>
      </c>
      <c r="AK445" s="34">
        <v>675</v>
      </c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 t="s">
        <v>28</v>
      </c>
      <c r="BH445" s="34"/>
      <c r="BI445" s="34" t="s">
        <v>168</v>
      </c>
      <c r="BJ445" s="34"/>
      <c r="BK445" s="34" t="s">
        <v>50</v>
      </c>
      <c r="BL445" s="34" t="s">
        <v>167</v>
      </c>
      <c r="BM445" s="34" t="s">
        <v>166</v>
      </c>
      <c r="BN445" s="34">
        <v>44287.23037099537</v>
      </c>
      <c r="BO445" s="34"/>
      <c r="BP445" s="34" t="s">
        <v>1746</v>
      </c>
      <c r="BQ445" s="34" t="s">
        <v>419</v>
      </c>
      <c r="BR445" s="34" t="s">
        <v>165</v>
      </c>
      <c r="BS445" s="34">
        <v>4.0330202112703201E+18</v>
      </c>
      <c r="BT445" s="34" t="s">
        <v>164</v>
      </c>
      <c r="BU445" s="34" t="s">
        <v>1740</v>
      </c>
      <c r="BV445" s="34">
        <v>2020</v>
      </c>
      <c r="BW445" s="34" t="s">
        <v>163</v>
      </c>
      <c r="BX445" s="34"/>
      <c r="BY445" s="34">
        <v>4.0401202112719601E+18</v>
      </c>
      <c r="BZ445" s="34" t="s">
        <v>1747</v>
      </c>
      <c r="CA445" s="34" t="s">
        <v>161</v>
      </c>
    </row>
    <row r="446" spans="1:79" x14ac:dyDescent="0.25">
      <c r="A446" s="34" t="s">
        <v>1118</v>
      </c>
      <c r="B446" s="34" t="s">
        <v>1676</v>
      </c>
      <c r="C446" s="34">
        <v>2020</v>
      </c>
      <c r="D446" s="34" t="s">
        <v>553</v>
      </c>
      <c r="E446" s="34">
        <v>2.0210329944230202E+17</v>
      </c>
      <c r="F446" s="34" t="s">
        <v>182</v>
      </c>
      <c r="G446" s="34">
        <v>29817985</v>
      </c>
      <c r="H446" s="34">
        <v>1506566</v>
      </c>
      <c r="I446" s="34"/>
      <c r="J446" s="34" t="s">
        <v>180</v>
      </c>
      <c r="K446" s="34" t="s">
        <v>179</v>
      </c>
      <c r="L446" s="34"/>
      <c r="M446" s="34"/>
      <c r="N446" s="34" t="s">
        <v>905</v>
      </c>
      <c r="O446" s="34" t="s">
        <v>26</v>
      </c>
      <c r="P446" s="34"/>
      <c r="Q446" s="34" t="s">
        <v>296</v>
      </c>
      <c r="R446" s="34" t="s">
        <v>906</v>
      </c>
      <c r="S446" s="34"/>
      <c r="T446" s="34" t="s">
        <v>907</v>
      </c>
      <c r="U446" s="34"/>
      <c r="V446" s="34" t="s">
        <v>908</v>
      </c>
      <c r="W446" s="34"/>
      <c r="X446" s="34" t="s">
        <v>909</v>
      </c>
      <c r="Y446" s="34" t="s">
        <v>47</v>
      </c>
      <c r="Z446" s="34">
        <v>21421229</v>
      </c>
      <c r="AA446" s="34" t="s">
        <v>1028</v>
      </c>
      <c r="AB446" s="34" t="s">
        <v>393</v>
      </c>
      <c r="AC446" s="34"/>
      <c r="AD446" s="34" t="s">
        <v>345</v>
      </c>
      <c r="AE446" s="34" t="s">
        <v>344</v>
      </c>
      <c r="AF446" s="34"/>
      <c r="AG446" s="34"/>
      <c r="AH446" s="34"/>
      <c r="AI446" s="34">
        <v>43989</v>
      </c>
      <c r="AJ446" s="34">
        <v>25</v>
      </c>
      <c r="AK446" s="34">
        <v>450</v>
      </c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 t="s">
        <v>28</v>
      </c>
      <c r="BH446" s="34"/>
      <c r="BI446" s="34" t="s">
        <v>168</v>
      </c>
      <c r="BJ446" s="34"/>
      <c r="BK446" s="34" t="s">
        <v>50</v>
      </c>
      <c r="BL446" s="34" t="s">
        <v>167</v>
      </c>
      <c r="BM446" s="34" t="s">
        <v>166</v>
      </c>
      <c r="BN446" s="34">
        <v>44287.240669282408</v>
      </c>
      <c r="BO446" s="34"/>
      <c r="BP446" s="34" t="s">
        <v>1748</v>
      </c>
      <c r="BQ446" s="34" t="s">
        <v>419</v>
      </c>
      <c r="BR446" s="34" t="s">
        <v>165</v>
      </c>
      <c r="BS446" s="34">
        <v>4.0330202112703201E+18</v>
      </c>
      <c r="BT446" s="34" t="s">
        <v>164</v>
      </c>
      <c r="BU446" s="34" t="s">
        <v>1740</v>
      </c>
      <c r="BV446" s="34">
        <v>2020</v>
      </c>
      <c r="BW446" s="34" t="s">
        <v>163</v>
      </c>
      <c r="BX446" s="34"/>
      <c r="BY446" s="34">
        <v>4.0401202112717199E+18</v>
      </c>
      <c r="BZ446" s="34" t="s">
        <v>1749</v>
      </c>
      <c r="CA446" s="34" t="s">
        <v>161</v>
      </c>
    </row>
    <row r="447" spans="1:79" x14ac:dyDescent="0.25">
      <c r="A447" s="34" t="s">
        <v>1118</v>
      </c>
      <c r="B447" s="34" t="s">
        <v>1676</v>
      </c>
      <c r="C447" s="34">
        <v>2020</v>
      </c>
      <c r="D447" s="34" t="s">
        <v>553</v>
      </c>
      <c r="E447" s="34">
        <v>2.0210329944230202E+17</v>
      </c>
      <c r="F447" s="34" t="s">
        <v>182</v>
      </c>
      <c r="G447" s="34">
        <v>29869444</v>
      </c>
      <c r="H447" s="34">
        <v>1506566</v>
      </c>
      <c r="I447" s="34"/>
      <c r="J447" s="34" t="s">
        <v>180</v>
      </c>
      <c r="K447" s="34" t="s">
        <v>179</v>
      </c>
      <c r="L447" s="34"/>
      <c r="M447" s="34"/>
      <c r="N447" s="34" t="s">
        <v>905</v>
      </c>
      <c r="O447" s="34" t="s">
        <v>26</v>
      </c>
      <c r="P447" s="34"/>
      <c r="Q447" s="34" t="s">
        <v>296</v>
      </c>
      <c r="R447" s="34" t="s">
        <v>906</v>
      </c>
      <c r="S447" s="34"/>
      <c r="T447" s="34" t="s">
        <v>907</v>
      </c>
      <c r="U447" s="34"/>
      <c r="V447" s="34" t="s">
        <v>908</v>
      </c>
      <c r="W447" s="34"/>
      <c r="X447" s="34" t="s">
        <v>909</v>
      </c>
      <c r="Y447" s="34" t="s">
        <v>47</v>
      </c>
      <c r="Z447" s="34">
        <v>21421229</v>
      </c>
      <c r="AA447" s="34" t="s">
        <v>1028</v>
      </c>
      <c r="AB447" s="34" t="s">
        <v>393</v>
      </c>
      <c r="AC447" s="34"/>
      <c r="AD447" s="34" t="s">
        <v>345</v>
      </c>
      <c r="AE447" s="34" t="s">
        <v>344</v>
      </c>
      <c r="AF447" s="34"/>
      <c r="AG447" s="34"/>
      <c r="AH447" s="34"/>
      <c r="AI447" s="34">
        <v>43997</v>
      </c>
      <c r="AJ447" s="34">
        <v>100</v>
      </c>
      <c r="AK447" s="34">
        <v>550</v>
      </c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 t="s">
        <v>28</v>
      </c>
      <c r="BH447" s="34"/>
      <c r="BI447" s="34" t="s">
        <v>168</v>
      </c>
      <c r="BJ447" s="34"/>
      <c r="BK447" s="34" t="s">
        <v>50</v>
      </c>
      <c r="BL447" s="34" t="s">
        <v>167</v>
      </c>
      <c r="BM447" s="34" t="s">
        <v>166</v>
      </c>
      <c r="BN447" s="34">
        <v>44287.240669282408</v>
      </c>
      <c r="BO447" s="34"/>
      <c r="BP447" s="34" t="s">
        <v>1750</v>
      </c>
      <c r="BQ447" s="34" t="s">
        <v>419</v>
      </c>
      <c r="BR447" s="34" t="s">
        <v>165</v>
      </c>
      <c r="BS447" s="34">
        <v>4.0330202112703201E+18</v>
      </c>
      <c r="BT447" s="34" t="s">
        <v>164</v>
      </c>
      <c r="BU447" s="34" t="s">
        <v>1740</v>
      </c>
      <c r="BV447" s="34">
        <v>2020</v>
      </c>
      <c r="BW447" s="34" t="s">
        <v>163</v>
      </c>
      <c r="BX447" s="34"/>
      <c r="BY447" s="34">
        <v>4.0401202112717199E+18</v>
      </c>
      <c r="BZ447" s="34" t="s">
        <v>1751</v>
      </c>
      <c r="CA447" s="34" t="s">
        <v>161</v>
      </c>
    </row>
    <row r="448" spans="1:79" x14ac:dyDescent="0.25">
      <c r="A448" s="34" t="s">
        <v>1118</v>
      </c>
      <c r="B448" s="34" t="s">
        <v>1676</v>
      </c>
      <c r="C448" s="34">
        <v>2020</v>
      </c>
      <c r="D448" s="34" t="s">
        <v>373</v>
      </c>
      <c r="E448" s="34">
        <v>2.02103299442604E+17</v>
      </c>
      <c r="F448" s="34" t="s">
        <v>182</v>
      </c>
      <c r="G448" s="34">
        <v>30647019</v>
      </c>
      <c r="H448" s="34">
        <v>1506587</v>
      </c>
      <c r="I448" s="34"/>
      <c r="J448" s="34" t="s">
        <v>180</v>
      </c>
      <c r="K448" s="34" t="s">
        <v>179</v>
      </c>
      <c r="L448" s="34"/>
      <c r="M448" s="34"/>
      <c r="N448" s="34" t="s">
        <v>905</v>
      </c>
      <c r="O448" s="34" t="s">
        <v>26</v>
      </c>
      <c r="P448" s="34"/>
      <c r="Q448" s="34" t="s">
        <v>296</v>
      </c>
      <c r="R448" s="34" t="s">
        <v>906</v>
      </c>
      <c r="S448" s="34"/>
      <c r="T448" s="34" t="s">
        <v>907</v>
      </c>
      <c r="U448" s="34"/>
      <c r="V448" s="34" t="s">
        <v>908</v>
      </c>
      <c r="W448" s="34"/>
      <c r="X448" s="34" t="s">
        <v>909</v>
      </c>
      <c r="Y448" s="34" t="s">
        <v>47</v>
      </c>
      <c r="Z448" s="34">
        <v>21421229</v>
      </c>
      <c r="AA448" s="34" t="s">
        <v>1028</v>
      </c>
      <c r="AB448" s="34" t="s">
        <v>393</v>
      </c>
      <c r="AC448" s="34"/>
      <c r="AD448" s="34" t="s">
        <v>345</v>
      </c>
      <c r="AE448" s="34" t="s">
        <v>344</v>
      </c>
      <c r="AF448" s="34"/>
      <c r="AG448" s="34"/>
      <c r="AH448" s="34"/>
      <c r="AI448" s="34">
        <v>44048</v>
      </c>
      <c r="AJ448" s="34">
        <v>25</v>
      </c>
      <c r="AK448" s="34">
        <v>700</v>
      </c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 t="s">
        <v>28</v>
      </c>
      <c r="BH448" s="34"/>
      <c r="BI448" s="34" t="s">
        <v>168</v>
      </c>
      <c r="BJ448" s="34"/>
      <c r="BK448" s="34" t="s">
        <v>50</v>
      </c>
      <c r="BL448" s="34" t="s">
        <v>167</v>
      </c>
      <c r="BM448" s="34" t="s">
        <v>166</v>
      </c>
      <c r="BN448" s="34">
        <v>44287.24783</v>
      </c>
      <c r="BO448" s="34"/>
      <c r="BP448" s="34" t="s">
        <v>1752</v>
      </c>
      <c r="BQ448" s="34" t="s">
        <v>419</v>
      </c>
      <c r="BR448" s="34" t="s">
        <v>165</v>
      </c>
      <c r="BS448" s="34">
        <v>4.0330202112703201E+18</v>
      </c>
      <c r="BT448" s="34" t="s">
        <v>164</v>
      </c>
      <c r="BU448" s="34" t="s">
        <v>1740</v>
      </c>
      <c r="BV448" s="34">
        <v>2020</v>
      </c>
      <c r="BW448" s="34" t="s">
        <v>163</v>
      </c>
      <c r="BX448" s="34"/>
      <c r="BY448" s="34">
        <v>4.04012021127341E+18</v>
      </c>
      <c r="BZ448" s="34" t="s">
        <v>1753</v>
      </c>
      <c r="CA448" s="34" t="s">
        <v>161</v>
      </c>
    </row>
    <row r="449" spans="1:79" x14ac:dyDescent="0.25">
      <c r="A449" s="34" t="s">
        <v>1118</v>
      </c>
      <c r="B449" s="34" t="s">
        <v>1676</v>
      </c>
      <c r="C449" s="34">
        <v>2020</v>
      </c>
      <c r="D449" s="34" t="s">
        <v>373</v>
      </c>
      <c r="E449" s="34">
        <v>2.02103299442604E+17</v>
      </c>
      <c r="F449" s="34" t="s">
        <v>182</v>
      </c>
      <c r="G449" s="34">
        <v>30829031</v>
      </c>
      <c r="H449" s="34">
        <v>1506587</v>
      </c>
      <c r="I449" s="34"/>
      <c r="J449" s="34" t="s">
        <v>180</v>
      </c>
      <c r="K449" s="34" t="s">
        <v>179</v>
      </c>
      <c r="L449" s="34"/>
      <c r="M449" s="34"/>
      <c r="N449" s="34" t="s">
        <v>905</v>
      </c>
      <c r="O449" s="34" t="s">
        <v>26</v>
      </c>
      <c r="P449" s="34"/>
      <c r="Q449" s="34" t="s">
        <v>296</v>
      </c>
      <c r="R449" s="34" t="s">
        <v>906</v>
      </c>
      <c r="S449" s="34"/>
      <c r="T449" s="34" t="s">
        <v>907</v>
      </c>
      <c r="U449" s="34"/>
      <c r="V449" s="34" t="s">
        <v>908</v>
      </c>
      <c r="W449" s="34"/>
      <c r="X449" s="34" t="s">
        <v>909</v>
      </c>
      <c r="Y449" s="34" t="s">
        <v>47</v>
      </c>
      <c r="Z449" s="34">
        <v>21421229</v>
      </c>
      <c r="AA449" s="34" t="s">
        <v>1028</v>
      </c>
      <c r="AB449" s="34" t="s">
        <v>393</v>
      </c>
      <c r="AC449" s="34"/>
      <c r="AD449" s="34" t="s">
        <v>345</v>
      </c>
      <c r="AE449" s="34" t="s">
        <v>344</v>
      </c>
      <c r="AF449" s="34"/>
      <c r="AG449" s="34"/>
      <c r="AH449" s="34"/>
      <c r="AI449" s="34">
        <v>44059</v>
      </c>
      <c r="AJ449" s="34">
        <v>100</v>
      </c>
      <c r="AK449" s="34">
        <v>800</v>
      </c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 t="s">
        <v>28</v>
      </c>
      <c r="BH449" s="34"/>
      <c r="BI449" s="34" t="s">
        <v>168</v>
      </c>
      <c r="BJ449" s="34"/>
      <c r="BK449" s="34" t="s">
        <v>50</v>
      </c>
      <c r="BL449" s="34" t="s">
        <v>167</v>
      </c>
      <c r="BM449" s="34" t="s">
        <v>166</v>
      </c>
      <c r="BN449" s="34">
        <v>44287.24783</v>
      </c>
      <c r="BO449" s="34"/>
      <c r="BP449" s="34" t="s">
        <v>1754</v>
      </c>
      <c r="BQ449" s="34" t="s">
        <v>419</v>
      </c>
      <c r="BR449" s="34" t="s">
        <v>165</v>
      </c>
      <c r="BS449" s="34">
        <v>4.0330202112703201E+18</v>
      </c>
      <c r="BT449" s="34" t="s">
        <v>164</v>
      </c>
      <c r="BU449" s="34" t="s">
        <v>1740</v>
      </c>
      <c r="BV449" s="34">
        <v>2020</v>
      </c>
      <c r="BW449" s="34" t="s">
        <v>163</v>
      </c>
      <c r="BX449" s="34"/>
      <c r="BY449" s="34">
        <v>4.04012021127341E+18</v>
      </c>
      <c r="BZ449" s="34" t="s">
        <v>1755</v>
      </c>
      <c r="CA449" s="34" t="s">
        <v>161</v>
      </c>
    </row>
    <row r="451" spans="1:79" x14ac:dyDescent="0.25">
      <c r="V451" t="str">
        <f>+V449&amp;X449&amp;Y449&amp;Z449</f>
        <v>75 CAMBRIDGE PKWYCAMBRIDGEMA21421229</v>
      </c>
    </row>
    <row r="454" spans="1:79" x14ac:dyDescent="0.25">
      <c r="A454" s="35" t="s">
        <v>160</v>
      </c>
      <c r="B454" t="s">
        <v>159</v>
      </c>
    </row>
    <row r="455" spans="1:79" x14ac:dyDescent="0.25">
      <c r="A455" s="36" t="s">
        <v>287</v>
      </c>
      <c r="B455" s="2">
        <v>10027.919999999998</v>
      </c>
      <c r="C455" t="s">
        <v>158</v>
      </c>
    </row>
    <row r="456" spans="1:79" x14ac:dyDescent="0.25">
      <c r="A456" s="36" t="s">
        <v>1062</v>
      </c>
      <c r="B456" s="2">
        <v>306</v>
      </c>
      <c r="C456" t="s">
        <v>158</v>
      </c>
    </row>
    <row r="457" spans="1:79" x14ac:dyDescent="0.25">
      <c r="A457" s="36" t="s">
        <v>1434</v>
      </c>
      <c r="B457" s="2">
        <v>400</v>
      </c>
      <c r="C457" t="s">
        <v>158</v>
      </c>
    </row>
    <row r="458" spans="1:79" x14ac:dyDescent="0.25">
      <c r="A458" s="36" t="s">
        <v>1676</v>
      </c>
      <c r="B458" s="2">
        <v>600</v>
      </c>
      <c r="C458" t="s">
        <v>158</v>
      </c>
    </row>
    <row r="459" spans="1:79" x14ac:dyDescent="0.25">
      <c r="A459" s="36" t="s">
        <v>1499</v>
      </c>
      <c r="B459" s="2">
        <v>200</v>
      </c>
      <c r="C459" t="s">
        <v>158</v>
      </c>
    </row>
    <row r="460" spans="1:79" x14ac:dyDescent="0.25">
      <c r="A460" s="36" t="s">
        <v>930</v>
      </c>
      <c r="B460" s="2">
        <v>75</v>
      </c>
      <c r="C460" t="s">
        <v>158</v>
      </c>
    </row>
    <row r="461" spans="1:79" x14ac:dyDescent="0.25">
      <c r="A461" s="36" t="s">
        <v>940</v>
      </c>
      <c r="B461" s="2">
        <v>19.189999999999998</v>
      </c>
      <c r="C461" t="s">
        <v>158</v>
      </c>
    </row>
    <row r="462" spans="1:79" x14ac:dyDescent="0.25">
      <c r="A462" s="36" t="s">
        <v>1641</v>
      </c>
      <c r="B462" s="2">
        <v>187</v>
      </c>
      <c r="C462" t="s">
        <v>158</v>
      </c>
    </row>
    <row r="463" spans="1:79" x14ac:dyDescent="0.25">
      <c r="A463" s="36" t="s">
        <v>1492</v>
      </c>
      <c r="B463" s="2">
        <v>412.99</v>
      </c>
      <c r="C463" t="s">
        <v>158</v>
      </c>
    </row>
    <row r="464" spans="1:79" x14ac:dyDescent="0.25">
      <c r="A464" s="36" t="s">
        <v>1058</v>
      </c>
      <c r="B464" s="2">
        <v>500</v>
      </c>
      <c r="C464" t="s">
        <v>158</v>
      </c>
    </row>
    <row r="465" spans="1:3" x14ac:dyDescent="0.25">
      <c r="A465" s="36" t="s">
        <v>1026</v>
      </c>
      <c r="B465" s="2">
        <v>1552.5</v>
      </c>
      <c r="C465" t="s">
        <v>158</v>
      </c>
    </row>
    <row r="466" spans="1:3" x14ac:dyDescent="0.25">
      <c r="A466" s="36" t="s">
        <v>1610</v>
      </c>
      <c r="B466" s="2">
        <v>500</v>
      </c>
      <c r="C466" t="s">
        <v>158</v>
      </c>
    </row>
    <row r="467" spans="1:3" x14ac:dyDescent="0.25">
      <c r="A467" s="36" t="s">
        <v>1524</v>
      </c>
      <c r="B467" s="2">
        <v>70</v>
      </c>
      <c r="C467" t="s">
        <v>158</v>
      </c>
    </row>
    <row r="468" spans="1:3" x14ac:dyDescent="0.25">
      <c r="A468" s="36" t="s">
        <v>1615</v>
      </c>
      <c r="B468" s="2">
        <v>1.18</v>
      </c>
      <c r="C468" t="s">
        <v>158</v>
      </c>
    </row>
    <row r="469" spans="1:3" x14ac:dyDescent="0.25">
      <c r="A469" s="36" t="s">
        <v>1669</v>
      </c>
      <c r="B469" s="2">
        <v>28</v>
      </c>
      <c r="C469" t="s">
        <v>158</v>
      </c>
    </row>
    <row r="470" spans="1:3" x14ac:dyDescent="0.25">
      <c r="A470" s="36" t="s">
        <v>904</v>
      </c>
      <c r="B470" s="2">
        <v>1040</v>
      </c>
      <c r="C470" t="s">
        <v>158</v>
      </c>
    </row>
    <row r="471" spans="1:3" x14ac:dyDescent="0.25">
      <c r="A471" s="36" t="s">
        <v>154</v>
      </c>
      <c r="B471" s="2">
        <v>15919.779999999999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254"/>
  <sheetViews>
    <sheetView topLeftCell="Q160" workbookViewId="0">
      <selection activeCell="V235" sqref="V235"/>
    </sheetView>
  </sheetViews>
  <sheetFormatPr defaultRowHeight="12.75" x14ac:dyDescent="0.2"/>
  <cols>
    <col min="1" max="1" width="14.7109375" style="25" customWidth="1"/>
    <col min="2" max="2" width="30.42578125" style="25" bestFit="1" customWidth="1"/>
    <col min="3" max="16384" width="9.140625" style="25"/>
  </cols>
  <sheetData>
    <row r="1" spans="1:79" x14ac:dyDescent="0.2">
      <c r="A1" s="25" t="s">
        <v>275</v>
      </c>
      <c r="B1" s="25" t="s">
        <v>268</v>
      </c>
      <c r="C1" s="25" t="s">
        <v>274</v>
      </c>
      <c r="D1" s="25" t="s">
        <v>273</v>
      </c>
      <c r="E1" s="25" t="s">
        <v>272</v>
      </c>
      <c r="F1" s="25" t="s">
        <v>271</v>
      </c>
      <c r="G1" s="25" t="s">
        <v>270</v>
      </c>
      <c r="H1" s="25" t="s">
        <v>269</v>
      </c>
      <c r="I1" s="25" t="s">
        <v>268</v>
      </c>
      <c r="J1" s="25" t="s">
        <v>267</v>
      </c>
      <c r="K1" s="25" t="s">
        <v>266</v>
      </c>
      <c r="L1" s="25" t="s">
        <v>265</v>
      </c>
      <c r="M1" s="25" t="s">
        <v>264</v>
      </c>
      <c r="N1" s="25" t="s">
        <v>263</v>
      </c>
      <c r="O1" s="25" t="s">
        <v>262</v>
      </c>
      <c r="P1" s="25" t="s">
        <v>261</v>
      </c>
      <c r="Q1" s="25" t="s">
        <v>260</v>
      </c>
      <c r="R1" s="25" t="s">
        <v>259</v>
      </c>
      <c r="S1" s="25" t="s">
        <v>258</v>
      </c>
      <c r="T1" s="25" t="s">
        <v>257</v>
      </c>
      <c r="U1" s="25" t="s">
        <v>256</v>
      </c>
      <c r="V1" s="25" t="s">
        <v>255</v>
      </c>
      <c r="W1" s="25" t="s">
        <v>254</v>
      </c>
      <c r="X1" s="25" t="s">
        <v>253</v>
      </c>
      <c r="Y1" s="25" t="s">
        <v>252</v>
      </c>
      <c r="Z1" s="25" t="s">
        <v>251</v>
      </c>
      <c r="AA1" s="25" t="s">
        <v>250</v>
      </c>
      <c r="AB1" s="25" t="s">
        <v>249</v>
      </c>
      <c r="AC1" s="25" t="s">
        <v>248</v>
      </c>
      <c r="AD1" s="25" t="s">
        <v>247</v>
      </c>
      <c r="AE1" s="25" t="s">
        <v>246</v>
      </c>
      <c r="AF1" s="25" t="s">
        <v>245</v>
      </c>
      <c r="AG1" s="25" t="s">
        <v>244</v>
      </c>
      <c r="AH1" s="25" t="s">
        <v>243</v>
      </c>
      <c r="AI1" s="25" t="s">
        <v>242</v>
      </c>
      <c r="AJ1" s="25" t="s">
        <v>241</v>
      </c>
      <c r="AK1" s="25" t="s">
        <v>240</v>
      </c>
      <c r="AL1" s="25" t="s">
        <v>239</v>
      </c>
      <c r="AM1" s="25" t="s">
        <v>238</v>
      </c>
      <c r="AN1" s="25" t="s">
        <v>237</v>
      </c>
      <c r="AO1" s="25" t="s">
        <v>236</v>
      </c>
      <c r="AP1" s="25" t="s">
        <v>235</v>
      </c>
      <c r="AQ1" s="25" t="s">
        <v>234</v>
      </c>
      <c r="AR1" s="25" t="s">
        <v>233</v>
      </c>
      <c r="AS1" s="25" t="s">
        <v>232</v>
      </c>
      <c r="AT1" s="25" t="s">
        <v>231</v>
      </c>
      <c r="AU1" s="25" t="s">
        <v>230</v>
      </c>
      <c r="AV1" s="25" t="s">
        <v>229</v>
      </c>
      <c r="AW1" s="25" t="s">
        <v>228</v>
      </c>
      <c r="AX1" s="25" t="s">
        <v>227</v>
      </c>
      <c r="AY1" s="25" t="s">
        <v>226</v>
      </c>
      <c r="AZ1" s="25" t="s">
        <v>225</v>
      </c>
      <c r="BA1" s="25" t="s">
        <v>224</v>
      </c>
      <c r="BB1" s="25" t="s">
        <v>223</v>
      </c>
      <c r="BC1" s="25" t="s">
        <v>222</v>
      </c>
      <c r="BD1" s="25" t="s">
        <v>221</v>
      </c>
      <c r="BE1" s="25" t="s">
        <v>220</v>
      </c>
      <c r="BF1" s="25" t="s">
        <v>219</v>
      </c>
      <c r="BG1" s="25" t="s">
        <v>218</v>
      </c>
      <c r="BH1" s="25" t="s">
        <v>217</v>
      </c>
      <c r="BI1" s="25" t="s">
        <v>216</v>
      </c>
      <c r="BJ1" s="25" t="s">
        <v>215</v>
      </c>
      <c r="BK1" s="25" t="s">
        <v>214</v>
      </c>
      <c r="BL1" s="25" t="s">
        <v>213</v>
      </c>
      <c r="BM1" s="25" t="s">
        <v>212</v>
      </c>
      <c r="BN1" s="25" t="s">
        <v>211</v>
      </c>
      <c r="BO1" s="25" t="s">
        <v>210</v>
      </c>
      <c r="BP1" s="25" t="s">
        <v>209</v>
      </c>
      <c r="BQ1" s="25" t="s">
        <v>208</v>
      </c>
      <c r="BR1" s="25" t="s">
        <v>207</v>
      </c>
      <c r="BS1" s="25" t="s">
        <v>206</v>
      </c>
      <c r="BT1" s="25" t="s">
        <v>205</v>
      </c>
      <c r="BU1" s="25" t="s">
        <v>204</v>
      </c>
      <c r="BV1" s="25" t="s">
        <v>203</v>
      </c>
      <c r="BW1" s="25" t="s">
        <v>202</v>
      </c>
      <c r="BX1" s="25" t="s">
        <v>201</v>
      </c>
      <c r="BY1" s="25" t="s">
        <v>200</v>
      </c>
      <c r="BZ1" s="25" t="s">
        <v>199</v>
      </c>
      <c r="CA1" s="25" t="s">
        <v>198</v>
      </c>
    </row>
    <row r="2" spans="1:79" x14ac:dyDescent="0.2">
      <c r="A2" s="25" t="s">
        <v>838</v>
      </c>
      <c r="B2" s="25" t="s">
        <v>282</v>
      </c>
      <c r="C2" s="25">
        <v>2019</v>
      </c>
      <c r="D2" s="25" t="s">
        <v>793</v>
      </c>
      <c r="E2" s="25">
        <v>2.0190722915161798E+17</v>
      </c>
      <c r="F2" s="25" t="s">
        <v>182</v>
      </c>
      <c r="G2" s="25" t="s">
        <v>901</v>
      </c>
      <c r="H2" s="25">
        <v>1343292</v>
      </c>
      <c r="J2" s="25" t="s">
        <v>180</v>
      </c>
      <c r="K2" s="25" t="s">
        <v>179</v>
      </c>
      <c r="N2" s="25" t="s">
        <v>543</v>
      </c>
      <c r="O2" s="25" t="s">
        <v>66</v>
      </c>
      <c r="P2" s="25" t="s">
        <v>177</v>
      </c>
      <c r="Q2" s="25" t="s">
        <v>34</v>
      </c>
      <c r="R2" s="25" t="s">
        <v>295</v>
      </c>
      <c r="S2" s="25" t="s">
        <v>0</v>
      </c>
      <c r="T2" s="25" t="s">
        <v>294</v>
      </c>
      <c r="V2" s="25" t="s">
        <v>893</v>
      </c>
      <c r="W2" s="25" t="s">
        <v>541</v>
      </c>
      <c r="X2" s="25" t="s">
        <v>540</v>
      </c>
      <c r="Y2" s="25" t="s">
        <v>349</v>
      </c>
      <c r="Z2" s="25">
        <v>331314332</v>
      </c>
      <c r="AA2" s="25" t="s">
        <v>188</v>
      </c>
      <c r="AB2" s="25" t="s">
        <v>187</v>
      </c>
      <c r="AD2" s="25">
        <v>15</v>
      </c>
      <c r="AE2" s="25" t="s">
        <v>169</v>
      </c>
      <c r="AI2" s="31">
        <v>43482</v>
      </c>
      <c r="AJ2" s="25">
        <v>192.3</v>
      </c>
      <c r="AK2" s="25">
        <v>384.6</v>
      </c>
      <c r="BG2" s="25" t="s">
        <v>28</v>
      </c>
      <c r="BI2" s="25" t="s">
        <v>168</v>
      </c>
      <c r="BK2" s="25" t="s">
        <v>0</v>
      </c>
      <c r="BL2" s="25" t="s">
        <v>186</v>
      </c>
      <c r="BM2" s="25" t="s">
        <v>166</v>
      </c>
      <c r="BN2" s="30">
        <v>43670.107856249997</v>
      </c>
      <c r="BR2" s="25" t="s">
        <v>165</v>
      </c>
      <c r="BS2" s="25">
        <v>4.0722201916607401E+18</v>
      </c>
      <c r="BT2" s="25" t="s">
        <v>164</v>
      </c>
      <c r="BV2" s="25">
        <v>2020</v>
      </c>
      <c r="BW2" s="25" t="s">
        <v>163</v>
      </c>
      <c r="BY2" s="25">
        <v>4.0723201916608E+18</v>
      </c>
      <c r="BZ2" s="25" t="s">
        <v>900</v>
      </c>
      <c r="CA2" s="25" t="s">
        <v>161</v>
      </c>
    </row>
    <row r="3" spans="1:79" x14ac:dyDescent="0.2">
      <c r="A3" s="25" t="s">
        <v>838</v>
      </c>
      <c r="B3" s="25" t="s">
        <v>282</v>
      </c>
      <c r="C3" s="25">
        <v>2019</v>
      </c>
      <c r="D3" s="25" t="s">
        <v>197</v>
      </c>
      <c r="E3" s="25">
        <v>2.0190722915161798E+17</v>
      </c>
      <c r="F3" s="25" t="s">
        <v>182</v>
      </c>
      <c r="G3" s="25" t="s">
        <v>899</v>
      </c>
      <c r="H3" s="25">
        <v>1343297</v>
      </c>
      <c r="J3" s="25" t="s">
        <v>180</v>
      </c>
      <c r="K3" s="25" t="s">
        <v>179</v>
      </c>
      <c r="N3" s="25" t="s">
        <v>543</v>
      </c>
      <c r="O3" s="25" t="s">
        <v>66</v>
      </c>
      <c r="P3" s="25" t="s">
        <v>177</v>
      </c>
      <c r="Q3" s="25" t="s">
        <v>34</v>
      </c>
      <c r="R3" s="25" t="s">
        <v>295</v>
      </c>
      <c r="S3" s="25" t="s">
        <v>0</v>
      </c>
      <c r="T3" s="25" t="s">
        <v>294</v>
      </c>
      <c r="V3" s="25" t="s">
        <v>893</v>
      </c>
      <c r="W3" s="25" t="s">
        <v>541</v>
      </c>
      <c r="X3" s="25" t="s">
        <v>540</v>
      </c>
      <c r="Y3" s="25" t="s">
        <v>349</v>
      </c>
      <c r="Z3" s="25">
        <v>331314332</v>
      </c>
      <c r="AA3" s="25" t="s">
        <v>188</v>
      </c>
      <c r="AB3" s="25" t="s">
        <v>187</v>
      </c>
      <c r="AD3" s="25">
        <v>15</v>
      </c>
      <c r="AE3" s="25" t="s">
        <v>169</v>
      </c>
      <c r="AI3" s="31">
        <v>43497</v>
      </c>
      <c r="AJ3" s="25">
        <v>192.3</v>
      </c>
      <c r="AK3" s="25">
        <v>576.9</v>
      </c>
      <c r="BG3" s="25" t="s">
        <v>28</v>
      </c>
      <c r="BI3" s="25" t="s">
        <v>168</v>
      </c>
      <c r="BK3" s="25" t="s">
        <v>0</v>
      </c>
      <c r="BL3" s="25" t="s">
        <v>186</v>
      </c>
      <c r="BM3" s="25" t="s">
        <v>166</v>
      </c>
      <c r="BN3" s="30">
        <v>43670.107856273149</v>
      </c>
      <c r="BR3" s="25" t="s">
        <v>165</v>
      </c>
      <c r="BS3" s="25">
        <v>4.0723201916607898E+18</v>
      </c>
      <c r="BT3" s="25" t="s">
        <v>164</v>
      </c>
      <c r="BV3" s="25">
        <v>2020</v>
      </c>
      <c r="BW3" s="25" t="s">
        <v>163</v>
      </c>
      <c r="BY3" s="25">
        <v>4.0723201916608E+18</v>
      </c>
      <c r="BZ3" s="25" t="s">
        <v>898</v>
      </c>
      <c r="CA3" s="25" t="s">
        <v>161</v>
      </c>
    </row>
    <row r="4" spans="1:79" x14ac:dyDescent="0.2">
      <c r="A4" s="25" t="s">
        <v>838</v>
      </c>
      <c r="B4" s="25" t="s">
        <v>282</v>
      </c>
      <c r="C4" s="25">
        <v>2019</v>
      </c>
      <c r="D4" s="25" t="s">
        <v>197</v>
      </c>
      <c r="E4" s="25">
        <v>2.0190722915161798E+17</v>
      </c>
      <c r="F4" s="25" t="s">
        <v>182</v>
      </c>
      <c r="G4" s="25" t="s">
        <v>897</v>
      </c>
      <c r="H4" s="25">
        <v>1343297</v>
      </c>
      <c r="J4" s="25" t="s">
        <v>180</v>
      </c>
      <c r="K4" s="25" t="s">
        <v>179</v>
      </c>
      <c r="N4" s="25" t="s">
        <v>543</v>
      </c>
      <c r="O4" s="25" t="s">
        <v>66</v>
      </c>
      <c r="P4" s="25" t="s">
        <v>177</v>
      </c>
      <c r="Q4" s="25" t="s">
        <v>34</v>
      </c>
      <c r="R4" s="25" t="s">
        <v>295</v>
      </c>
      <c r="S4" s="25" t="s">
        <v>0</v>
      </c>
      <c r="T4" s="25" t="s">
        <v>294</v>
      </c>
      <c r="V4" s="25" t="s">
        <v>893</v>
      </c>
      <c r="W4" s="25" t="s">
        <v>541</v>
      </c>
      <c r="X4" s="25" t="s">
        <v>540</v>
      </c>
      <c r="Y4" s="25" t="s">
        <v>349</v>
      </c>
      <c r="Z4" s="25">
        <v>331314332</v>
      </c>
      <c r="AA4" s="25" t="s">
        <v>188</v>
      </c>
      <c r="AB4" s="25" t="s">
        <v>187</v>
      </c>
      <c r="AD4" s="25">
        <v>15</v>
      </c>
      <c r="AE4" s="25" t="s">
        <v>169</v>
      </c>
      <c r="AI4" s="31">
        <v>43511</v>
      </c>
      <c r="AJ4" s="25">
        <v>192.3</v>
      </c>
      <c r="AK4" s="25">
        <v>769.2</v>
      </c>
      <c r="BG4" s="25" t="s">
        <v>28</v>
      </c>
      <c r="BI4" s="25" t="s">
        <v>168</v>
      </c>
      <c r="BK4" s="25" t="s">
        <v>0</v>
      </c>
      <c r="BL4" s="25" t="s">
        <v>186</v>
      </c>
      <c r="BM4" s="25" t="s">
        <v>166</v>
      </c>
      <c r="BN4" s="30">
        <v>43670.107856273149</v>
      </c>
      <c r="BR4" s="25" t="s">
        <v>165</v>
      </c>
      <c r="BS4" s="25">
        <v>4.0723201916607898E+18</v>
      </c>
      <c r="BT4" s="25" t="s">
        <v>164</v>
      </c>
      <c r="BV4" s="25">
        <v>2020</v>
      </c>
      <c r="BW4" s="25" t="s">
        <v>163</v>
      </c>
      <c r="BY4" s="25">
        <v>4.0723201916608E+18</v>
      </c>
      <c r="BZ4" s="25" t="s">
        <v>896</v>
      </c>
      <c r="CA4" s="25" t="s">
        <v>161</v>
      </c>
    </row>
    <row r="5" spans="1:79" x14ac:dyDescent="0.2">
      <c r="A5" s="25" t="s">
        <v>838</v>
      </c>
      <c r="B5" s="25" t="s">
        <v>282</v>
      </c>
      <c r="C5" s="25">
        <v>2019</v>
      </c>
      <c r="D5" s="25" t="s">
        <v>183</v>
      </c>
      <c r="E5" s="25">
        <v>2.0190722915161798E+17</v>
      </c>
      <c r="F5" s="25" t="s">
        <v>182</v>
      </c>
      <c r="G5" s="25" t="s">
        <v>895</v>
      </c>
      <c r="H5" s="25">
        <v>1343298</v>
      </c>
      <c r="J5" s="25" t="s">
        <v>180</v>
      </c>
      <c r="K5" s="25" t="s">
        <v>179</v>
      </c>
      <c r="N5" s="25" t="s">
        <v>543</v>
      </c>
      <c r="O5" s="25" t="s">
        <v>66</v>
      </c>
      <c r="P5" s="25" t="s">
        <v>177</v>
      </c>
      <c r="Q5" s="25" t="s">
        <v>34</v>
      </c>
      <c r="R5" s="25" t="s">
        <v>295</v>
      </c>
      <c r="S5" s="25" t="s">
        <v>0</v>
      </c>
      <c r="T5" s="25" t="s">
        <v>294</v>
      </c>
      <c r="V5" s="25" t="s">
        <v>893</v>
      </c>
      <c r="W5" s="25" t="s">
        <v>541</v>
      </c>
      <c r="X5" s="25" t="s">
        <v>540</v>
      </c>
      <c r="Y5" s="25" t="s">
        <v>349</v>
      </c>
      <c r="Z5" s="25">
        <v>331314332</v>
      </c>
      <c r="AA5" s="25" t="s">
        <v>188</v>
      </c>
      <c r="AB5" s="25" t="s">
        <v>187</v>
      </c>
      <c r="AD5" s="25">
        <v>15</v>
      </c>
      <c r="AE5" s="25" t="s">
        <v>169</v>
      </c>
      <c r="AI5" s="31">
        <v>43525</v>
      </c>
      <c r="AJ5" s="25">
        <v>192.3</v>
      </c>
      <c r="AK5" s="25">
        <v>961.5</v>
      </c>
      <c r="BG5" s="25" t="s">
        <v>28</v>
      </c>
      <c r="BI5" s="25" t="s">
        <v>168</v>
      </c>
      <c r="BK5" s="25" t="s">
        <v>0</v>
      </c>
      <c r="BL5" s="25" t="s">
        <v>186</v>
      </c>
      <c r="BM5" s="25" t="s">
        <v>166</v>
      </c>
      <c r="BN5" s="30">
        <v>43670.107856354167</v>
      </c>
      <c r="BR5" s="25" t="s">
        <v>165</v>
      </c>
      <c r="BS5" s="25">
        <v>4.0723201916607898E+18</v>
      </c>
      <c r="BT5" s="25" t="s">
        <v>164</v>
      </c>
      <c r="BV5" s="25">
        <v>2020</v>
      </c>
      <c r="BW5" s="25" t="s">
        <v>163</v>
      </c>
      <c r="BY5" s="25">
        <v>4.0723201916608E+18</v>
      </c>
      <c r="BZ5" s="25" t="s">
        <v>892</v>
      </c>
      <c r="CA5" s="25" t="s">
        <v>161</v>
      </c>
    </row>
    <row r="6" spans="1:79" x14ac:dyDescent="0.2">
      <c r="A6" s="25" t="s">
        <v>838</v>
      </c>
      <c r="B6" s="25" t="s">
        <v>282</v>
      </c>
      <c r="C6" s="25">
        <v>2019</v>
      </c>
      <c r="D6" s="25" t="s">
        <v>183</v>
      </c>
      <c r="E6" s="25">
        <v>2.0190722915161798E+17</v>
      </c>
      <c r="F6" s="25" t="s">
        <v>182</v>
      </c>
      <c r="G6" s="25" t="s">
        <v>894</v>
      </c>
      <c r="H6" s="25">
        <v>1343298</v>
      </c>
      <c r="J6" s="25" t="s">
        <v>180</v>
      </c>
      <c r="K6" s="25" t="s">
        <v>179</v>
      </c>
      <c r="N6" s="25" t="s">
        <v>543</v>
      </c>
      <c r="O6" s="25" t="s">
        <v>66</v>
      </c>
      <c r="P6" s="25" t="s">
        <v>177</v>
      </c>
      <c r="Q6" s="25" t="s">
        <v>34</v>
      </c>
      <c r="R6" s="25" t="s">
        <v>295</v>
      </c>
      <c r="S6" s="25" t="s">
        <v>0</v>
      </c>
      <c r="T6" s="25" t="s">
        <v>294</v>
      </c>
      <c r="V6" s="25" t="s">
        <v>893</v>
      </c>
      <c r="W6" s="25" t="s">
        <v>541</v>
      </c>
      <c r="X6" s="25" t="s">
        <v>540</v>
      </c>
      <c r="Y6" s="25" t="s">
        <v>349</v>
      </c>
      <c r="Z6" s="25">
        <v>331314332</v>
      </c>
      <c r="AA6" s="25" t="s">
        <v>188</v>
      </c>
      <c r="AB6" s="25" t="s">
        <v>187</v>
      </c>
      <c r="AD6" s="25">
        <v>15</v>
      </c>
      <c r="AE6" s="25" t="s">
        <v>169</v>
      </c>
      <c r="AI6" s="31">
        <v>43539</v>
      </c>
      <c r="AJ6" s="25">
        <v>192.3</v>
      </c>
      <c r="AK6" s="25">
        <v>1153.8</v>
      </c>
      <c r="BG6" s="25" t="s">
        <v>28</v>
      </c>
      <c r="BI6" s="25" t="s">
        <v>168</v>
      </c>
      <c r="BK6" s="25" t="s">
        <v>0</v>
      </c>
      <c r="BL6" s="25" t="s">
        <v>186</v>
      </c>
      <c r="BM6" s="25" t="s">
        <v>166</v>
      </c>
      <c r="BN6" s="30">
        <v>43670.107856354167</v>
      </c>
      <c r="BR6" s="25" t="s">
        <v>165</v>
      </c>
      <c r="BS6" s="25">
        <v>4.0723201916607898E+18</v>
      </c>
      <c r="BT6" s="25" t="s">
        <v>164</v>
      </c>
      <c r="BV6" s="25">
        <v>2020</v>
      </c>
      <c r="BW6" s="25" t="s">
        <v>163</v>
      </c>
      <c r="BY6" s="25">
        <v>4.0723201916608E+18</v>
      </c>
      <c r="BZ6" s="25" t="s">
        <v>892</v>
      </c>
      <c r="CA6" s="25" t="s">
        <v>161</v>
      </c>
    </row>
    <row r="7" spans="1:79" x14ac:dyDescent="0.2">
      <c r="A7" s="25" t="s">
        <v>838</v>
      </c>
      <c r="B7" s="25" t="s">
        <v>282</v>
      </c>
      <c r="C7" s="25">
        <v>2019</v>
      </c>
      <c r="D7" s="25" t="s">
        <v>644</v>
      </c>
      <c r="E7" s="25">
        <v>2.0190722915161798E+17</v>
      </c>
      <c r="F7" s="25" t="s">
        <v>182</v>
      </c>
      <c r="G7" s="25" t="s">
        <v>891</v>
      </c>
      <c r="H7" s="25">
        <v>1343299</v>
      </c>
      <c r="J7" s="25" t="s">
        <v>180</v>
      </c>
      <c r="K7" s="25" t="s">
        <v>179</v>
      </c>
      <c r="N7" s="25" t="s">
        <v>543</v>
      </c>
      <c r="O7" s="25" t="s">
        <v>66</v>
      </c>
      <c r="P7" s="25" t="s">
        <v>177</v>
      </c>
      <c r="Q7" s="25" t="s">
        <v>34</v>
      </c>
      <c r="R7" s="25" t="s">
        <v>295</v>
      </c>
      <c r="S7" s="25" t="s">
        <v>0</v>
      </c>
      <c r="T7" s="25" t="s">
        <v>294</v>
      </c>
      <c r="V7" s="25" t="s">
        <v>542</v>
      </c>
      <c r="W7" s="25" t="s">
        <v>541</v>
      </c>
      <c r="X7" s="25" t="s">
        <v>540</v>
      </c>
      <c r="Y7" s="25" t="s">
        <v>349</v>
      </c>
      <c r="Z7" s="25">
        <v>33131</v>
      </c>
      <c r="AA7" s="25" t="s">
        <v>539</v>
      </c>
      <c r="AB7" s="25" t="s">
        <v>187</v>
      </c>
      <c r="AD7" s="25">
        <v>15</v>
      </c>
      <c r="AE7" s="25" t="s">
        <v>169</v>
      </c>
      <c r="AI7" s="31">
        <v>43560</v>
      </c>
      <c r="AJ7" s="25">
        <v>192.3</v>
      </c>
      <c r="AK7" s="25">
        <v>1346.1</v>
      </c>
      <c r="BG7" s="25" t="s">
        <v>28</v>
      </c>
      <c r="BI7" s="25" t="s">
        <v>168</v>
      </c>
      <c r="BK7" s="25" t="s">
        <v>0</v>
      </c>
      <c r="BL7" s="25" t="s">
        <v>186</v>
      </c>
      <c r="BM7" s="25" t="s">
        <v>166</v>
      </c>
      <c r="BN7" s="30">
        <v>43670.107856481482</v>
      </c>
      <c r="BR7" s="25" t="s">
        <v>165</v>
      </c>
      <c r="BS7" s="25">
        <v>4.0723201916607898E+18</v>
      </c>
      <c r="BT7" s="25" t="s">
        <v>164</v>
      </c>
      <c r="BV7" s="25">
        <v>2020</v>
      </c>
      <c r="BW7" s="25" t="s">
        <v>163</v>
      </c>
      <c r="BY7" s="25">
        <v>4.0723201916608E+18</v>
      </c>
      <c r="BZ7" s="25" t="s">
        <v>889</v>
      </c>
      <c r="CA7" s="25" t="s">
        <v>161</v>
      </c>
    </row>
    <row r="8" spans="1:79" x14ac:dyDescent="0.2">
      <c r="A8" s="25" t="s">
        <v>838</v>
      </c>
      <c r="B8" s="25" t="s">
        <v>282</v>
      </c>
      <c r="C8" s="25">
        <v>2019</v>
      </c>
      <c r="D8" s="25" t="s">
        <v>644</v>
      </c>
      <c r="E8" s="25">
        <v>2.0190722915161798E+17</v>
      </c>
      <c r="F8" s="25" t="s">
        <v>182</v>
      </c>
      <c r="G8" s="25" t="s">
        <v>890</v>
      </c>
      <c r="H8" s="25">
        <v>1343299</v>
      </c>
      <c r="J8" s="25" t="s">
        <v>180</v>
      </c>
      <c r="K8" s="25" t="s">
        <v>179</v>
      </c>
      <c r="N8" s="25" t="s">
        <v>543</v>
      </c>
      <c r="O8" s="25" t="s">
        <v>66</v>
      </c>
      <c r="P8" s="25" t="s">
        <v>177</v>
      </c>
      <c r="Q8" s="25" t="s">
        <v>34</v>
      </c>
      <c r="R8" s="25" t="s">
        <v>295</v>
      </c>
      <c r="S8" s="25" t="s">
        <v>0</v>
      </c>
      <c r="T8" s="25" t="s">
        <v>294</v>
      </c>
      <c r="V8" s="25" t="s">
        <v>542</v>
      </c>
      <c r="W8" s="25" t="s">
        <v>541</v>
      </c>
      <c r="X8" s="25" t="s">
        <v>540</v>
      </c>
      <c r="Y8" s="25" t="s">
        <v>349</v>
      </c>
      <c r="Z8" s="25">
        <v>33131</v>
      </c>
      <c r="AA8" s="25" t="s">
        <v>539</v>
      </c>
      <c r="AB8" s="25" t="s">
        <v>187</v>
      </c>
      <c r="AD8" s="25">
        <v>15</v>
      </c>
      <c r="AE8" s="25" t="s">
        <v>169</v>
      </c>
      <c r="AI8" s="31">
        <v>43574</v>
      </c>
      <c r="AJ8" s="25">
        <v>192.3</v>
      </c>
      <c r="AK8" s="25">
        <v>1538.4</v>
      </c>
      <c r="BG8" s="25" t="s">
        <v>28</v>
      </c>
      <c r="BI8" s="25" t="s">
        <v>168</v>
      </c>
      <c r="BK8" s="25" t="s">
        <v>0</v>
      </c>
      <c r="BL8" s="25" t="s">
        <v>186</v>
      </c>
      <c r="BM8" s="25" t="s">
        <v>166</v>
      </c>
      <c r="BN8" s="30">
        <v>43670.107856481482</v>
      </c>
      <c r="BR8" s="25" t="s">
        <v>165</v>
      </c>
      <c r="BS8" s="25">
        <v>4.0723201916607898E+18</v>
      </c>
      <c r="BT8" s="25" t="s">
        <v>164</v>
      </c>
      <c r="BV8" s="25">
        <v>2020</v>
      </c>
      <c r="BW8" s="25" t="s">
        <v>163</v>
      </c>
      <c r="BY8" s="25">
        <v>4.0723201916608E+18</v>
      </c>
      <c r="BZ8" s="25" t="s">
        <v>889</v>
      </c>
      <c r="CA8" s="25" t="s">
        <v>161</v>
      </c>
    </row>
    <row r="9" spans="1:79" x14ac:dyDescent="0.2">
      <c r="A9" s="25" t="s">
        <v>838</v>
      </c>
      <c r="B9" s="25" t="s">
        <v>282</v>
      </c>
      <c r="C9" s="25">
        <v>2019</v>
      </c>
      <c r="D9" s="25" t="s">
        <v>706</v>
      </c>
      <c r="E9" s="25">
        <v>2.0190722915161798E+17</v>
      </c>
      <c r="F9" s="25" t="s">
        <v>182</v>
      </c>
      <c r="G9" s="25" t="s">
        <v>888</v>
      </c>
      <c r="H9" s="25">
        <v>1343301</v>
      </c>
      <c r="J9" s="25" t="s">
        <v>180</v>
      </c>
      <c r="K9" s="25" t="s">
        <v>179</v>
      </c>
      <c r="N9" s="25" t="s">
        <v>543</v>
      </c>
      <c r="O9" s="25" t="s">
        <v>66</v>
      </c>
      <c r="P9" s="25" t="s">
        <v>177</v>
      </c>
      <c r="Q9" s="25" t="s">
        <v>34</v>
      </c>
      <c r="R9" s="25" t="s">
        <v>295</v>
      </c>
      <c r="S9" s="25" t="s">
        <v>0</v>
      </c>
      <c r="T9" s="25" t="s">
        <v>294</v>
      </c>
      <c r="V9" s="25" t="s">
        <v>542</v>
      </c>
      <c r="W9" s="25" t="s">
        <v>541</v>
      </c>
      <c r="X9" s="25" t="s">
        <v>540</v>
      </c>
      <c r="Y9" s="25" t="s">
        <v>349</v>
      </c>
      <c r="Z9" s="25">
        <v>33131</v>
      </c>
      <c r="AA9" s="25" t="s">
        <v>539</v>
      </c>
      <c r="AB9" s="25" t="s">
        <v>187</v>
      </c>
      <c r="AD9" s="25">
        <v>15</v>
      </c>
      <c r="AE9" s="25" t="s">
        <v>169</v>
      </c>
      <c r="AI9" s="31">
        <v>43588</v>
      </c>
      <c r="AJ9" s="25">
        <v>192.3</v>
      </c>
      <c r="AK9" s="25">
        <v>1730.7</v>
      </c>
      <c r="BG9" s="25" t="s">
        <v>28</v>
      </c>
      <c r="BI9" s="25" t="s">
        <v>168</v>
      </c>
      <c r="BK9" s="25" t="s">
        <v>0</v>
      </c>
      <c r="BL9" s="25" t="s">
        <v>186</v>
      </c>
      <c r="BM9" s="25" t="s">
        <v>166</v>
      </c>
      <c r="BN9" s="30">
        <v>43670.107856678238</v>
      </c>
      <c r="BR9" s="25" t="s">
        <v>165</v>
      </c>
      <c r="BS9" s="25">
        <v>4.0723201916607898E+18</v>
      </c>
      <c r="BT9" s="25" t="s">
        <v>164</v>
      </c>
      <c r="BV9" s="25">
        <v>2020</v>
      </c>
      <c r="BW9" s="25" t="s">
        <v>163</v>
      </c>
      <c r="BY9" s="25">
        <v>4.0723201916608E+18</v>
      </c>
      <c r="BZ9" s="25" t="s">
        <v>885</v>
      </c>
      <c r="CA9" s="25" t="s">
        <v>161</v>
      </c>
    </row>
    <row r="10" spans="1:79" x14ac:dyDescent="0.2">
      <c r="A10" s="25" t="s">
        <v>838</v>
      </c>
      <c r="B10" s="25" t="s">
        <v>282</v>
      </c>
      <c r="C10" s="25">
        <v>2019</v>
      </c>
      <c r="D10" s="25" t="s">
        <v>706</v>
      </c>
      <c r="E10" s="25">
        <v>2.0190722915161798E+17</v>
      </c>
      <c r="F10" s="25" t="s">
        <v>182</v>
      </c>
      <c r="G10" s="25" t="s">
        <v>887</v>
      </c>
      <c r="H10" s="25">
        <v>1343301</v>
      </c>
      <c r="J10" s="25" t="s">
        <v>180</v>
      </c>
      <c r="K10" s="25" t="s">
        <v>179</v>
      </c>
      <c r="N10" s="25" t="s">
        <v>543</v>
      </c>
      <c r="O10" s="25" t="s">
        <v>66</v>
      </c>
      <c r="P10" s="25" t="s">
        <v>177</v>
      </c>
      <c r="Q10" s="25" t="s">
        <v>34</v>
      </c>
      <c r="R10" s="25" t="s">
        <v>295</v>
      </c>
      <c r="S10" s="25" t="s">
        <v>0</v>
      </c>
      <c r="T10" s="25" t="s">
        <v>294</v>
      </c>
      <c r="V10" s="25" t="s">
        <v>542</v>
      </c>
      <c r="W10" s="25" t="s">
        <v>541</v>
      </c>
      <c r="X10" s="25" t="s">
        <v>540</v>
      </c>
      <c r="Y10" s="25" t="s">
        <v>349</v>
      </c>
      <c r="Z10" s="25">
        <v>33131</v>
      </c>
      <c r="AA10" s="25" t="s">
        <v>539</v>
      </c>
      <c r="AB10" s="25" t="s">
        <v>187</v>
      </c>
      <c r="AD10" s="25">
        <v>15</v>
      </c>
      <c r="AE10" s="25" t="s">
        <v>169</v>
      </c>
      <c r="AI10" s="31">
        <v>43602</v>
      </c>
      <c r="AJ10" s="25">
        <v>192.3</v>
      </c>
      <c r="AK10" s="25">
        <v>1923</v>
      </c>
      <c r="BG10" s="25" t="s">
        <v>28</v>
      </c>
      <c r="BI10" s="25" t="s">
        <v>168</v>
      </c>
      <c r="BK10" s="25" t="s">
        <v>0</v>
      </c>
      <c r="BL10" s="25" t="s">
        <v>186</v>
      </c>
      <c r="BM10" s="25" t="s">
        <v>166</v>
      </c>
      <c r="BN10" s="30">
        <v>43670.107856678238</v>
      </c>
      <c r="BR10" s="25" t="s">
        <v>165</v>
      </c>
      <c r="BS10" s="25">
        <v>4.0723201916607898E+18</v>
      </c>
      <c r="BT10" s="25" t="s">
        <v>164</v>
      </c>
      <c r="BV10" s="25">
        <v>2020</v>
      </c>
      <c r="BW10" s="25" t="s">
        <v>163</v>
      </c>
      <c r="BY10" s="25">
        <v>4.0723201916608E+18</v>
      </c>
      <c r="BZ10" s="25" t="s">
        <v>885</v>
      </c>
      <c r="CA10" s="25" t="s">
        <v>161</v>
      </c>
    </row>
    <row r="11" spans="1:79" x14ac:dyDescent="0.2">
      <c r="A11" s="25" t="s">
        <v>838</v>
      </c>
      <c r="B11" s="25" t="s">
        <v>282</v>
      </c>
      <c r="C11" s="25">
        <v>2019</v>
      </c>
      <c r="D11" s="25" t="s">
        <v>706</v>
      </c>
      <c r="E11" s="25">
        <v>2.0190722915161798E+17</v>
      </c>
      <c r="F11" s="25" t="s">
        <v>182</v>
      </c>
      <c r="G11" s="25" t="s">
        <v>886</v>
      </c>
      <c r="H11" s="25">
        <v>1343301</v>
      </c>
      <c r="J11" s="25" t="s">
        <v>180</v>
      </c>
      <c r="K11" s="25" t="s">
        <v>179</v>
      </c>
      <c r="N11" s="25" t="s">
        <v>543</v>
      </c>
      <c r="O11" s="25" t="s">
        <v>66</v>
      </c>
      <c r="P11" s="25" t="s">
        <v>177</v>
      </c>
      <c r="Q11" s="25" t="s">
        <v>34</v>
      </c>
      <c r="R11" s="25" t="s">
        <v>295</v>
      </c>
      <c r="S11" s="25" t="s">
        <v>0</v>
      </c>
      <c r="T11" s="25" t="s">
        <v>294</v>
      </c>
      <c r="V11" s="25" t="s">
        <v>542</v>
      </c>
      <c r="W11" s="25" t="s">
        <v>541</v>
      </c>
      <c r="X11" s="25" t="s">
        <v>540</v>
      </c>
      <c r="Y11" s="25" t="s">
        <v>349</v>
      </c>
      <c r="Z11" s="25">
        <v>33131</v>
      </c>
      <c r="AA11" s="25" t="s">
        <v>539</v>
      </c>
      <c r="AB11" s="25" t="s">
        <v>187</v>
      </c>
      <c r="AD11" s="25">
        <v>15</v>
      </c>
      <c r="AE11" s="25" t="s">
        <v>169</v>
      </c>
      <c r="AI11" s="31">
        <v>43616</v>
      </c>
      <c r="AJ11" s="25">
        <v>192.3</v>
      </c>
      <c r="AK11" s="25">
        <v>2115.3000000000002</v>
      </c>
      <c r="BG11" s="25" t="s">
        <v>28</v>
      </c>
      <c r="BI11" s="25" t="s">
        <v>168</v>
      </c>
      <c r="BK11" s="25" t="s">
        <v>0</v>
      </c>
      <c r="BL11" s="25" t="s">
        <v>186</v>
      </c>
      <c r="BM11" s="25" t="s">
        <v>166</v>
      </c>
      <c r="BN11" s="30">
        <v>43670.107856678238</v>
      </c>
      <c r="BR11" s="25" t="s">
        <v>165</v>
      </c>
      <c r="BS11" s="25">
        <v>4.0723201916607898E+18</v>
      </c>
      <c r="BT11" s="25" t="s">
        <v>164</v>
      </c>
      <c r="BV11" s="25">
        <v>2020</v>
      </c>
      <c r="BW11" s="25" t="s">
        <v>163</v>
      </c>
      <c r="BY11" s="25">
        <v>4.0723201916608E+18</v>
      </c>
      <c r="BZ11" s="25" t="s">
        <v>885</v>
      </c>
      <c r="CA11" s="25" t="s">
        <v>161</v>
      </c>
    </row>
    <row r="12" spans="1:79" hidden="1" x14ac:dyDescent="0.2">
      <c r="A12" s="25" t="s">
        <v>879</v>
      </c>
      <c r="B12" s="25" t="s">
        <v>284</v>
      </c>
      <c r="C12" s="25">
        <v>2019</v>
      </c>
      <c r="D12" s="25" t="s">
        <v>589</v>
      </c>
      <c r="E12" s="25">
        <v>2.0190415914622701E+17</v>
      </c>
      <c r="F12" s="25" t="s">
        <v>450</v>
      </c>
      <c r="G12" s="25">
        <v>10026956</v>
      </c>
      <c r="H12" s="25">
        <v>1326070</v>
      </c>
      <c r="J12" s="25" t="s">
        <v>180</v>
      </c>
      <c r="K12" s="25" t="s">
        <v>179</v>
      </c>
      <c r="L12" s="25" t="s">
        <v>374</v>
      </c>
      <c r="N12" s="25" t="s">
        <v>298</v>
      </c>
      <c r="O12" s="25" t="s">
        <v>28</v>
      </c>
      <c r="Q12" s="25" t="s">
        <v>28</v>
      </c>
      <c r="R12" s="25" t="s">
        <v>295</v>
      </c>
      <c r="T12" s="25" t="s">
        <v>294</v>
      </c>
      <c r="V12" s="25" t="s">
        <v>388</v>
      </c>
      <c r="X12" s="25" t="s">
        <v>368</v>
      </c>
      <c r="Y12" s="25" t="s">
        <v>367</v>
      </c>
      <c r="Z12" s="25">
        <v>810049787</v>
      </c>
      <c r="AA12" s="25" t="s">
        <v>387</v>
      </c>
      <c r="AB12" s="25" t="s">
        <v>365</v>
      </c>
      <c r="AC12" s="25" t="s">
        <v>374</v>
      </c>
      <c r="AD12" s="25" t="s">
        <v>345</v>
      </c>
      <c r="AE12" s="25" t="s">
        <v>344</v>
      </c>
      <c r="AI12" s="31">
        <v>43515</v>
      </c>
      <c r="AJ12" s="25">
        <v>1000</v>
      </c>
      <c r="AK12" s="25">
        <v>1000</v>
      </c>
      <c r="BG12" s="25" t="s">
        <v>446</v>
      </c>
      <c r="BI12" s="25" t="s">
        <v>168</v>
      </c>
      <c r="BJ12" s="25">
        <v>2020</v>
      </c>
      <c r="BK12" s="25" t="s">
        <v>50</v>
      </c>
      <c r="BL12" s="25" t="s">
        <v>167</v>
      </c>
      <c r="BM12" s="25" t="s">
        <v>166</v>
      </c>
      <c r="BN12" s="30">
        <v>43579.12846670139</v>
      </c>
      <c r="BP12" s="25" t="s">
        <v>884</v>
      </c>
      <c r="BQ12" s="25" t="s">
        <v>877</v>
      </c>
      <c r="BR12" s="25" t="s">
        <v>445</v>
      </c>
      <c r="BS12" s="25">
        <v>4.0415201916463299E+18</v>
      </c>
      <c r="BT12" s="25" t="s">
        <v>164</v>
      </c>
      <c r="BU12" s="25" t="s">
        <v>512</v>
      </c>
      <c r="BV12" s="25">
        <v>2020</v>
      </c>
      <c r="BW12" s="25" t="s">
        <v>163</v>
      </c>
      <c r="BY12" s="25">
        <v>4.0423201916471301E+18</v>
      </c>
      <c r="BZ12" s="25" t="s">
        <v>882</v>
      </c>
      <c r="CA12" s="25" t="s">
        <v>161</v>
      </c>
    </row>
    <row r="13" spans="1:79" hidden="1" x14ac:dyDescent="0.2">
      <c r="A13" s="25" t="s">
        <v>879</v>
      </c>
      <c r="B13" s="25" t="s">
        <v>284</v>
      </c>
      <c r="C13" s="25">
        <v>2019</v>
      </c>
      <c r="D13" s="25" t="s">
        <v>589</v>
      </c>
      <c r="E13" s="25">
        <v>2.0190415914622701E+17</v>
      </c>
      <c r="F13" s="25" t="s">
        <v>450</v>
      </c>
      <c r="G13" s="25">
        <v>10426135</v>
      </c>
      <c r="H13" s="25">
        <v>1326070</v>
      </c>
      <c r="J13" s="25" t="s">
        <v>180</v>
      </c>
      <c r="K13" s="25" t="s">
        <v>179</v>
      </c>
      <c r="L13" s="25" t="s">
        <v>374</v>
      </c>
      <c r="N13" s="25" t="s">
        <v>298</v>
      </c>
      <c r="O13" s="25" t="s">
        <v>28</v>
      </c>
      <c r="Q13" s="25" t="s">
        <v>28</v>
      </c>
      <c r="R13" s="25" t="s">
        <v>295</v>
      </c>
      <c r="T13" s="25" t="s">
        <v>294</v>
      </c>
      <c r="V13" s="25" t="s">
        <v>388</v>
      </c>
      <c r="X13" s="25" t="s">
        <v>368</v>
      </c>
      <c r="Y13" s="25" t="s">
        <v>367</v>
      </c>
      <c r="Z13" s="25">
        <v>810049787</v>
      </c>
      <c r="AA13" s="25" t="s">
        <v>387</v>
      </c>
      <c r="AB13" s="25" t="s">
        <v>365</v>
      </c>
      <c r="AC13" s="25" t="s">
        <v>374</v>
      </c>
      <c r="AD13" s="25" t="s">
        <v>345</v>
      </c>
      <c r="AE13" s="25" t="s">
        <v>344</v>
      </c>
      <c r="AI13" s="31">
        <v>43534</v>
      </c>
      <c r="AJ13" s="25">
        <v>500</v>
      </c>
      <c r="AK13" s="25">
        <v>1500</v>
      </c>
      <c r="BG13" s="25" t="s">
        <v>446</v>
      </c>
      <c r="BI13" s="25" t="s">
        <v>168</v>
      </c>
      <c r="BJ13" s="25">
        <v>2020</v>
      </c>
      <c r="BK13" s="25" t="s">
        <v>50</v>
      </c>
      <c r="BL13" s="25" t="s">
        <v>167</v>
      </c>
      <c r="BM13" s="25" t="s">
        <v>166</v>
      </c>
      <c r="BN13" s="30">
        <v>43579.128466724535</v>
      </c>
      <c r="BP13" s="25" t="s">
        <v>883</v>
      </c>
      <c r="BQ13" s="25" t="s">
        <v>877</v>
      </c>
      <c r="BR13" s="25" t="s">
        <v>445</v>
      </c>
      <c r="BS13" s="25">
        <v>4.0415201916463299E+18</v>
      </c>
      <c r="BT13" s="25" t="s">
        <v>164</v>
      </c>
      <c r="BU13" s="25" t="s">
        <v>512</v>
      </c>
      <c r="BV13" s="25">
        <v>2020</v>
      </c>
      <c r="BW13" s="25" t="s">
        <v>163</v>
      </c>
      <c r="BY13" s="25">
        <v>4.0423201916471301E+18</v>
      </c>
      <c r="BZ13" s="25" t="s">
        <v>882</v>
      </c>
      <c r="CA13" s="25" t="s">
        <v>161</v>
      </c>
    </row>
    <row r="14" spans="1:79" hidden="1" x14ac:dyDescent="0.2">
      <c r="A14" s="25" t="s">
        <v>879</v>
      </c>
      <c r="B14" s="25" t="s">
        <v>284</v>
      </c>
      <c r="C14" s="25">
        <v>2019</v>
      </c>
      <c r="D14" s="25" t="s">
        <v>589</v>
      </c>
      <c r="E14" s="25">
        <v>2.0190415914622701E+17</v>
      </c>
      <c r="F14" s="25" t="s">
        <v>450</v>
      </c>
      <c r="G14" s="25">
        <v>10682967</v>
      </c>
      <c r="H14" s="25">
        <v>1326070</v>
      </c>
      <c r="J14" s="25" t="s">
        <v>180</v>
      </c>
      <c r="K14" s="25" t="s">
        <v>179</v>
      </c>
      <c r="L14" s="25" t="s">
        <v>374</v>
      </c>
      <c r="N14" s="25" t="s">
        <v>298</v>
      </c>
      <c r="O14" s="25" t="s">
        <v>28</v>
      </c>
      <c r="Q14" s="25" t="s">
        <v>28</v>
      </c>
      <c r="R14" s="25" t="s">
        <v>295</v>
      </c>
      <c r="T14" s="25" t="s">
        <v>294</v>
      </c>
      <c r="V14" s="25" t="s">
        <v>388</v>
      </c>
      <c r="X14" s="25" t="s">
        <v>368</v>
      </c>
      <c r="Y14" s="25" t="s">
        <v>367</v>
      </c>
      <c r="Z14" s="25">
        <v>810049787</v>
      </c>
      <c r="AA14" s="25" t="s">
        <v>387</v>
      </c>
      <c r="AB14" s="25" t="s">
        <v>365</v>
      </c>
      <c r="AC14" s="25" t="s">
        <v>374</v>
      </c>
      <c r="AD14" s="25" t="s">
        <v>345</v>
      </c>
      <c r="AE14" s="25" t="s">
        <v>344</v>
      </c>
      <c r="AI14" s="31">
        <v>43552</v>
      </c>
      <c r="AJ14" s="25">
        <v>500</v>
      </c>
      <c r="AK14" s="25">
        <v>2000</v>
      </c>
      <c r="BG14" s="25" t="s">
        <v>446</v>
      </c>
      <c r="BI14" s="25" t="s">
        <v>168</v>
      </c>
      <c r="BJ14" s="25">
        <v>2020</v>
      </c>
      <c r="BK14" s="25" t="s">
        <v>50</v>
      </c>
      <c r="BL14" s="25" t="s">
        <v>167</v>
      </c>
      <c r="BM14" s="25" t="s">
        <v>166</v>
      </c>
      <c r="BN14" s="30">
        <v>43579.128466724535</v>
      </c>
      <c r="BP14" s="25" t="s">
        <v>881</v>
      </c>
      <c r="BQ14" s="25" t="s">
        <v>877</v>
      </c>
      <c r="BR14" s="25" t="s">
        <v>445</v>
      </c>
      <c r="BS14" s="25">
        <v>4.0415201916463299E+18</v>
      </c>
      <c r="BT14" s="25" t="s">
        <v>164</v>
      </c>
      <c r="BU14" s="25" t="s">
        <v>512</v>
      </c>
      <c r="BV14" s="25">
        <v>2020</v>
      </c>
      <c r="BW14" s="25" t="s">
        <v>163</v>
      </c>
      <c r="BY14" s="25">
        <v>4.0423201916471301E+18</v>
      </c>
      <c r="BZ14" s="25" t="s">
        <v>880</v>
      </c>
      <c r="CA14" s="25" t="s">
        <v>161</v>
      </c>
    </row>
    <row r="15" spans="1:79" hidden="1" x14ac:dyDescent="0.2">
      <c r="A15" s="25" t="s">
        <v>879</v>
      </c>
      <c r="B15" s="25" t="s">
        <v>284</v>
      </c>
      <c r="C15" s="25">
        <v>2019</v>
      </c>
      <c r="D15" s="25" t="s">
        <v>589</v>
      </c>
      <c r="E15" s="25">
        <v>2.0190415914622701E+17</v>
      </c>
      <c r="F15" s="25" t="s">
        <v>450</v>
      </c>
      <c r="G15" s="25">
        <v>10791107</v>
      </c>
      <c r="H15" s="25">
        <v>1326070</v>
      </c>
      <c r="J15" s="25" t="s">
        <v>180</v>
      </c>
      <c r="K15" s="25" t="s">
        <v>179</v>
      </c>
      <c r="L15" s="25" t="s">
        <v>374</v>
      </c>
      <c r="N15" s="25" t="s">
        <v>298</v>
      </c>
      <c r="O15" s="25" t="s">
        <v>28</v>
      </c>
      <c r="Q15" s="25" t="s">
        <v>28</v>
      </c>
      <c r="R15" s="25" t="s">
        <v>295</v>
      </c>
      <c r="T15" s="25" t="s">
        <v>294</v>
      </c>
      <c r="V15" s="25" t="s">
        <v>388</v>
      </c>
      <c r="X15" s="25" t="s">
        <v>368</v>
      </c>
      <c r="Y15" s="25" t="s">
        <v>367</v>
      </c>
      <c r="Z15" s="25">
        <v>810049787</v>
      </c>
      <c r="AA15" s="25" t="s">
        <v>387</v>
      </c>
      <c r="AB15" s="25" t="s">
        <v>365</v>
      </c>
      <c r="AC15" s="25" t="s">
        <v>374</v>
      </c>
      <c r="AD15" s="25" t="s">
        <v>345</v>
      </c>
      <c r="AE15" s="25" t="s">
        <v>344</v>
      </c>
      <c r="AI15" s="31">
        <v>43555</v>
      </c>
      <c r="AJ15" s="25">
        <v>800</v>
      </c>
      <c r="AK15" s="25">
        <v>2800</v>
      </c>
      <c r="BG15" s="25" t="s">
        <v>446</v>
      </c>
      <c r="BI15" s="25" t="s">
        <v>168</v>
      </c>
      <c r="BJ15" s="25">
        <v>2020</v>
      </c>
      <c r="BK15" s="25" t="s">
        <v>50</v>
      </c>
      <c r="BL15" s="25" t="s">
        <v>167</v>
      </c>
      <c r="BM15" s="25" t="s">
        <v>166</v>
      </c>
      <c r="BN15" s="30">
        <v>43579.128466724535</v>
      </c>
      <c r="BP15" s="25" t="s">
        <v>878</v>
      </c>
      <c r="BQ15" s="25" t="s">
        <v>877</v>
      </c>
      <c r="BR15" s="25" t="s">
        <v>445</v>
      </c>
      <c r="BS15" s="25">
        <v>4.0415201916463299E+18</v>
      </c>
      <c r="BT15" s="25" t="s">
        <v>164</v>
      </c>
      <c r="BU15" s="25" t="s">
        <v>512</v>
      </c>
      <c r="BV15" s="25">
        <v>2020</v>
      </c>
      <c r="BW15" s="25" t="s">
        <v>163</v>
      </c>
      <c r="BY15" s="25">
        <v>4.0423201916471301E+18</v>
      </c>
      <c r="BZ15" s="25" t="s">
        <v>876</v>
      </c>
      <c r="CA15" s="25" t="s">
        <v>161</v>
      </c>
    </row>
    <row r="16" spans="1:79" x14ac:dyDescent="0.2">
      <c r="A16" s="25" t="s">
        <v>838</v>
      </c>
      <c r="B16" s="25" t="s">
        <v>282</v>
      </c>
      <c r="C16" s="25">
        <v>2019</v>
      </c>
      <c r="D16" s="25" t="s">
        <v>553</v>
      </c>
      <c r="E16" s="25">
        <v>2.01907199151532E+17</v>
      </c>
      <c r="F16" s="25" t="s">
        <v>182</v>
      </c>
      <c r="G16" s="25" t="s">
        <v>875</v>
      </c>
      <c r="H16" s="25">
        <v>1342816</v>
      </c>
      <c r="J16" s="25" t="s">
        <v>180</v>
      </c>
      <c r="K16" s="25" t="s">
        <v>179</v>
      </c>
      <c r="N16" s="25" t="s">
        <v>543</v>
      </c>
      <c r="O16" s="25" t="s">
        <v>66</v>
      </c>
      <c r="P16" s="25" t="s">
        <v>177</v>
      </c>
      <c r="Q16" s="25" t="s">
        <v>34</v>
      </c>
      <c r="R16" s="25" t="s">
        <v>295</v>
      </c>
      <c r="S16" s="25" t="s">
        <v>0</v>
      </c>
      <c r="T16" s="25" t="s">
        <v>294</v>
      </c>
      <c r="V16" s="25" t="s">
        <v>542</v>
      </c>
      <c r="W16" s="25" t="s">
        <v>541</v>
      </c>
      <c r="X16" s="25" t="s">
        <v>540</v>
      </c>
      <c r="Y16" s="25" t="s">
        <v>349</v>
      </c>
      <c r="Z16" s="25">
        <v>33131</v>
      </c>
      <c r="AA16" s="25" t="s">
        <v>539</v>
      </c>
      <c r="AB16" s="25" t="s">
        <v>187</v>
      </c>
      <c r="AD16" s="25">
        <v>15</v>
      </c>
      <c r="AE16" s="25" t="s">
        <v>169</v>
      </c>
      <c r="AI16" s="31">
        <v>43630</v>
      </c>
      <c r="AJ16" s="25">
        <v>192.3</v>
      </c>
      <c r="AK16" s="25">
        <v>2307.6</v>
      </c>
      <c r="BG16" s="25" t="s">
        <v>28</v>
      </c>
      <c r="BI16" s="25" t="s">
        <v>168</v>
      </c>
      <c r="BK16" s="25" t="s">
        <v>50</v>
      </c>
      <c r="BL16" s="25" t="s">
        <v>167</v>
      </c>
      <c r="BM16" s="25" t="s">
        <v>166</v>
      </c>
      <c r="BN16" s="30">
        <v>43676.106767407407</v>
      </c>
      <c r="BR16" s="25" t="s">
        <v>165</v>
      </c>
      <c r="BS16" s="25">
        <v>4.0719201916602399E+18</v>
      </c>
      <c r="BT16" s="25" t="s">
        <v>164</v>
      </c>
      <c r="BV16" s="25">
        <v>2020</v>
      </c>
      <c r="BW16" s="25" t="s">
        <v>163</v>
      </c>
      <c r="BY16" s="25">
        <v>4.0729201916615798E+18</v>
      </c>
      <c r="BZ16" s="25" t="s">
        <v>873</v>
      </c>
      <c r="CA16" s="25" t="s">
        <v>161</v>
      </c>
    </row>
    <row r="17" spans="1:79" x14ac:dyDescent="0.2">
      <c r="A17" s="25" t="s">
        <v>838</v>
      </c>
      <c r="B17" s="25" t="s">
        <v>282</v>
      </c>
      <c r="C17" s="25">
        <v>2019</v>
      </c>
      <c r="D17" s="25" t="s">
        <v>553</v>
      </c>
      <c r="E17" s="25">
        <v>2.01907199151532E+17</v>
      </c>
      <c r="F17" s="25" t="s">
        <v>182</v>
      </c>
      <c r="G17" s="25" t="s">
        <v>874</v>
      </c>
      <c r="H17" s="25">
        <v>1342816</v>
      </c>
      <c r="J17" s="25" t="s">
        <v>180</v>
      </c>
      <c r="K17" s="25" t="s">
        <v>179</v>
      </c>
      <c r="N17" s="25" t="s">
        <v>543</v>
      </c>
      <c r="O17" s="25" t="s">
        <v>66</v>
      </c>
      <c r="P17" s="25" t="s">
        <v>177</v>
      </c>
      <c r="Q17" s="25" t="s">
        <v>34</v>
      </c>
      <c r="R17" s="25" t="s">
        <v>295</v>
      </c>
      <c r="S17" s="25" t="s">
        <v>0</v>
      </c>
      <c r="T17" s="25" t="s">
        <v>294</v>
      </c>
      <c r="V17" s="25" t="s">
        <v>542</v>
      </c>
      <c r="W17" s="25" t="s">
        <v>541</v>
      </c>
      <c r="X17" s="25" t="s">
        <v>540</v>
      </c>
      <c r="Y17" s="25" t="s">
        <v>349</v>
      </c>
      <c r="Z17" s="25">
        <v>33131</v>
      </c>
      <c r="AA17" s="25" t="s">
        <v>539</v>
      </c>
      <c r="AB17" s="25" t="s">
        <v>187</v>
      </c>
      <c r="AD17" s="25">
        <v>15</v>
      </c>
      <c r="AE17" s="25" t="s">
        <v>169</v>
      </c>
      <c r="AI17" s="31">
        <v>43644</v>
      </c>
      <c r="AJ17" s="25">
        <v>192.3</v>
      </c>
      <c r="AK17" s="25">
        <v>2499.9</v>
      </c>
      <c r="BG17" s="25" t="s">
        <v>28</v>
      </c>
      <c r="BI17" s="25" t="s">
        <v>168</v>
      </c>
      <c r="BK17" s="25" t="s">
        <v>50</v>
      </c>
      <c r="BL17" s="25" t="s">
        <v>167</v>
      </c>
      <c r="BM17" s="25" t="s">
        <v>166</v>
      </c>
      <c r="BN17" s="30">
        <v>43676.106767407407</v>
      </c>
      <c r="BR17" s="25" t="s">
        <v>165</v>
      </c>
      <c r="BS17" s="25">
        <v>4.0719201916602399E+18</v>
      </c>
      <c r="BT17" s="25" t="s">
        <v>164</v>
      </c>
      <c r="BV17" s="25">
        <v>2020</v>
      </c>
      <c r="BW17" s="25" t="s">
        <v>163</v>
      </c>
      <c r="BY17" s="25">
        <v>4.0729201916615798E+18</v>
      </c>
      <c r="BZ17" s="25" t="s">
        <v>873</v>
      </c>
      <c r="CA17" s="25" t="s">
        <v>161</v>
      </c>
    </row>
    <row r="18" spans="1:79" x14ac:dyDescent="0.2">
      <c r="A18" s="25" t="s">
        <v>838</v>
      </c>
      <c r="B18" s="25" t="s">
        <v>282</v>
      </c>
      <c r="C18" s="25">
        <v>2019</v>
      </c>
      <c r="D18" s="25" t="s">
        <v>871</v>
      </c>
      <c r="E18" s="25">
        <v>2.0191119916558598E+17</v>
      </c>
      <c r="F18" s="25" t="s">
        <v>182</v>
      </c>
      <c r="G18" s="25" t="s">
        <v>872</v>
      </c>
      <c r="H18" s="25">
        <v>1363550</v>
      </c>
      <c r="J18" s="25" t="s">
        <v>180</v>
      </c>
      <c r="K18" s="25" t="s">
        <v>179</v>
      </c>
      <c r="N18" s="25" t="s">
        <v>543</v>
      </c>
      <c r="O18" s="25" t="s">
        <v>66</v>
      </c>
      <c r="P18" s="25" t="s">
        <v>177</v>
      </c>
      <c r="Q18" s="25" t="s">
        <v>34</v>
      </c>
      <c r="R18" s="25" t="s">
        <v>295</v>
      </c>
      <c r="S18" s="25" t="s">
        <v>0</v>
      </c>
      <c r="T18" s="25" t="s">
        <v>294</v>
      </c>
      <c r="V18" s="25" t="s">
        <v>542</v>
      </c>
      <c r="W18" s="25" t="s">
        <v>541</v>
      </c>
      <c r="X18" s="25" t="s">
        <v>540</v>
      </c>
      <c r="Y18" s="25" t="s">
        <v>349</v>
      </c>
      <c r="Z18" s="25">
        <v>33131</v>
      </c>
      <c r="AA18" s="25" t="s">
        <v>539</v>
      </c>
      <c r="AB18" s="25" t="s">
        <v>187</v>
      </c>
      <c r="AD18" s="25">
        <v>15</v>
      </c>
      <c r="AE18" s="25" t="s">
        <v>169</v>
      </c>
      <c r="AI18" s="31">
        <v>43742</v>
      </c>
      <c r="AJ18" s="25">
        <v>192.3</v>
      </c>
      <c r="AK18" s="25">
        <v>3846</v>
      </c>
      <c r="BG18" s="25" t="s">
        <v>28</v>
      </c>
      <c r="BI18" s="25" t="s">
        <v>168</v>
      </c>
      <c r="BK18" s="25" t="s">
        <v>50</v>
      </c>
      <c r="BL18" s="25" t="s">
        <v>167</v>
      </c>
      <c r="BM18" s="25" t="s">
        <v>166</v>
      </c>
      <c r="BN18" s="30">
        <v>43789.076115613425</v>
      </c>
      <c r="BR18" s="25" t="s">
        <v>165</v>
      </c>
      <c r="BS18" s="25">
        <v>4.1119201916793498E+18</v>
      </c>
      <c r="BT18" s="25" t="s">
        <v>164</v>
      </c>
      <c r="BV18" s="25">
        <v>2020</v>
      </c>
      <c r="BW18" s="25" t="s">
        <v>163</v>
      </c>
      <c r="BY18" s="25">
        <v>4.1119201916794998E+18</v>
      </c>
      <c r="BZ18" s="25" t="s">
        <v>869</v>
      </c>
      <c r="CA18" s="25" t="s">
        <v>161</v>
      </c>
    </row>
    <row r="19" spans="1:79" x14ac:dyDescent="0.2">
      <c r="A19" s="25" t="s">
        <v>838</v>
      </c>
      <c r="B19" s="25" t="s">
        <v>282</v>
      </c>
      <c r="C19" s="25">
        <v>2019</v>
      </c>
      <c r="D19" s="25" t="s">
        <v>871</v>
      </c>
      <c r="E19" s="25">
        <v>2.0191119916558598E+17</v>
      </c>
      <c r="F19" s="25" t="s">
        <v>182</v>
      </c>
      <c r="G19" s="25" t="s">
        <v>870</v>
      </c>
      <c r="H19" s="25">
        <v>1363550</v>
      </c>
      <c r="J19" s="25" t="s">
        <v>180</v>
      </c>
      <c r="K19" s="25" t="s">
        <v>179</v>
      </c>
      <c r="N19" s="25" t="s">
        <v>543</v>
      </c>
      <c r="O19" s="25" t="s">
        <v>66</v>
      </c>
      <c r="P19" s="25" t="s">
        <v>177</v>
      </c>
      <c r="Q19" s="25" t="s">
        <v>34</v>
      </c>
      <c r="R19" s="25" t="s">
        <v>295</v>
      </c>
      <c r="S19" s="25" t="s">
        <v>0</v>
      </c>
      <c r="T19" s="25" t="s">
        <v>294</v>
      </c>
      <c r="V19" s="25" t="s">
        <v>542</v>
      </c>
      <c r="W19" s="25" t="s">
        <v>541</v>
      </c>
      <c r="X19" s="25" t="s">
        <v>540</v>
      </c>
      <c r="Y19" s="25" t="s">
        <v>349</v>
      </c>
      <c r="Z19" s="25">
        <v>33131</v>
      </c>
      <c r="AA19" s="25" t="s">
        <v>539</v>
      </c>
      <c r="AB19" s="25" t="s">
        <v>187</v>
      </c>
      <c r="AD19" s="25">
        <v>15</v>
      </c>
      <c r="AE19" s="25" t="s">
        <v>169</v>
      </c>
      <c r="AI19" s="31">
        <v>43756</v>
      </c>
      <c r="AJ19" s="25">
        <v>192.3</v>
      </c>
      <c r="AK19" s="25">
        <v>4038.3</v>
      </c>
      <c r="BG19" s="25" t="s">
        <v>28</v>
      </c>
      <c r="BI19" s="25" t="s">
        <v>168</v>
      </c>
      <c r="BK19" s="25" t="s">
        <v>50</v>
      </c>
      <c r="BL19" s="25" t="s">
        <v>167</v>
      </c>
      <c r="BM19" s="25" t="s">
        <v>166</v>
      </c>
      <c r="BN19" s="30">
        <v>43789.076115613425</v>
      </c>
      <c r="BR19" s="25" t="s">
        <v>165</v>
      </c>
      <c r="BS19" s="25">
        <v>4.1119201916793498E+18</v>
      </c>
      <c r="BT19" s="25" t="s">
        <v>164</v>
      </c>
      <c r="BV19" s="25">
        <v>2020</v>
      </c>
      <c r="BW19" s="25" t="s">
        <v>163</v>
      </c>
      <c r="BY19" s="25">
        <v>4.1119201916794998E+18</v>
      </c>
      <c r="BZ19" s="25" t="s">
        <v>869</v>
      </c>
      <c r="CA19" s="25" t="s">
        <v>161</v>
      </c>
    </row>
    <row r="20" spans="1:79" x14ac:dyDescent="0.2">
      <c r="A20" s="25" t="s">
        <v>838</v>
      </c>
      <c r="B20" s="25" t="s">
        <v>282</v>
      </c>
      <c r="C20" s="25">
        <v>2019</v>
      </c>
      <c r="D20" s="25" t="s">
        <v>451</v>
      </c>
      <c r="E20" s="25">
        <v>2.0190820916301101E+17</v>
      </c>
      <c r="F20" s="25" t="s">
        <v>182</v>
      </c>
      <c r="G20" s="25" t="s">
        <v>868</v>
      </c>
      <c r="H20" s="25">
        <v>1349111</v>
      </c>
      <c r="J20" s="25" t="s">
        <v>180</v>
      </c>
      <c r="K20" s="25" t="s">
        <v>179</v>
      </c>
      <c r="N20" s="25" t="s">
        <v>543</v>
      </c>
      <c r="O20" s="25" t="s">
        <v>66</v>
      </c>
      <c r="P20" s="25" t="s">
        <v>177</v>
      </c>
      <c r="Q20" s="25" t="s">
        <v>34</v>
      </c>
      <c r="R20" s="25" t="s">
        <v>295</v>
      </c>
      <c r="S20" s="25" t="s">
        <v>0</v>
      </c>
      <c r="T20" s="25" t="s">
        <v>294</v>
      </c>
      <c r="V20" s="25" t="s">
        <v>542</v>
      </c>
      <c r="W20" s="25" t="s">
        <v>541</v>
      </c>
      <c r="X20" s="25" t="s">
        <v>540</v>
      </c>
      <c r="Y20" s="25" t="s">
        <v>349</v>
      </c>
      <c r="Z20" s="25">
        <v>33131</v>
      </c>
      <c r="AA20" s="25" t="s">
        <v>539</v>
      </c>
      <c r="AB20" s="25" t="s">
        <v>187</v>
      </c>
      <c r="AD20" s="25">
        <v>15</v>
      </c>
      <c r="AE20" s="25" t="s">
        <v>169</v>
      </c>
      <c r="AI20" s="31">
        <v>43658</v>
      </c>
      <c r="AJ20" s="25">
        <v>192.3</v>
      </c>
      <c r="AK20" s="25">
        <v>2692.2</v>
      </c>
      <c r="BG20" s="25" t="s">
        <v>28</v>
      </c>
      <c r="BI20" s="25" t="s">
        <v>168</v>
      </c>
      <c r="BK20" s="25" t="s">
        <v>50</v>
      </c>
      <c r="BL20" s="25" t="s">
        <v>167</v>
      </c>
      <c r="BM20" s="25" t="s">
        <v>166</v>
      </c>
      <c r="BN20" s="30">
        <v>43699.113246516201</v>
      </c>
      <c r="BR20" s="25" t="s">
        <v>165</v>
      </c>
      <c r="BS20" s="25">
        <v>4.0820201916639601E+18</v>
      </c>
      <c r="BT20" s="25" t="s">
        <v>164</v>
      </c>
      <c r="BV20" s="25">
        <v>2020</v>
      </c>
      <c r="BW20" s="25" t="s">
        <v>163</v>
      </c>
      <c r="BY20" s="25">
        <v>4.0821201916642002E+18</v>
      </c>
      <c r="BZ20" s="25" t="s">
        <v>867</v>
      </c>
      <c r="CA20" s="25" t="s">
        <v>161</v>
      </c>
    </row>
    <row r="21" spans="1:79" x14ac:dyDescent="0.2">
      <c r="A21" s="25" t="s">
        <v>838</v>
      </c>
      <c r="B21" s="25" t="s">
        <v>282</v>
      </c>
      <c r="C21" s="25">
        <v>2019</v>
      </c>
      <c r="D21" s="25" t="s">
        <v>451</v>
      </c>
      <c r="E21" s="25">
        <v>2.0190820916301101E+17</v>
      </c>
      <c r="F21" s="25" t="s">
        <v>182</v>
      </c>
      <c r="G21" s="25" t="s">
        <v>866</v>
      </c>
      <c r="H21" s="25">
        <v>1349111</v>
      </c>
      <c r="J21" s="25" t="s">
        <v>180</v>
      </c>
      <c r="K21" s="25" t="s">
        <v>179</v>
      </c>
      <c r="N21" s="25" t="s">
        <v>543</v>
      </c>
      <c r="O21" s="25" t="s">
        <v>66</v>
      </c>
      <c r="P21" s="25" t="s">
        <v>177</v>
      </c>
      <c r="Q21" s="25" t="s">
        <v>34</v>
      </c>
      <c r="R21" s="25" t="s">
        <v>295</v>
      </c>
      <c r="S21" s="25" t="s">
        <v>0</v>
      </c>
      <c r="T21" s="25" t="s">
        <v>294</v>
      </c>
      <c r="V21" s="25" t="s">
        <v>542</v>
      </c>
      <c r="W21" s="25" t="s">
        <v>541</v>
      </c>
      <c r="X21" s="25" t="s">
        <v>540</v>
      </c>
      <c r="Y21" s="25" t="s">
        <v>349</v>
      </c>
      <c r="Z21" s="25">
        <v>33131</v>
      </c>
      <c r="AA21" s="25" t="s">
        <v>539</v>
      </c>
      <c r="AB21" s="25" t="s">
        <v>187</v>
      </c>
      <c r="AD21" s="25">
        <v>15</v>
      </c>
      <c r="AE21" s="25" t="s">
        <v>169</v>
      </c>
      <c r="AI21" s="31">
        <v>43672</v>
      </c>
      <c r="AJ21" s="25">
        <v>192.3</v>
      </c>
      <c r="AK21" s="25">
        <v>2884.5</v>
      </c>
      <c r="BG21" s="25" t="s">
        <v>28</v>
      </c>
      <c r="BI21" s="25" t="s">
        <v>168</v>
      </c>
      <c r="BK21" s="25" t="s">
        <v>50</v>
      </c>
      <c r="BL21" s="25" t="s">
        <v>167</v>
      </c>
      <c r="BM21" s="25" t="s">
        <v>166</v>
      </c>
      <c r="BN21" s="30">
        <v>43699.113246516201</v>
      </c>
      <c r="BR21" s="25" t="s">
        <v>165</v>
      </c>
      <c r="BS21" s="25">
        <v>4.0820201916639601E+18</v>
      </c>
      <c r="BT21" s="25" t="s">
        <v>164</v>
      </c>
      <c r="BV21" s="25">
        <v>2020</v>
      </c>
      <c r="BW21" s="25" t="s">
        <v>163</v>
      </c>
      <c r="BY21" s="25">
        <v>4.0821201916642002E+18</v>
      </c>
      <c r="BZ21" s="25" t="s">
        <v>865</v>
      </c>
      <c r="CA21" s="25" t="s">
        <v>161</v>
      </c>
    </row>
    <row r="22" spans="1:79" hidden="1" x14ac:dyDescent="0.2">
      <c r="A22" s="25" t="s">
        <v>374</v>
      </c>
      <c r="B22" s="25" t="s">
        <v>287</v>
      </c>
      <c r="C22" s="25">
        <v>2019</v>
      </c>
      <c r="D22" s="25" t="s">
        <v>852</v>
      </c>
      <c r="E22" s="25">
        <v>2.0190729915404602E+17</v>
      </c>
      <c r="F22" s="25" t="s">
        <v>182</v>
      </c>
      <c r="G22" s="25" t="s">
        <v>864</v>
      </c>
      <c r="H22" s="25">
        <v>1344765</v>
      </c>
      <c r="J22" s="25" t="s">
        <v>180</v>
      </c>
      <c r="K22" s="25" t="s">
        <v>179</v>
      </c>
      <c r="N22" s="25" t="s">
        <v>298</v>
      </c>
      <c r="O22" s="25" t="s">
        <v>850</v>
      </c>
      <c r="Q22" s="25" t="s">
        <v>296</v>
      </c>
      <c r="R22" s="25" t="s">
        <v>295</v>
      </c>
      <c r="T22" s="25" t="s">
        <v>294</v>
      </c>
      <c r="V22" s="25" t="s">
        <v>809</v>
      </c>
      <c r="X22" s="25" t="s">
        <v>808</v>
      </c>
      <c r="Y22" s="25" t="s">
        <v>766</v>
      </c>
      <c r="Z22" s="25">
        <v>21217</v>
      </c>
      <c r="AA22" s="25" t="s">
        <v>849</v>
      </c>
      <c r="AB22" s="25" t="s">
        <v>848</v>
      </c>
      <c r="AF22" s="25" t="s">
        <v>377</v>
      </c>
      <c r="AI22" s="31">
        <v>43548</v>
      </c>
      <c r="AJ22" s="25">
        <v>25</v>
      </c>
      <c r="AK22" s="25">
        <v>31</v>
      </c>
      <c r="BK22" s="25" t="s">
        <v>50</v>
      </c>
      <c r="BL22" s="25" t="s">
        <v>167</v>
      </c>
      <c r="BM22" s="25" t="s">
        <v>166</v>
      </c>
      <c r="BN22" s="31">
        <v>43706.642106481479</v>
      </c>
      <c r="BR22" s="25" t="s">
        <v>165</v>
      </c>
      <c r="BS22" s="25">
        <v>4.0801201916624399E+18</v>
      </c>
      <c r="BT22" s="25" t="s">
        <v>164</v>
      </c>
      <c r="BU22" s="25" t="s">
        <v>806</v>
      </c>
      <c r="BV22" s="25">
        <v>2020</v>
      </c>
      <c r="BW22" s="25" t="s">
        <v>163</v>
      </c>
      <c r="BY22" s="25">
        <v>4.0828201911280502E+18</v>
      </c>
      <c r="BZ22" s="25" t="s">
        <v>857</v>
      </c>
      <c r="CA22" s="25" t="s">
        <v>161</v>
      </c>
    </row>
    <row r="23" spans="1:79" hidden="1" x14ac:dyDescent="0.2">
      <c r="A23" s="25" t="s">
        <v>374</v>
      </c>
      <c r="B23" s="25" t="s">
        <v>287</v>
      </c>
      <c r="C23" s="25">
        <v>2019</v>
      </c>
      <c r="D23" s="25" t="s">
        <v>852</v>
      </c>
      <c r="E23" s="25">
        <v>2.0190729915404602E+17</v>
      </c>
      <c r="F23" s="25" t="s">
        <v>182</v>
      </c>
      <c r="G23" s="25" t="s">
        <v>863</v>
      </c>
      <c r="H23" s="25">
        <v>1344765</v>
      </c>
      <c r="J23" s="25" t="s">
        <v>180</v>
      </c>
      <c r="K23" s="25" t="s">
        <v>179</v>
      </c>
      <c r="N23" s="25" t="s">
        <v>298</v>
      </c>
      <c r="O23" s="25" t="s">
        <v>850</v>
      </c>
      <c r="Q23" s="25" t="s">
        <v>296</v>
      </c>
      <c r="R23" s="25" t="s">
        <v>295</v>
      </c>
      <c r="T23" s="25" t="s">
        <v>294</v>
      </c>
      <c r="V23" s="25" t="s">
        <v>388</v>
      </c>
      <c r="X23" s="25" t="s">
        <v>368</v>
      </c>
      <c r="Y23" s="25" t="s">
        <v>367</v>
      </c>
      <c r="Z23" s="25">
        <v>81004</v>
      </c>
      <c r="AA23" s="25" t="s">
        <v>855</v>
      </c>
      <c r="AB23" s="25" t="s">
        <v>365</v>
      </c>
      <c r="AF23" s="25" t="s">
        <v>364</v>
      </c>
      <c r="AI23" s="31">
        <v>43611</v>
      </c>
      <c r="AJ23" s="25">
        <v>5</v>
      </c>
      <c r="AK23" s="25">
        <v>35</v>
      </c>
      <c r="BK23" s="25" t="s">
        <v>50</v>
      </c>
      <c r="BL23" s="25" t="s">
        <v>167</v>
      </c>
      <c r="BM23" s="25" t="s">
        <v>166</v>
      </c>
      <c r="BN23" s="30">
        <v>43706.642178125003</v>
      </c>
      <c r="BR23" s="25" t="s">
        <v>165</v>
      </c>
      <c r="BS23" s="25">
        <v>4.0801201916624399E+18</v>
      </c>
      <c r="BT23" s="25" t="s">
        <v>164</v>
      </c>
      <c r="BU23" s="25" t="s">
        <v>362</v>
      </c>
      <c r="BV23" s="25">
        <v>2020</v>
      </c>
      <c r="BW23" s="25" t="s">
        <v>163</v>
      </c>
      <c r="BY23" s="25">
        <v>4.0828201911280599E+18</v>
      </c>
      <c r="BZ23" s="25" t="s">
        <v>853</v>
      </c>
      <c r="CA23" s="25" t="s">
        <v>161</v>
      </c>
    </row>
    <row r="24" spans="1:79" hidden="1" x14ac:dyDescent="0.2">
      <c r="A24" s="25" t="s">
        <v>374</v>
      </c>
      <c r="B24" s="25" t="s">
        <v>287</v>
      </c>
      <c r="C24" s="25">
        <v>2019</v>
      </c>
      <c r="D24" s="25" t="s">
        <v>852</v>
      </c>
      <c r="E24" s="25">
        <v>2.0190729915404602E+17</v>
      </c>
      <c r="F24" s="25" t="s">
        <v>182</v>
      </c>
      <c r="G24" s="25" t="s">
        <v>862</v>
      </c>
      <c r="H24" s="25">
        <v>1344765</v>
      </c>
      <c r="J24" s="25" t="s">
        <v>180</v>
      </c>
      <c r="K24" s="25" t="s">
        <v>179</v>
      </c>
      <c r="N24" s="25" t="s">
        <v>298</v>
      </c>
      <c r="O24" s="25" t="s">
        <v>850</v>
      </c>
      <c r="Q24" s="25" t="s">
        <v>296</v>
      </c>
      <c r="R24" s="25" t="s">
        <v>295</v>
      </c>
      <c r="T24" s="25" t="s">
        <v>294</v>
      </c>
      <c r="V24" s="25" t="s">
        <v>388</v>
      </c>
      <c r="X24" s="25" t="s">
        <v>368</v>
      </c>
      <c r="Y24" s="25" t="s">
        <v>367</v>
      </c>
      <c r="Z24" s="25">
        <v>81004</v>
      </c>
      <c r="AA24" s="25" t="s">
        <v>855</v>
      </c>
      <c r="AB24" s="25" t="s">
        <v>365</v>
      </c>
      <c r="AF24" s="25" t="s">
        <v>364</v>
      </c>
      <c r="AI24" s="31">
        <v>43555</v>
      </c>
      <c r="AJ24" s="25">
        <v>10</v>
      </c>
      <c r="AK24" s="25">
        <v>35</v>
      </c>
      <c r="BK24" s="25" t="s">
        <v>50</v>
      </c>
      <c r="BL24" s="25" t="s">
        <v>167</v>
      </c>
      <c r="BM24" s="25" t="s">
        <v>166</v>
      </c>
      <c r="BN24" s="30">
        <v>43706.642274560189</v>
      </c>
      <c r="BR24" s="25" t="s">
        <v>165</v>
      </c>
      <c r="BS24" s="25">
        <v>4.0801201916624399E+18</v>
      </c>
      <c r="BT24" s="25" t="s">
        <v>164</v>
      </c>
      <c r="BU24" s="25" t="s">
        <v>362</v>
      </c>
      <c r="BV24" s="25">
        <v>2020</v>
      </c>
      <c r="BW24" s="25" t="s">
        <v>163</v>
      </c>
      <c r="BY24" s="25">
        <v>4.0828201911280701E+18</v>
      </c>
      <c r="BZ24" s="25" t="s">
        <v>847</v>
      </c>
      <c r="CA24" s="25" t="s">
        <v>161</v>
      </c>
    </row>
    <row r="25" spans="1:79" hidden="1" x14ac:dyDescent="0.2">
      <c r="A25" s="25" t="s">
        <v>374</v>
      </c>
      <c r="B25" s="25" t="s">
        <v>287</v>
      </c>
      <c r="C25" s="25">
        <v>2019</v>
      </c>
      <c r="D25" s="25" t="s">
        <v>852</v>
      </c>
      <c r="E25" s="25">
        <v>2.0190729915404602E+17</v>
      </c>
      <c r="F25" s="25" t="s">
        <v>182</v>
      </c>
      <c r="G25" s="25" t="s">
        <v>861</v>
      </c>
      <c r="H25" s="25">
        <v>1344765</v>
      </c>
      <c r="J25" s="25" t="s">
        <v>180</v>
      </c>
      <c r="K25" s="25" t="s">
        <v>179</v>
      </c>
      <c r="N25" s="25" t="s">
        <v>298</v>
      </c>
      <c r="O25" s="25" t="s">
        <v>850</v>
      </c>
      <c r="Q25" s="25" t="s">
        <v>296</v>
      </c>
      <c r="R25" s="25" t="s">
        <v>295</v>
      </c>
      <c r="T25" s="25" t="s">
        <v>294</v>
      </c>
      <c r="V25" s="25" t="s">
        <v>809</v>
      </c>
      <c r="X25" s="25" t="s">
        <v>808</v>
      </c>
      <c r="Y25" s="25" t="s">
        <v>766</v>
      </c>
      <c r="Z25" s="25">
        <v>21217</v>
      </c>
      <c r="AA25" s="25" t="s">
        <v>849</v>
      </c>
      <c r="AB25" s="25" t="s">
        <v>848</v>
      </c>
      <c r="AF25" s="25" t="s">
        <v>377</v>
      </c>
      <c r="AI25" s="31">
        <v>43589</v>
      </c>
      <c r="AJ25" s="25">
        <v>3</v>
      </c>
      <c r="AK25" s="25">
        <v>31</v>
      </c>
      <c r="BK25" s="25" t="s">
        <v>50</v>
      </c>
      <c r="BL25" s="25" t="s">
        <v>167</v>
      </c>
      <c r="BM25" s="25" t="s">
        <v>166</v>
      </c>
      <c r="BN25" s="30">
        <v>43706.657925486114</v>
      </c>
      <c r="BR25" s="25" t="s">
        <v>165</v>
      </c>
      <c r="BS25" s="25">
        <v>4.0801201916624399E+18</v>
      </c>
      <c r="BT25" s="25" t="s">
        <v>164</v>
      </c>
      <c r="BU25" s="25" t="s">
        <v>806</v>
      </c>
      <c r="BV25" s="25">
        <v>2020</v>
      </c>
      <c r="BW25" s="25" t="s">
        <v>163</v>
      </c>
      <c r="BY25" s="25">
        <v>4.0828201911318799E+18</v>
      </c>
      <c r="BZ25" s="25" t="s">
        <v>853</v>
      </c>
      <c r="CA25" s="25" t="s">
        <v>161</v>
      </c>
    </row>
    <row r="26" spans="1:79" hidden="1" x14ac:dyDescent="0.2">
      <c r="A26" s="25" t="s">
        <v>374</v>
      </c>
      <c r="B26" s="25" t="s">
        <v>287</v>
      </c>
      <c r="C26" s="25">
        <v>2019</v>
      </c>
      <c r="D26" s="25" t="s">
        <v>852</v>
      </c>
      <c r="E26" s="25">
        <v>2.0190729915404602E+17</v>
      </c>
      <c r="F26" s="25" t="s">
        <v>182</v>
      </c>
      <c r="G26" s="25" t="s">
        <v>860</v>
      </c>
      <c r="H26" s="25">
        <v>1344765</v>
      </c>
      <c r="J26" s="25" t="s">
        <v>180</v>
      </c>
      <c r="K26" s="25" t="s">
        <v>179</v>
      </c>
      <c r="N26" s="25" t="s">
        <v>298</v>
      </c>
      <c r="O26" s="25" t="s">
        <v>850</v>
      </c>
      <c r="Q26" s="25" t="s">
        <v>296</v>
      </c>
      <c r="R26" s="25" t="s">
        <v>295</v>
      </c>
      <c r="T26" s="25" t="s">
        <v>294</v>
      </c>
      <c r="V26" s="25" t="s">
        <v>388</v>
      </c>
      <c r="X26" s="25" t="s">
        <v>368</v>
      </c>
      <c r="Y26" s="25" t="s">
        <v>367</v>
      </c>
      <c r="Z26" s="25">
        <v>81004</v>
      </c>
      <c r="AA26" s="25" t="s">
        <v>855</v>
      </c>
      <c r="AB26" s="25" t="s">
        <v>365</v>
      </c>
      <c r="AF26" s="25" t="s">
        <v>364</v>
      </c>
      <c r="AI26" s="31">
        <v>43515</v>
      </c>
      <c r="AJ26" s="25">
        <v>10</v>
      </c>
      <c r="AK26" s="25">
        <v>35</v>
      </c>
      <c r="BK26" s="25" t="s">
        <v>50</v>
      </c>
      <c r="BL26" s="25" t="s">
        <v>167</v>
      </c>
      <c r="BM26" s="25" t="s">
        <v>166</v>
      </c>
      <c r="BN26" s="30">
        <v>43706.658070196761</v>
      </c>
      <c r="BR26" s="25" t="s">
        <v>165</v>
      </c>
      <c r="BS26" s="25">
        <v>4.0801201916624399E+18</v>
      </c>
      <c r="BT26" s="25" t="s">
        <v>164</v>
      </c>
      <c r="BU26" s="25" t="s">
        <v>362</v>
      </c>
      <c r="BV26" s="25">
        <v>2020</v>
      </c>
      <c r="BW26" s="25" t="s">
        <v>163</v>
      </c>
      <c r="BY26" s="25">
        <v>4.0828201911318902E+18</v>
      </c>
      <c r="BZ26" s="25" t="s">
        <v>859</v>
      </c>
      <c r="CA26" s="25" t="s">
        <v>161</v>
      </c>
    </row>
    <row r="27" spans="1:79" hidden="1" x14ac:dyDescent="0.2">
      <c r="A27" s="25" t="s">
        <v>374</v>
      </c>
      <c r="B27" s="25" t="s">
        <v>287</v>
      </c>
      <c r="C27" s="25">
        <v>2019</v>
      </c>
      <c r="D27" s="25" t="s">
        <v>852</v>
      </c>
      <c r="E27" s="25">
        <v>2.0190729915404602E+17</v>
      </c>
      <c r="F27" s="25" t="s">
        <v>182</v>
      </c>
      <c r="G27" s="25" t="s">
        <v>858</v>
      </c>
      <c r="H27" s="25">
        <v>1344765</v>
      </c>
      <c r="J27" s="25" t="s">
        <v>180</v>
      </c>
      <c r="K27" s="25" t="s">
        <v>179</v>
      </c>
      <c r="N27" s="25" t="s">
        <v>298</v>
      </c>
      <c r="O27" s="25" t="s">
        <v>850</v>
      </c>
      <c r="Q27" s="25" t="s">
        <v>296</v>
      </c>
      <c r="R27" s="25" t="s">
        <v>295</v>
      </c>
      <c r="T27" s="25" t="s">
        <v>294</v>
      </c>
      <c r="V27" s="25" t="s">
        <v>388</v>
      </c>
      <c r="X27" s="25" t="s">
        <v>368</v>
      </c>
      <c r="Y27" s="25" t="s">
        <v>367</v>
      </c>
      <c r="Z27" s="25">
        <v>81004</v>
      </c>
      <c r="AA27" s="25" t="s">
        <v>855</v>
      </c>
      <c r="AB27" s="25" t="s">
        <v>365</v>
      </c>
      <c r="AF27" s="25" t="s">
        <v>364</v>
      </c>
      <c r="AI27" s="31">
        <v>43552</v>
      </c>
      <c r="AJ27" s="25">
        <v>10</v>
      </c>
      <c r="AK27" s="25">
        <v>35</v>
      </c>
      <c r="BK27" s="25" t="s">
        <v>50</v>
      </c>
      <c r="BL27" s="25" t="s">
        <v>167</v>
      </c>
      <c r="BM27" s="25" t="s">
        <v>166</v>
      </c>
      <c r="BN27" s="30">
        <v>43706.731008310184</v>
      </c>
      <c r="BR27" s="25" t="s">
        <v>165</v>
      </c>
      <c r="BS27" s="25">
        <v>4.0801201916624399E+18</v>
      </c>
      <c r="BT27" s="25" t="s">
        <v>164</v>
      </c>
      <c r="BU27" s="25" t="s">
        <v>362</v>
      </c>
      <c r="BV27" s="25">
        <v>2020</v>
      </c>
      <c r="BW27" s="25" t="s">
        <v>163</v>
      </c>
      <c r="BY27" s="25">
        <v>4.08282019112802E+18</v>
      </c>
      <c r="BZ27" s="25" t="s">
        <v>857</v>
      </c>
      <c r="CA27" s="25" t="s">
        <v>161</v>
      </c>
    </row>
    <row r="28" spans="1:79" hidden="1" x14ac:dyDescent="0.2">
      <c r="A28" s="25" t="s">
        <v>374</v>
      </c>
      <c r="B28" s="25" t="s">
        <v>287</v>
      </c>
      <c r="C28" s="25">
        <v>2019</v>
      </c>
      <c r="D28" s="25" t="s">
        <v>852</v>
      </c>
      <c r="E28" s="25">
        <v>2.0190729915404602E+17</v>
      </c>
      <c r="F28" s="25" t="s">
        <v>182</v>
      </c>
      <c r="G28" s="25" t="s">
        <v>856</v>
      </c>
      <c r="H28" s="25">
        <v>1344765</v>
      </c>
      <c r="J28" s="25" t="s">
        <v>180</v>
      </c>
      <c r="K28" s="25" t="s">
        <v>179</v>
      </c>
      <c r="N28" s="25" t="s">
        <v>298</v>
      </c>
      <c r="O28" s="25" t="s">
        <v>850</v>
      </c>
      <c r="Q28" s="25" t="s">
        <v>296</v>
      </c>
      <c r="R28" s="25" t="s">
        <v>295</v>
      </c>
      <c r="T28" s="25" t="s">
        <v>294</v>
      </c>
      <c r="V28" s="25" t="s">
        <v>388</v>
      </c>
      <c r="X28" s="25" t="s">
        <v>368</v>
      </c>
      <c r="Y28" s="25" t="s">
        <v>367</v>
      </c>
      <c r="Z28" s="25">
        <v>81004</v>
      </c>
      <c r="AA28" s="25" t="s">
        <v>855</v>
      </c>
      <c r="AB28" s="25" t="s">
        <v>365</v>
      </c>
      <c r="AF28" s="25" t="s">
        <v>377</v>
      </c>
      <c r="AI28" s="31">
        <v>43611</v>
      </c>
      <c r="AJ28" s="25">
        <v>50</v>
      </c>
      <c r="AK28" s="25">
        <v>50</v>
      </c>
      <c r="BK28" s="25" t="s">
        <v>50</v>
      </c>
      <c r="BL28" s="25" t="s">
        <v>167</v>
      </c>
      <c r="BM28" s="25" t="s">
        <v>166</v>
      </c>
      <c r="BN28" s="30">
        <v>43706.750322523148</v>
      </c>
      <c r="BR28" s="25" t="s">
        <v>165</v>
      </c>
      <c r="BS28" s="25">
        <v>4.0801201916624399E+18</v>
      </c>
      <c r="BT28" s="25" t="s">
        <v>164</v>
      </c>
      <c r="BU28" s="25" t="s">
        <v>854</v>
      </c>
      <c r="BV28" s="25">
        <v>2020</v>
      </c>
      <c r="BW28" s="25" t="s">
        <v>163</v>
      </c>
      <c r="BY28" s="25">
        <v>4.0828201911318799E+18</v>
      </c>
      <c r="BZ28" s="25" t="s">
        <v>853</v>
      </c>
      <c r="CA28" s="25" t="s">
        <v>161</v>
      </c>
    </row>
    <row r="29" spans="1:79" hidden="1" x14ac:dyDescent="0.2">
      <c r="A29" s="25" t="s">
        <v>374</v>
      </c>
      <c r="B29" s="25" t="s">
        <v>287</v>
      </c>
      <c r="C29" s="25">
        <v>2019</v>
      </c>
      <c r="D29" s="25" t="s">
        <v>852</v>
      </c>
      <c r="E29" s="25">
        <v>2.0190729915404602E+17</v>
      </c>
      <c r="F29" s="25" t="s">
        <v>182</v>
      </c>
      <c r="G29" s="25" t="s">
        <v>851</v>
      </c>
      <c r="H29" s="25">
        <v>1344765</v>
      </c>
      <c r="J29" s="25" t="s">
        <v>180</v>
      </c>
      <c r="K29" s="25" t="s">
        <v>179</v>
      </c>
      <c r="N29" s="25" t="s">
        <v>298</v>
      </c>
      <c r="O29" s="25" t="s">
        <v>850</v>
      </c>
      <c r="Q29" s="25" t="s">
        <v>296</v>
      </c>
      <c r="R29" s="25" t="s">
        <v>295</v>
      </c>
      <c r="T29" s="25" t="s">
        <v>294</v>
      </c>
      <c r="V29" s="25" t="s">
        <v>809</v>
      </c>
      <c r="X29" s="25" t="s">
        <v>808</v>
      </c>
      <c r="Y29" s="25" t="s">
        <v>766</v>
      </c>
      <c r="Z29" s="25">
        <v>21217</v>
      </c>
      <c r="AA29" s="25" t="s">
        <v>849</v>
      </c>
      <c r="AB29" s="25" t="s">
        <v>848</v>
      </c>
      <c r="AF29" s="25" t="s">
        <v>377</v>
      </c>
      <c r="AI29" s="31">
        <v>43582</v>
      </c>
      <c r="AJ29" s="25">
        <v>3</v>
      </c>
      <c r="AK29" s="25">
        <v>31</v>
      </c>
      <c r="BK29" s="25" t="s">
        <v>50</v>
      </c>
      <c r="BL29" s="25" t="s">
        <v>167</v>
      </c>
      <c r="BM29" s="25" t="s">
        <v>166</v>
      </c>
      <c r="BN29" s="30">
        <v>43706.843781539355</v>
      </c>
      <c r="BR29" s="25" t="s">
        <v>165</v>
      </c>
      <c r="BS29" s="25">
        <v>4.0801201916624399E+18</v>
      </c>
      <c r="BT29" s="25" t="s">
        <v>164</v>
      </c>
      <c r="BU29" s="25" t="s">
        <v>806</v>
      </c>
      <c r="BV29" s="25">
        <v>2020</v>
      </c>
      <c r="BW29" s="25" t="s">
        <v>163</v>
      </c>
      <c r="BY29" s="25">
        <v>4.0828201911318799E+18</v>
      </c>
      <c r="BZ29" s="25" t="s">
        <v>847</v>
      </c>
      <c r="CA29" s="25" t="s">
        <v>161</v>
      </c>
    </row>
    <row r="30" spans="1:79" hidden="1" x14ac:dyDescent="0.2">
      <c r="A30" s="25" t="s">
        <v>580</v>
      </c>
      <c r="B30" s="25" t="s">
        <v>283</v>
      </c>
      <c r="C30" s="25">
        <v>2020</v>
      </c>
      <c r="D30" s="25" t="s">
        <v>341</v>
      </c>
      <c r="E30" s="25">
        <v>2.0201203933818E+17</v>
      </c>
      <c r="F30" s="25" t="s">
        <v>182</v>
      </c>
      <c r="G30" s="25">
        <v>5461157</v>
      </c>
      <c r="H30" s="25">
        <v>1478470</v>
      </c>
      <c r="J30" s="25" t="s">
        <v>180</v>
      </c>
      <c r="K30" s="25" t="s">
        <v>179</v>
      </c>
      <c r="L30" s="25" t="s">
        <v>374</v>
      </c>
      <c r="N30" s="25" t="s">
        <v>371</v>
      </c>
      <c r="O30" s="25" t="s">
        <v>75</v>
      </c>
      <c r="Q30" s="25" t="s">
        <v>28</v>
      </c>
      <c r="R30" s="25" t="s">
        <v>370</v>
      </c>
      <c r="T30" s="25" t="s">
        <v>294</v>
      </c>
      <c r="V30" s="25" t="s">
        <v>388</v>
      </c>
      <c r="X30" s="25" t="s">
        <v>368</v>
      </c>
      <c r="Y30" s="25" t="s">
        <v>367</v>
      </c>
      <c r="Z30" s="25">
        <v>810049787</v>
      </c>
      <c r="AA30" s="25" t="s">
        <v>366</v>
      </c>
      <c r="AB30" s="25" t="s">
        <v>365</v>
      </c>
      <c r="AC30" s="25" t="s">
        <v>374</v>
      </c>
      <c r="AD30" s="25" t="s">
        <v>345</v>
      </c>
      <c r="AE30" s="25" t="s">
        <v>344</v>
      </c>
      <c r="AI30" s="31">
        <v>44024</v>
      </c>
      <c r="AJ30" s="25">
        <v>100</v>
      </c>
      <c r="AK30" s="25">
        <v>800</v>
      </c>
      <c r="BG30" s="25" t="s">
        <v>446</v>
      </c>
      <c r="BI30" s="25" t="s">
        <v>168</v>
      </c>
      <c r="BJ30" s="25">
        <v>2020</v>
      </c>
      <c r="BK30" s="25" t="s">
        <v>0</v>
      </c>
      <c r="BL30" s="25" t="s">
        <v>186</v>
      </c>
      <c r="BM30" s="25" t="s">
        <v>166</v>
      </c>
      <c r="BN30" s="30">
        <v>44178.148050127318</v>
      </c>
      <c r="BP30" s="25" t="s">
        <v>846</v>
      </c>
      <c r="BQ30" s="25" t="s">
        <v>419</v>
      </c>
      <c r="BR30" s="25" t="s">
        <v>513</v>
      </c>
      <c r="BS30" s="25">
        <v>4.1204202019634202E+18</v>
      </c>
      <c r="BT30" s="25" t="s">
        <v>164</v>
      </c>
      <c r="BU30" s="25" t="s">
        <v>512</v>
      </c>
      <c r="BV30" s="25">
        <v>2020</v>
      </c>
      <c r="BW30" s="25" t="s">
        <v>163</v>
      </c>
      <c r="BY30" s="25">
        <v>4.12132020197376E+18</v>
      </c>
      <c r="BZ30" s="25" t="s">
        <v>845</v>
      </c>
      <c r="CA30" s="25" t="s">
        <v>161</v>
      </c>
    </row>
    <row r="31" spans="1:79" x14ac:dyDescent="0.2">
      <c r="A31" s="25" t="s">
        <v>838</v>
      </c>
      <c r="B31" s="25" t="s">
        <v>282</v>
      </c>
      <c r="C31" s="25">
        <v>2019</v>
      </c>
      <c r="D31" s="25" t="s">
        <v>373</v>
      </c>
      <c r="E31" s="25">
        <v>2.0190920916346301E+17</v>
      </c>
      <c r="F31" s="25" t="s">
        <v>182</v>
      </c>
      <c r="G31" s="25" t="s">
        <v>844</v>
      </c>
      <c r="H31" s="25">
        <v>1353294</v>
      </c>
      <c r="J31" s="25" t="s">
        <v>180</v>
      </c>
      <c r="K31" s="25" t="s">
        <v>179</v>
      </c>
      <c r="N31" s="25" t="s">
        <v>543</v>
      </c>
      <c r="O31" s="25" t="s">
        <v>66</v>
      </c>
      <c r="P31" s="25" t="s">
        <v>177</v>
      </c>
      <c r="Q31" s="25" t="s">
        <v>34</v>
      </c>
      <c r="R31" s="25" t="s">
        <v>295</v>
      </c>
      <c r="S31" s="25" t="s">
        <v>0</v>
      </c>
      <c r="T31" s="25" t="s">
        <v>294</v>
      </c>
      <c r="V31" s="25" t="s">
        <v>542</v>
      </c>
      <c r="W31" s="25" t="s">
        <v>541</v>
      </c>
      <c r="X31" s="25" t="s">
        <v>540</v>
      </c>
      <c r="Y31" s="25" t="s">
        <v>349</v>
      </c>
      <c r="Z31" s="25">
        <v>33131</v>
      </c>
      <c r="AA31" s="25" t="s">
        <v>539</v>
      </c>
      <c r="AB31" s="25" t="s">
        <v>187</v>
      </c>
      <c r="AD31" s="25">
        <v>15</v>
      </c>
      <c r="AE31" s="25" t="s">
        <v>169</v>
      </c>
      <c r="AI31" s="31">
        <v>43686</v>
      </c>
      <c r="AJ31" s="25">
        <v>192.3</v>
      </c>
      <c r="AK31" s="25">
        <v>3076.8</v>
      </c>
      <c r="BG31" s="25" t="s">
        <v>28</v>
      </c>
      <c r="BI31" s="25" t="s">
        <v>168</v>
      </c>
      <c r="BK31" s="25" t="s">
        <v>50</v>
      </c>
      <c r="BL31" s="25" t="s">
        <v>167</v>
      </c>
      <c r="BM31" s="25" t="s">
        <v>166</v>
      </c>
      <c r="BN31" s="30">
        <v>43729.124035671295</v>
      </c>
      <c r="BR31" s="25" t="s">
        <v>165</v>
      </c>
      <c r="BS31" s="25">
        <v>4.0920201916732099E+18</v>
      </c>
      <c r="BT31" s="25" t="s">
        <v>164</v>
      </c>
      <c r="BV31" s="25">
        <v>2020</v>
      </c>
      <c r="BW31" s="25" t="s">
        <v>163</v>
      </c>
      <c r="BY31" s="25">
        <v>4.0920201916733599E+18</v>
      </c>
      <c r="BZ31" s="25" t="s">
        <v>843</v>
      </c>
      <c r="CA31" s="25" t="s">
        <v>161</v>
      </c>
    </row>
    <row r="32" spans="1:79" x14ac:dyDescent="0.2">
      <c r="A32" s="25" t="s">
        <v>838</v>
      </c>
      <c r="B32" s="25" t="s">
        <v>282</v>
      </c>
      <c r="C32" s="25">
        <v>2019</v>
      </c>
      <c r="D32" s="25" t="s">
        <v>373</v>
      </c>
      <c r="E32" s="25">
        <v>2.0190920916346301E+17</v>
      </c>
      <c r="F32" s="25" t="s">
        <v>182</v>
      </c>
      <c r="G32" s="25" t="s">
        <v>842</v>
      </c>
      <c r="H32" s="25">
        <v>1353294</v>
      </c>
      <c r="J32" s="25" t="s">
        <v>180</v>
      </c>
      <c r="K32" s="25" t="s">
        <v>179</v>
      </c>
      <c r="N32" s="25" t="s">
        <v>543</v>
      </c>
      <c r="O32" s="25" t="s">
        <v>66</v>
      </c>
      <c r="P32" s="25" t="s">
        <v>177</v>
      </c>
      <c r="Q32" s="25" t="s">
        <v>34</v>
      </c>
      <c r="R32" s="25" t="s">
        <v>295</v>
      </c>
      <c r="S32" s="25" t="s">
        <v>0</v>
      </c>
      <c r="T32" s="25" t="s">
        <v>294</v>
      </c>
      <c r="V32" s="25" t="s">
        <v>542</v>
      </c>
      <c r="W32" s="25" t="s">
        <v>541</v>
      </c>
      <c r="X32" s="25" t="s">
        <v>540</v>
      </c>
      <c r="Y32" s="25" t="s">
        <v>349</v>
      </c>
      <c r="Z32" s="25">
        <v>33131</v>
      </c>
      <c r="AA32" s="25" t="s">
        <v>539</v>
      </c>
      <c r="AB32" s="25" t="s">
        <v>187</v>
      </c>
      <c r="AD32" s="25">
        <v>15</v>
      </c>
      <c r="AE32" s="25" t="s">
        <v>169</v>
      </c>
      <c r="AI32" s="31">
        <v>43700</v>
      </c>
      <c r="AJ32" s="25">
        <v>192.3</v>
      </c>
      <c r="AK32" s="25">
        <v>3269.1</v>
      </c>
      <c r="BG32" s="25" t="s">
        <v>28</v>
      </c>
      <c r="BI32" s="25" t="s">
        <v>168</v>
      </c>
      <c r="BK32" s="25" t="s">
        <v>50</v>
      </c>
      <c r="BL32" s="25" t="s">
        <v>167</v>
      </c>
      <c r="BM32" s="25" t="s">
        <v>166</v>
      </c>
      <c r="BN32" s="30">
        <v>43729.124035671295</v>
      </c>
      <c r="BR32" s="25" t="s">
        <v>165</v>
      </c>
      <c r="BS32" s="25">
        <v>4.0920201916732099E+18</v>
      </c>
      <c r="BT32" s="25" t="s">
        <v>164</v>
      </c>
      <c r="BV32" s="25">
        <v>2020</v>
      </c>
      <c r="BW32" s="25" t="s">
        <v>163</v>
      </c>
      <c r="BY32" s="25">
        <v>4.0920201916733599E+18</v>
      </c>
      <c r="BZ32" s="25" t="s">
        <v>841</v>
      </c>
      <c r="CA32" s="25" t="s">
        <v>161</v>
      </c>
    </row>
    <row r="33" spans="1:79" x14ac:dyDescent="0.2">
      <c r="A33" s="25" t="s">
        <v>838</v>
      </c>
      <c r="B33" s="25" t="s">
        <v>282</v>
      </c>
      <c r="C33" s="25">
        <v>2019</v>
      </c>
      <c r="D33" s="25" t="s">
        <v>494</v>
      </c>
      <c r="E33" s="25">
        <v>2.0191018916508E+17</v>
      </c>
      <c r="F33" s="25" t="s">
        <v>182</v>
      </c>
      <c r="G33" s="25" t="s">
        <v>840</v>
      </c>
      <c r="H33" s="25">
        <v>1359958</v>
      </c>
      <c r="J33" s="25" t="s">
        <v>180</v>
      </c>
      <c r="K33" s="25" t="s">
        <v>179</v>
      </c>
      <c r="N33" s="25" t="s">
        <v>543</v>
      </c>
      <c r="O33" s="25" t="s">
        <v>66</v>
      </c>
      <c r="P33" s="25" t="s">
        <v>177</v>
      </c>
      <c r="Q33" s="25" t="s">
        <v>34</v>
      </c>
      <c r="R33" s="25" t="s">
        <v>295</v>
      </c>
      <c r="S33" s="25" t="s">
        <v>0</v>
      </c>
      <c r="T33" s="25" t="s">
        <v>294</v>
      </c>
      <c r="V33" s="25" t="s">
        <v>542</v>
      </c>
      <c r="W33" s="25" t="s">
        <v>541</v>
      </c>
      <c r="X33" s="25" t="s">
        <v>540</v>
      </c>
      <c r="Y33" s="25" t="s">
        <v>349</v>
      </c>
      <c r="Z33" s="25">
        <v>33131</v>
      </c>
      <c r="AA33" s="25" t="s">
        <v>539</v>
      </c>
      <c r="AB33" s="25" t="s">
        <v>187</v>
      </c>
      <c r="AD33" s="25">
        <v>15</v>
      </c>
      <c r="AE33" s="25" t="s">
        <v>169</v>
      </c>
      <c r="AI33" s="31">
        <v>43714</v>
      </c>
      <c r="AJ33" s="25">
        <v>192.3</v>
      </c>
      <c r="AK33" s="25">
        <v>3461.4</v>
      </c>
      <c r="BG33" s="25" t="s">
        <v>28</v>
      </c>
      <c r="BI33" s="25" t="s">
        <v>168</v>
      </c>
      <c r="BK33" s="25" t="s">
        <v>50</v>
      </c>
      <c r="BL33" s="25" t="s">
        <v>167</v>
      </c>
      <c r="BM33" s="25" t="s">
        <v>166</v>
      </c>
      <c r="BN33" s="30">
        <v>43763.113079409719</v>
      </c>
      <c r="BR33" s="25" t="s">
        <v>165</v>
      </c>
      <c r="BS33" s="25">
        <v>4.10182019167458E+18</v>
      </c>
      <c r="BT33" s="25" t="s">
        <v>164</v>
      </c>
      <c r="BV33" s="25">
        <v>2020</v>
      </c>
      <c r="BW33" s="25" t="s">
        <v>163</v>
      </c>
      <c r="BY33" s="25">
        <v>4.10242019167535E+18</v>
      </c>
      <c r="BZ33" s="25" t="s">
        <v>839</v>
      </c>
      <c r="CA33" s="25" t="s">
        <v>161</v>
      </c>
    </row>
    <row r="34" spans="1:79" x14ac:dyDescent="0.2">
      <c r="A34" s="25" t="s">
        <v>838</v>
      </c>
      <c r="B34" s="25" t="s">
        <v>282</v>
      </c>
      <c r="C34" s="25">
        <v>2019</v>
      </c>
      <c r="D34" s="25" t="s">
        <v>494</v>
      </c>
      <c r="E34" s="25">
        <v>2.0191018916508E+17</v>
      </c>
      <c r="F34" s="25" t="s">
        <v>182</v>
      </c>
      <c r="G34" s="25" t="s">
        <v>837</v>
      </c>
      <c r="H34" s="25">
        <v>1359958</v>
      </c>
      <c r="J34" s="25" t="s">
        <v>180</v>
      </c>
      <c r="K34" s="25" t="s">
        <v>179</v>
      </c>
      <c r="N34" s="25" t="s">
        <v>543</v>
      </c>
      <c r="O34" s="25" t="s">
        <v>66</v>
      </c>
      <c r="P34" s="25" t="s">
        <v>177</v>
      </c>
      <c r="Q34" s="25" t="s">
        <v>34</v>
      </c>
      <c r="R34" s="25" t="s">
        <v>295</v>
      </c>
      <c r="S34" s="25" t="s">
        <v>0</v>
      </c>
      <c r="T34" s="25" t="s">
        <v>294</v>
      </c>
      <c r="V34" s="25" t="s">
        <v>542</v>
      </c>
      <c r="W34" s="25" t="s">
        <v>541</v>
      </c>
      <c r="X34" s="25" t="s">
        <v>540</v>
      </c>
      <c r="Y34" s="25" t="s">
        <v>349</v>
      </c>
      <c r="Z34" s="25">
        <v>33131</v>
      </c>
      <c r="AA34" s="25" t="s">
        <v>539</v>
      </c>
      <c r="AB34" s="25" t="s">
        <v>187</v>
      </c>
      <c r="AD34" s="25">
        <v>15</v>
      </c>
      <c r="AE34" s="25" t="s">
        <v>169</v>
      </c>
      <c r="AI34" s="31">
        <v>43728</v>
      </c>
      <c r="AJ34" s="25">
        <v>192.3</v>
      </c>
      <c r="AK34" s="25">
        <v>3653.7</v>
      </c>
      <c r="BG34" s="25" t="s">
        <v>28</v>
      </c>
      <c r="BI34" s="25" t="s">
        <v>168</v>
      </c>
      <c r="BK34" s="25" t="s">
        <v>50</v>
      </c>
      <c r="BL34" s="25" t="s">
        <v>167</v>
      </c>
      <c r="BM34" s="25" t="s">
        <v>166</v>
      </c>
      <c r="BN34" s="30">
        <v>43763.113079409719</v>
      </c>
      <c r="BR34" s="25" t="s">
        <v>165</v>
      </c>
      <c r="BS34" s="25">
        <v>4.10182019167458E+18</v>
      </c>
      <c r="BT34" s="25" t="s">
        <v>164</v>
      </c>
      <c r="BV34" s="25">
        <v>2020</v>
      </c>
      <c r="BW34" s="25" t="s">
        <v>163</v>
      </c>
      <c r="BY34" s="25">
        <v>4.10242019167535E+18</v>
      </c>
      <c r="BZ34" s="25" t="s">
        <v>836</v>
      </c>
      <c r="CA34" s="25" t="s">
        <v>161</v>
      </c>
    </row>
    <row r="35" spans="1:79" x14ac:dyDescent="0.2">
      <c r="A35" s="25" t="s">
        <v>192</v>
      </c>
      <c r="B35" s="25" t="s">
        <v>157</v>
      </c>
      <c r="C35" s="25">
        <v>2019</v>
      </c>
      <c r="D35" s="25" t="s">
        <v>834</v>
      </c>
      <c r="E35" s="25">
        <v>2.0191216916629299E+17</v>
      </c>
      <c r="F35" s="25" t="s">
        <v>182</v>
      </c>
      <c r="G35" s="25" t="s">
        <v>835</v>
      </c>
      <c r="H35" s="25">
        <v>1366346</v>
      </c>
      <c r="J35" s="25" t="s">
        <v>180</v>
      </c>
      <c r="K35" s="25" t="s">
        <v>179</v>
      </c>
      <c r="N35" s="25" t="s">
        <v>543</v>
      </c>
      <c r="O35" s="25" t="s">
        <v>66</v>
      </c>
      <c r="P35" s="25" t="s">
        <v>177</v>
      </c>
      <c r="Q35" s="25" t="s">
        <v>34</v>
      </c>
      <c r="R35" s="25" t="s">
        <v>295</v>
      </c>
      <c r="S35" s="25" t="s">
        <v>0</v>
      </c>
      <c r="T35" s="25" t="s">
        <v>294</v>
      </c>
      <c r="V35" s="25" t="s">
        <v>542</v>
      </c>
      <c r="W35" s="25" t="s">
        <v>541</v>
      </c>
      <c r="X35" s="25" t="s">
        <v>540</v>
      </c>
      <c r="Y35" s="25" t="s">
        <v>349</v>
      </c>
      <c r="Z35" s="25">
        <v>33131</v>
      </c>
      <c r="AA35" s="25" t="s">
        <v>539</v>
      </c>
      <c r="AB35" s="25" t="s">
        <v>187</v>
      </c>
      <c r="AD35" s="25">
        <v>15</v>
      </c>
      <c r="AE35" s="25" t="s">
        <v>169</v>
      </c>
      <c r="AI35" s="31">
        <v>43784</v>
      </c>
      <c r="AJ35" s="25">
        <v>192.3</v>
      </c>
      <c r="AK35" s="25">
        <v>384.6</v>
      </c>
      <c r="BG35" s="25" t="s">
        <v>28</v>
      </c>
      <c r="BI35" s="25" t="s">
        <v>168</v>
      </c>
      <c r="BK35" s="25" t="s">
        <v>50</v>
      </c>
      <c r="BL35" s="25" t="s">
        <v>167</v>
      </c>
      <c r="BM35" s="25" t="s">
        <v>166</v>
      </c>
      <c r="BN35" s="30">
        <v>43816.067768923611</v>
      </c>
      <c r="BR35" s="25" t="s">
        <v>165</v>
      </c>
      <c r="BS35" s="25">
        <v>4.1216201916815201E+18</v>
      </c>
      <c r="BT35" s="25" t="s">
        <v>164</v>
      </c>
      <c r="BV35" s="25">
        <v>2020</v>
      </c>
      <c r="BW35" s="25" t="s">
        <v>163</v>
      </c>
      <c r="BY35" s="25">
        <v>4.1216201916815401E+18</v>
      </c>
      <c r="BZ35" s="25" t="s">
        <v>832</v>
      </c>
      <c r="CA35" s="25" t="s">
        <v>161</v>
      </c>
    </row>
    <row r="36" spans="1:79" x14ac:dyDescent="0.2">
      <c r="A36" s="25" t="s">
        <v>192</v>
      </c>
      <c r="B36" s="25" t="s">
        <v>157</v>
      </c>
      <c r="C36" s="25">
        <v>2019</v>
      </c>
      <c r="D36" s="25" t="s">
        <v>834</v>
      </c>
      <c r="E36" s="25">
        <v>2.0191216916629299E+17</v>
      </c>
      <c r="F36" s="25" t="s">
        <v>182</v>
      </c>
      <c r="G36" s="25" t="s">
        <v>833</v>
      </c>
      <c r="H36" s="25">
        <v>1366346</v>
      </c>
      <c r="J36" s="25" t="s">
        <v>180</v>
      </c>
      <c r="K36" s="25" t="s">
        <v>179</v>
      </c>
      <c r="N36" s="25" t="s">
        <v>543</v>
      </c>
      <c r="O36" s="25" t="s">
        <v>66</v>
      </c>
      <c r="P36" s="25" t="s">
        <v>177</v>
      </c>
      <c r="Q36" s="25" t="s">
        <v>34</v>
      </c>
      <c r="R36" s="25" t="s">
        <v>295</v>
      </c>
      <c r="S36" s="25" t="s">
        <v>0</v>
      </c>
      <c r="T36" s="25" t="s">
        <v>294</v>
      </c>
      <c r="V36" s="25" t="s">
        <v>542</v>
      </c>
      <c r="W36" s="25" t="s">
        <v>541</v>
      </c>
      <c r="X36" s="25" t="s">
        <v>540</v>
      </c>
      <c r="Y36" s="25" t="s">
        <v>349</v>
      </c>
      <c r="Z36" s="25">
        <v>33131</v>
      </c>
      <c r="AA36" s="25" t="s">
        <v>539</v>
      </c>
      <c r="AB36" s="25" t="s">
        <v>187</v>
      </c>
      <c r="AD36" s="25">
        <v>15</v>
      </c>
      <c r="AE36" s="25" t="s">
        <v>169</v>
      </c>
      <c r="AI36" s="31">
        <v>43798</v>
      </c>
      <c r="AJ36" s="25">
        <v>192.3</v>
      </c>
      <c r="AK36" s="25">
        <v>576.9</v>
      </c>
      <c r="BG36" s="25" t="s">
        <v>28</v>
      </c>
      <c r="BI36" s="25" t="s">
        <v>168</v>
      </c>
      <c r="BK36" s="25" t="s">
        <v>50</v>
      </c>
      <c r="BL36" s="25" t="s">
        <v>167</v>
      </c>
      <c r="BM36" s="25" t="s">
        <v>166</v>
      </c>
      <c r="BN36" s="30">
        <v>43816.067768923611</v>
      </c>
      <c r="BR36" s="25" t="s">
        <v>165</v>
      </c>
      <c r="BS36" s="25">
        <v>4.1216201916815201E+18</v>
      </c>
      <c r="BT36" s="25" t="s">
        <v>164</v>
      </c>
      <c r="BV36" s="25">
        <v>2020</v>
      </c>
      <c r="BW36" s="25" t="s">
        <v>163</v>
      </c>
      <c r="BY36" s="25">
        <v>4.1216201916815401E+18</v>
      </c>
      <c r="BZ36" s="25" t="s">
        <v>832</v>
      </c>
      <c r="CA36" s="25" t="s">
        <v>161</v>
      </c>
    </row>
    <row r="37" spans="1:79" hidden="1" x14ac:dyDescent="0.2">
      <c r="A37" s="25" t="s">
        <v>357</v>
      </c>
      <c r="B37" s="25" t="s">
        <v>280</v>
      </c>
      <c r="C37" s="25">
        <v>2020</v>
      </c>
      <c r="D37" s="25" t="s">
        <v>373</v>
      </c>
      <c r="E37" s="25">
        <v>2.02009209275724E+17</v>
      </c>
      <c r="F37" s="25">
        <v>12</v>
      </c>
      <c r="G37" s="25" t="s">
        <v>831</v>
      </c>
      <c r="H37" s="25">
        <v>1440221</v>
      </c>
      <c r="J37" s="25" t="s">
        <v>180</v>
      </c>
      <c r="K37" s="25" t="s">
        <v>179</v>
      </c>
      <c r="N37" s="25" t="s">
        <v>339</v>
      </c>
      <c r="O37" s="25" t="s">
        <v>26</v>
      </c>
      <c r="Q37" s="25" t="s">
        <v>296</v>
      </c>
      <c r="R37" s="25" t="s">
        <v>307</v>
      </c>
      <c r="T37" s="25" t="s">
        <v>294</v>
      </c>
      <c r="V37" s="25" t="s">
        <v>822</v>
      </c>
      <c r="X37" s="25" t="s">
        <v>358</v>
      </c>
      <c r="Y37" s="25" t="s">
        <v>172</v>
      </c>
      <c r="Z37" s="25">
        <v>936198745</v>
      </c>
      <c r="AA37" s="25" t="s">
        <v>411</v>
      </c>
      <c r="AB37" s="25" t="s">
        <v>410</v>
      </c>
      <c r="AD37" s="25" t="s">
        <v>830</v>
      </c>
      <c r="AE37" s="25" t="s">
        <v>829</v>
      </c>
      <c r="AF37" s="25" t="s">
        <v>169</v>
      </c>
      <c r="AG37" s="25" t="s">
        <v>533</v>
      </c>
      <c r="AI37" s="31">
        <v>43984</v>
      </c>
      <c r="AJ37" s="25">
        <v>25</v>
      </c>
      <c r="AK37" s="25">
        <v>275</v>
      </c>
      <c r="BG37" s="25" t="s">
        <v>28</v>
      </c>
      <c r="BI37" s="25" t="s">
        <v>168</v>
      </c>
      <c r="BK37" s="25" t="s">
        <v>50</v>
      </c>
      <c r="BL37" s="25" t="s">
        <v>167</v>
      </c>
      <c r="BM37" s="25" t="s">
        <v>166</v>
      </c>
      <c r="BN37" s="30">
        <v>44120.155536365739</v>
      </c>
      <c r="BP37" s="25" t="s">
        <v>828</v>
      </c>
      <c r="BQ37" s="25" t="s">
        <v>827</v>
      </c>
      <c r="BR37" s="25" t="s">
        <v>165</v>
      </c>
      <c r="BS37" s="25">
        <v>4.0921202018491699E+18</v>
      </c>
      <c r="BT37" s="25" t="s">
        <v>164</v>
      </c>
      <c r="BU37" s="25" t="s">
        <v>826</v>
      </c>
      <c r="BV37" s="25">
        <v>2020</v>
      </c>
      <c r="BW37" s="25" t="s">
        <v>163</v>
      </c>
      <c r="BY37" s="25">
        <v>4.1016202018581801E+18</v>
      </c>
      <c r="BZ37" s="25" t="s">
        <v>825</v>
      </c>
      <c r="CA37" s="25" t="s">
        <v>824</v>
      </c>
    </row>
    <row r="38" spans="1:79" hidden="1" x14ac:dyDescent="0.2">
      <c r="A38" s="25" t="s">
        <v>357</v>
      </c>
      <c r="B38" s="25" t="s">
        <v>280</v>
      </c>
      <c r="C38" s="25">
        <v>2020</v>
      </c>
      <c r="D38" s="25" t="s">
        <v>373</v>
      </c>
      <c r="E38" s="25">
        <v>2.02009209275692E+17</v>
      </c>
      <c r="F38" s="25" t="s">
        <v>182</v>
      </c>
      <c r="G38" s="25" t="s">
        <v>823</v>
      </c>
      <c r="H38" s="25">
        <v>1440221</v>
      </c>
      <c r="J38" s="25" t="s">
        <v>180</v>
      </c>
      <c r="K38" s="25" t="s">
        <v>179</v>
      </c>
      <c r="L38" s="25" t="s">
        <v>821</v>
      </c>
      <c r="N38" s="25" t="s">
        <v>339</v>
      </c>
      <c r="O38" s="25" t="s">
        <v>26</v>
      </c>
      <c r="Q38" s="25" t="s">
        <v>296</v>
      </c>
      <c r="R38" s="25" t="s">
        <v>307</v>
      </c>
      <c r="T38" s="25" t="s">
        <v>294</v>
      </c>
      <c r="V38" s="25" t="s">
        <v>822</v>
      </c>
      <c r="X38" s="25" t="s">
        <v>358</v>
      </c>
      <c r="Y38" s="25" t="s">
        <v>172</v>
      </c>
      <c r="Z38" s="25">
        <v>936198745</v>
      </c>
      <c r="AA38" s="25" t="s">
        <v>411</v>
      </c>
      <c r="AB38" s="25" t="s">
        <v>410</v>
      </c>
      <c r="AC38" s="25" t="s">
        <v>821</v>
      </c>
      <c r="AD38" s="25" t="s">
        <v>345</v>
      </c>
      <c r="AE38" s="25" t="s">
        <v>344</v>
      </c>
      <c r="AF38" s="25" t="s">
        <v>169</v>
      </c>
      <c r="AI38" s="31">
        <v>44074</v>
      </c>
      <c r="AJ38" s="25">
        <v>100</v>
      </c>
      <c r="AK38" s="25">
        <v>275</v>
      </c>
      <c r="BG38" s="25" t="s">
        <v>28</v>
      </c>
      <c r="BI38" s="25" t="s">
        <v>168</v>
      </c>
      <c r="BK38" s="25" t="s">
        <v>50</v>
      </c>
      <c r="BL38" s="25" t="s">
        <v>167</v>
      </c>
      <c r="BM38" s="25" t="s">
        <v>166</v>
      </c>
      <c r="BN38" s="30">
        <v>44120.172717141206</v>
      </c>
      <c r="BP38" s="25" t="s">
        <v>820</v>
      </c>
      <c r="BQ38" s="25" t="s">
        <v>419</v>
      </c>
      <c r="BR38" s="25" t="s">
        <v>165</v>
      </c>
      <c r="BS38" s="25">
        <v>4.0921202018491699E+18</v>
      </c>
      <c r="BT38" s="25" t="s">
        <v>164</v>
      </c>
      <c r="BU38" s="25" t="s">
        <v>418</v>
      </c>
      <c r="BV38" s="25">
        <v>2020</v>
      </c>
      <c r="BW38" s="25" t="s">
        <v>163</v>
      </c>
      <c r="BY38" s="25">
        <v>4.1016202018580797E+18</v>
      </c>
      <c r="BZ38" s="25" t="s">
        <v>819</v>
      </c>
      <c r="CA38" s="25" t="s">
        <v>161</v>
      </c>
    </row>
    <row r="39" spans="1:79" x14ac:dyDescent="0.2">
      <c r="A39" s="25" t="s">
        <v>192</v>
      </c>
      <c r="B39" s="25" t="s">
        <v>157</v>
      </c>
      <c r="C39" s="25">
        <v>2019</v>
      </c>
      <c r="D39" s="25" t="s">
        <v>422</v>
      </c>
      <c r="E39" s="25">
        <v>2.0200130918243802E+17</v>
      </c>
      <c r="F39" s="25" t="s">
        <v>182</v>
      </c>
      <c r="G39" s="25" t="s">
        <v>818</v>
      </c>
      <c r="H39" s="25">
        <v>1375290</v>
      </c>
      <c r="J39" s="25" t="s">
        <v>180</v>
      </c>
      <c r="K39" s="25" t="s">
        <v>179</v>
      </c>
      <c r="N39" s="25" t="s">
        <v>543</v>
      </c>
      <c r="O39" s="25" t="s">
        <v>66</v>
      </c>
      <c r="P39" s="25" t="s">
        <v>177</v>
      </c>
      <c r="Q39" s="25" t="s">
        <v>34</v>
      </c>
      <c r="R39" s="25" t="s">
        <v>295</v>
      </c>
      <c r="S39" s="25" t="s">
        <v>0</v>
      </c>
      <c r="T39" s="25" t="s">
        <v>294</v>
      </c>
      <c r="V39" s="25" t="s">
        <v>542</v>
      </c>
      <c r="W39" s="25" t="s">
        <v>541</v>
      </c>
      <c r="X39" s="25" t="s">
        <v>540</v>
      </c>
      <c r="Y39" s="25" t="s">
        <v>349</v>
      </c>
      <c r="Z39" s="25">
        <v>33131</v>
      </c>
      <c r="AA39" s="25" t="s">
        <v>539</v>
      </c>
      <c r="AB39" s="25" t="s">
        <v>187</v>
      </c>
      <c r="AD39" s="25">
        <v>15</v>
      </c>
      <c r="AE39" s="25" t="s">
        <v>169</v>
      </c>
      <c r="AI39" s="31">
        <v>43812</v>
      </c>
      <c r="AJ39" s="25">
        <v>192.3</v>
      </c>
      <c r="AK39" s="25">
        <v>769.2</v>
      </c>
      <c r="BG39" s="25" t="s">
        <v>28</v>
      </c>
      <c r="BI39" s="25" t="s">
        <v>168</v>
      </c>
      <c r="BK39" s="25" t="s">
        <v>50</v>
      </c>
      <c r="BL39" s="25" t="s">
        <v>167</v>
      </c>
      <c r="BM39" s="25" t="s">
        <v>166</v>
      </c>
      <c r="BN39" s="30">
        <v>43881.091792407409</v>
      </c>
      <c r="BR39" s="25" t="s">
        <v>165</v>
      </c>
      <c r="BS39" s="25">
        <v>4.0130202016861302E+18</v>
      </c>
      <c r="BT39" s="25" t="s">
        <v>164</v>
      </c>
      <c r="BV39" s="25">
        <v>2020</v>
      </c>
      <c r="BW39" s="25" t="s">
        <v>163</v>
      </c>
      <c r="BY39" s="25">
        <v>4.02192020169314E+18</v>
      </c>
      <c r="BZ39" s="25" t="s">
        <v>816</v>
      </c>
      <c r="CA39" s="25" t="s">
        <v>161</v>
      </c>
    </row>
    <row r="40" spans="1:79" x14ac:dyDescent="0.2">
      <c r="A40" s="25" t="s">
        <v>192</v>
      </c>
      <c r="B40" s="25" t="s">
        <v>157</v>
      </c>
      <c r="C40" s="25">
        <v>2019</v>
      </c>
      <c r="D40" s="25" t="s">
        <v>422</v>
      </c>
      <c r="E40" s="25">
        <v>2.0200130918243802E+17</v>
      </c>
      <c r="F40" s="25" t="s">
        <v>182</v>
      </c>
      <c r="G40" s="25" t="s">
        <v>817</v>
      </c>
      <c r="H40" s="25">
        <v>1375290</v>
      </c>
      <c r="J40" s="25" t="s">
        <v>180</v>
      </c>
      <c r="K40" s="25" t="s">
        <v>179</v>
      </c>
      <c r="N40" s="25" t="s">
        <v>543</v>
      </c>
      <c r="O40" s="25" t="s">
        <v>66</v>
      </c>
      <c r="P40" s="25" t="s">
        <v>177</v>
      </c>
      <c r="Q40" s="25" t="s">
        <v>34</v>
      </c>
      <c r="R40" s="25" t="s">
        <v>295</v>
      </c>
      <c r="S40" s="25" t="s">
        <v>0</v>
      </c>
      <c r="T40" s="25" t="s">
        <v>294</v>
      </c>
      <c r="V40" s="25" t="s">
        <v>542</v>
      </c>
      <c r="W40" s="25" t="s">
        <v>541</v>
      </c>
      <c r="X40" s="25" t="s">
        <v>540</v>
      </c>
      <c r="Y40" s="25" t="s">
        <v>349</v>
      </c>
      <c r="Z40" s="25">
        <v>33131</v>
      </c>
      <c r="AA40" s="25" t="s">
        <v>539</v>
      </c>
      <c r="AB40" s="25" t="s">
        <v>187</v>
      </c>
      <c r="AD40" s="25">
        <v>15</v>
      </c>
      <c r="AE40" s="25" t="s">
        <v>169</v>
      </c>
      <c r="AI40" s="31">
        <v>43826</v>
      </c>
      <c r="AJ40" s="25">
        <v>192.3</v>
      </c>
      <c r="AK40" s="25">
        <v>961.5</v>
      </c>
      <c r="BG40" s="25" t="s">
        <v>28</v>
      </c>
      <c r="BI40" s="25" t="s">
        <v>168</v>
      </c>
      <c r="BK40" s="25" t="s">
        <v>50</v>
      </c>
      <c r="BL40" s="25" t="s">
        <v>167</v>
      </c>
      <c r="BM40" s="25" t="s">
        <v>166</v>
      </c>
      <c r="BN40" s="30">
        <v>43881.091792407409</v>
      </c>
      <c r="BR40" s="25" t="s">
        <v>165</v>
      </c>
      <c r="BS40" s="25">
        <v>4.0130202016861302E+18</v>
      </c>
      <c r="BT40" s="25" t="s">
        <v>164</v>
      </c>
      <c r="BV40" s="25">
        <v>2020</v>
      </c>
      <c r="BW40" s="25" t="s">
        <v>163</v>
      </c>
      <c r="BY40" s="25">
        <v>4.02192020169314E+18</v>
      </c>
      <c r="BZ40" s="25" t="s">
        <v>816</v>
      </c>
      <c r="CA40" s="25" t="s">
        <v>161</v>
      </c>
    </row>
    <row r="41" spans="1:79" x14ac:dyDescent="0.2">
      <c r="A41" s="25" t="s">
        <v>192</v>
      </c>
      <c r="B41" s="25" t="s">
        <v>157</v>
      </c>
      <c r="C41" s="25">
        <v>2020</v>
      </c>
      <c r="D41" s="25" t="s">
        <v>793</v>
      </c>
      <c r="E41" s="25">
        <v>2.0200219918652099E+17</v>
      </c>
      <c r="F41" s="25" t="s">
        <v>182</v>
      </c>
      <c r="G41" s="25" t="s">
        <v>815</v>
      </c>
      <c r="H41" s="25">
        <v>1383305</v>
      </c>
      <c r="J41" s="25" t="s">
        <v>180</v>
      </c>
      <c r="K41" s="25" t="s">
        <v>179</v>
      </c>
      <c r="N41" s="25" t="s">
        <v>543</v>
      </c>
      <c r="O41" s="25" t="s">
        <v>66</v>
      </c>
      <c r="P41" s="25" t="s">
        <v>177</v>
      </c>
      <c r="Q41" s="25" t="s">
        <v>34</v>
      </c>
      <c r="R41" s="25" t="s">
        <v>295</v>
      </c>
      <c r="S41" s="25" t="s">
        <v>0</v>
      </c>
      <c r="T41" s="25" t="s">
        <v>294</v>
      </c>
      <c r="V41" s="25" t="s">
        <v>542</v>
      </c>
      <c r="W41" s="25" t="s">
        <v>541</v>
      </c>
      <c r="X41" s="25" t="s">
        <v>540</v>
      </c>
      <c r="Y41" s="25" t="s">
        <v>349</v>
      </c>
      <c r="Z41" s="25">
        <v>33131</v>
      </c>
      <c r="AA41" s="25" t="s">
        <v>539</v>
      </c>
      <c r="AB41" s="25" t="s">
        <v>187</v>
      </c>
      <c r="AD41" s="25">
        <v>15</v>
      </c>
      <c r="AE41" s="25" t="s">
        <v>169</v>
      </c>
      <c r="AI41" s="31">
        <v>43854</v>
      </c>
      <c r="AJ41" s="25">
        <v>192.3</v>
      </c>
      <c r="AK41" s="25">
        <v>384.6</v>
      </c>
      <c r="BG41" s="25" t="s">
        <v>28</v>
      </c>
      <c r="BI41" s="25" t="s">
        <v>168</v>
      </c>
      <c r="BK41" s="25" t="s">
        <v>50</v>
      </c>
      <c r="BL41" s="25" t="s">
        <v>167</v>
      </c>
      <c r="BM41" s="25" t="s">
        <v>166</v>
      </c>
      <c r="BN41" s="30">
        <v>43888.063876539352</v>
      </c>
      <c r="BR41" s="25" t="s">
        <v>165</v>
      </c>
      <c r="BS41" s="25">
        <v>4.0219202016927498E+18</v>
      </c>
      <c r="BT41" s="25" t="s">
        <v>164</v>
      </c>
      <c r="BV41" s="25">
        <v>2020</v>
      </c>
      <c r="BW41" s="25" t="s">
        <v>163</v>
      </c>
      <c r="BY41" s="25">
        <v>4.0226202016943002E+18</v>
      </c>
      <c r="BZ41" s="25" t="s">
        <v>814</v>
      </c>
      <c r="CA41" s="25" t="s">
        <v>161</v>
      </c>
    </row>
    <row r="42" spans="1:79" hidden="1" x14ac:dyDescent="0.2">
      <c r="A42" s="25" t="s">
        <v>374</v>
      </c>
      <c r="B42" s="25" t="s">
        <v>287</v>
      </c>
      <c r="C42" s="25">
        <v>2019</v>
      </c>
      <c r="D42" s="25" t="s">
        <v>422</v>
      </c>
      <c r="E42" s="25">
        <v>2.02001299169852E+17</v>
      </c>
      <c r="F42" s="25" t="s">
        <v>182</v>
      </c>
      <c r="G42" s="25" t="s">
        <v>813</v>
      </c>
      <c r="H42" s="25">
        <v>1378435</v>
      </c>
      <c r="J42" s="25" t="s">
        <v>180</v>
      </c>
      <c r="K42" s="25" t="s">
        <v>179</v>
      </c>
      <c r="N42" s="25" t="s">
        <v>298</v>
      </c>
      <c r="O42" s="25" t="s">
        <v>297</v>
      </c>
      <c r="Q42" s="25" t="s">
        <v>296</v>
      </c>
      <c r="R42" s="25" t="s">
        <v>295</v>
      </c>
      <c r="T42" s="25" t="s">
        <v>294</v>
      </c>
      <c r="V42" s="25" t="s">
        <v>809</v>
      </c>
      <c r="X42" s="25" t="s">
        <v>808</v>
      </c>
      <c r="Y42" s="25" t="s">
        <v>766</v>
      </c>
      <c r="Z42" s="25">
        <v>21217</v>
      </c>
      <c r="AA42" s="25" t="s">
        <v>807</v>
      </c>
      <c r="AB42" s="25" t="s">
        <v>651</v>
      </c>
      <c r="AF42" s="25" t="s">
        <v>377</v>
      </c>
      <c r="AI42" s="31">
        <v>43771</v>
      </c>
      <c r="AJ42" s="25">
        <v>3</v>
      </c>
      <c r="AK42" s="25">
        <v>57</v>
      </c>
      <c r="BF42" s="25" t="s">
        <v>363</v>
      </c>
      <c r="BK42" s="25" t="s">
        <v>50</v>
      </c>
      <c r="BL42" s="25" t="s">
        <v>167</v>
      </c>
      <c r="BM42" s="25" t="s">
        <v>166</v>
      </c>
      <c r="BN42" s="30">
        <v>43894.312390011575</v>
      </c>
      <c r="BR42" s="25" t="s">
        <v>165</v>
      </c>
      <c r="BS42" s="25">
        <v>4.02012020168638E+18</v>
      </c>
      <c r="BT42" s="25" t="s">
        <v>164</v>
      </c>
      <c r="BU42" s="25" t="s">
        <v>806</v>
      </c>
      <c r="BV42" s="25">
        <v>2020</v>
      </c>
      <c r="BW42" s="25" t="s">
        <v>163</v>
      </c>
      <c r="BY42" s="25">
        <v>4.03022020122895E+18</v>
      </c>
      <c r="BZ42" s="25" t="s">
        <v>800</v>
      </c>
      <c r="CA42" s="25" t="s">
        <v>161</v>
      </c>
    </row>
    <row r="43" spans="1:79" hidden="1" x14ac:dyDescent="0.2">
      <c r="A43" s="25" t="s">
        <v>374</v>
      </c>
      <c r="B43" s="25" t="s">
        <v>287</v>
      </c>
      <c r="C43" s="25">
        <v>2019</v>
      </c>
      <c r="D43" s="25" t="s">
        <v>422</v>
      </c>
      <c r="E43" s="25">
        <v>2.02001299169852E+17</v>
      </c>
      <c r="F43" s="25" t="s">
        <v>182</v>
      </c>
      <c r="G43" s="25" t="s">
        <v>812</v>
      </c>
      <c r="H43" s="25">
        <v>1378435</v>
      </c>
      <c r="J43" s="25" t="s">
        <v>180</v>
      </c>
      <c r="K43" s="25" t="s">
        <v>179</v>
      </c>
      <c r="N43" s="25" t="s">
        <v>298</v>
      </c>
      <c r="O43" s="25" t="s">
        <v>297</v>
      </c>
      <c r="Q43" s="25" t="s">
        <v>296</v>
      </c>
      <c r="R43" s="25" t="s">
        <v>295</v>
      </c>
      <c r="T43" s="25" t="s">
        <v>294</v>
      </c>
      <c r="V43" s="25" t="s">
        <v>809</v>
      </c>
      <c r="X43" s="25" t="s">
        <v>808</v>
      </c>
      <c r="Y43" s="25" t="s">
        <v>766</v>
      </c>
      <c r="Z43" s="25">
        <v>21217</v>
      </c>
      <c r="AA43" s="25" t="s">
        <v>807</v>
      </c>
      <c r="AB43" s="25" t="s">
        <v>651</v>
      </c>
      <c r="AF43" s="25" t="s">
        <v>377</v>
      </c>
      <c r="AI43" s="31">
        <v>43786</v>
      </c>
      <c r="AJ43" s="25">
        <v>10</v>
      </c>
      <c r="AK43" s="25">
        <v>57</v>
      </c>
      <c r="BF43" s="25" t="s">
        <v>363</v>
      </c>
      <c r="BK43" s="25" t="s">
        <v>50</v>
      </c>
      <c r="BL43" s="25" t="s">
        <v>167</v>
      </c>
      <c r="BM43" s="25" t="s">
        <v>166</v>
      </c>
      <c r="BN43" s="30">
        <v>43894.349700162034</v>
      </c>
      <c r="BR43" s="25" t="s">
        <v>165</v>
      </c>
      <c r="BS43" s="25">
        <v>4.02012020168638E+18</v>
      </c>
      <c r="BT43" s="25" t="s">
        <v>164</v>
      </c>
      <c r="BU43" s="25" t="s">
        <v>806</v>
      </c>
      <c r="BV43" s="25">
        <v>2020</v>
      </c>
      <c r="BW43" s="25" t="s">
        <v>163</v>
      </c>
      <c r="BY43" s="25">
        <v>4.0302202012322601E+18</v>
      </c>
      <c r="BZ43" s="25" t="s">
        <v>800</v>
      </c>
      <c r="CA43" s="25" t="s">
        <v>161</v>
      </c>
    </row>
    <row r="44" spans="1:79" hidden="1" x14ac:dyDescent="0.2">
      <c r="A44" s="25" t="s">
        <v>374</v>
      </c>
      <c r="B44" s="25" t="s">
        <v>287</v>
      </c>
      <c r="C44" s="25">
        <v>2019</v>
      </c>
      <c r="D44" s="25" t="s">
        <v>422</v>
      </c>
      <c r="E44" s="25">
        <v>2.02001299169852E+17</v>
      </c>
      <c r="F44" s="25" t="s">
        <v>182</v>
      </c>
      <c r="G44" s="25" t="s">
        <v>811</v>
      </c>
      <c r="H44" s="25">
        <v>1378435</v>
      </c>
      <c r="J44" s="25" t="s">
        <v>180</v>
      </c>
      <c r="K44" s="25" t="s">
        <v>179</v>
      </c>
      <c r="N44" s="25" t="s">
        <v>298</v>
      </c>
      <c r="O44" s="25" t="s">
        <v>297</v>
      </c>
      <c r="Q44" s="25" t="s">
        <v>296</v>
      </c>
      <c r="R44" s="25" t="s">
        <v>295</v>
      </c>
      <c r="T44" s="25" t="s">
        <v>294</v>
      </c>
      <c r="V44" s="25" t="s">
        <v>809</v>
      </c>
      <c r="X44" s="25" t="s">
        <v>808</v>
      </c>
      <c r="Y44" s="25" t="s">
        <v>766</v>
      </c>
      <c r="Z44" s="25">
        <v>21217</v>
      </c>
      <c r="AA44" s="25" t="s">
        <v>807</v>
      </c>
      <c r="AB44" s="25" t="s">
        <v>651</v>
      </c>
      <c r="AF44" s="25" t="s">
        <v>377</v>
      </c>
      <c r="AI44" s="31">
        <v>43665</v>
      </c>
      <c r="AJ44" s="25">
        <v>10</v>
      </c>
      <c r="AK44" s="25">
        <v>57</v>
      </c>
      <c r="BF44" s="25" t="s">
        <v>363</v>
      </c>
      <c r="BK44" s="25" t="s">
        <v>50</v>
      </c>
      <c r="BL44" s="25" t="s">
        <v>167</v>
      </c>
      <c r="BM44" s="25" t="s">
        <v>166</v>
      </c>
      <c r="BN44" s="30">
        <v>43894.397828819441</v>
      </c>
      <c r="BR44" s="25" t="s">
        <v>165</v>
      </c>
      <c r="BS44" s="25">
        <v>4.02012020168638E+18</v>
      </c>
      <c r="BT44" s="25" t="s">
        <v>164</v>
      </c>
      <c r="BU44" s="25" t="s">
        <v>806</v>
      </c>
      <c r="BV44" s="25">
        <v>2020</v>
      </c>
      <c r="BW44" s="25" t="s">
        <v>163</v>
      </c>
      <c r="BY44" s="25">
        <v>4.0302202012333901E+18</v>
      </c>
      <c r="BZ44" s="25" t="s">
        <v>805</v>
      </c>
      <c r="CA44" s="25" t="s">
        <v>161</v>
      </c>
    </row>
    <row r="45" spans="1:79" hidden="1" x14ac:dyDescent="0.2">
      <c r="A45" s="25" t="s">
        <v>374</v>
      </c>
      <c r="B45" s="25" t="s">
        <v>287</v>
      </c>
      <c r="C45" s="25">
        <v>2019</v>
      </c>
      <c r="D45" s="25" t="s">
        <v>422</v>
      </c>
      <c r="E45" s="25">
        <v>2.02001299169852E+17</v>
      </c>
      <c r="F45" s="25" t="s">
        <v>182</v>
      </c>
      <c r="G45" s="25" t="s">
        <v>810</v>
      </c>
      <c r="H45" s="25">
        <v>1378435</v>
      </c>
      <c r="J45" s="25" t="s">
        <v>180</v>
      </c>
      <c r="K45" s="25" t="s">
        <v>179</v>
      </c>
      <c r="N45" s="25" t="s">
        <v>298</v>
      </c>
      <c r="O45" s="25" t="s">
        <v>297</v>
      </c>
      <c r="Q45" s="25" t="s">
        <v>296</v>
      </c>
      <c r="R45" s="25" t="s">
        <v>295</v>
      </c>
      <c r="T45" s="25" t="s">
        <v>294</v>
      </c>
      <c r="V45" s="25" t="s">
        <v>809</v>
      </c>
      <c r="X45" s="25" t="s">
        <v>808</v>
      </c>
      <c r="Y45" s="25" t="s">
        <v>766</v>
      </c>
      <c r="Z45" s="25">
        <v>21217</v>
      </c>
      <c r="AA45" s="25" t="s">
        <v>807</v>
      </c>
      <c r="AB45" s="25" t="s">
        <v>651</v>
      </c>
      <c r="AF45" s="25" t="s">
        <v>377</v>
      </c>
      <c r="AI45" s="31">
        <v>43723</v>
      </c>
      <c r="AJ45" s="25">
        <v>3</v>
      </c>
      <c r="AK45" s="25">
        <v>57</v>
      </c>
      <c r="BF45" s="25" t="s">
        <v>363</v>
      </c>
      <c r="BK45" s="25" t="s">
        <v>50</v>
      </c>
      <c r="BL45" s="25" t="s">
        <v>167</v>
      </c>
      <c r="BM45" s="25" t="s">
        <v>166</v>
      </c>
      <c r="BN45" s="30">
        <v>43894.436106724534</v>
      </c>
      <c r="BR45" s="25" t="s">
        <v>165</v>
      </c>
      <c r="BS45" s="25">
        <v>4.02012020168638E+18</v>
      </c>
      <c r="BT45" s="25" t="s">
        <v>164</v>
      </c>
      <c r="BU45" s="25" t="s">
        <v>806</v>
      </c>
      <c r="BV45" s="25">
        <v>2020</v>
      </c>
      <c r="BW45" s="25" t="s">
        <v>163</v>
      </c>
      <c r="BY45" s="25">
        <v>4.0302202012312003E+18</v>
      </c>
      <c r="BZ45" s="25" t="s">
        <v>805</v>
      </c>
      <c r="CA45" s="25" t="s">
        <v>161</v>
      </c>
    </row>
    <row r="46" spans="1:79" hidden="1" x14ac:dyDescent="0.2">
      <c r="A46" s="25" t="s">
        <v>374</v>
      </c>
      <c r="B46" s="25" t="s">
        <v>287</v>
      </c>
      <c r="C46" s="25">
        <v>2019</v>
      </c>
      <c r="D46" s="25" t="s">
        <v>422</v>
      </c>
      <c r="E46" s="25">
        <v>2.02001299169852E+17</v>
      </c>
      <c r="F46" s="25" t="s">
        <v>182</v>
      </c>
      <c r="G46" s="25" t="s">
        <v>804</v>
      </c>
      <c r="H46" s="25">
        <v>1378435</v>
      </c>
      <c r="J46" s="25" t="s">
        <v>180</v>
      </c>
      <c r="K46" s="25" t="s">
        <v>179</v>
      </c>
      <c r="N46" s="25" t="s">
        <v>298</v>
      </c>
      <c r="O46" s="25" t="s">
        <v>297</v>
      </c>
      <c r="Q46" s="25" t="s">
        <v>296</v>
      </c>
      <c r="R46" s="25" t="s">
        <v>295</v>
      </c>
      <c r="T46" s="25" t="s">
        <v>294</v>
      </c>
      <c r="V46" s="25" t="s">
        <v>801</v>
      </c>
      <c r="X46" s="25" t="s">
        <v>653</v>
      </c>
      <c r="Y46" s="25" t="s">
        <v>42</v>
      </c>
      <c r="Z46" s="25">
        <v>20002</v>
      </c>
      <c r="AA46" s="25" t="s">
        <v>652</v>
      </c>
      <c r="AB46" s="25" t="s">
        <v>651</v>
      </c>
      <c r="AF46" s="25" t="s">
        <v>364</v>
      </c>
      <c r="AI46" s="31">
        <v>43819</v>
      </c>
      <c r="AJ46" s="25">
        <v>2.5</v>
      </c>
      <c r="AK46" s="25">
        <v>2.5</v>
      </c>
      <c r="BF46" s="25" t="s">
        <v>363</v>
      </c>
      <c r="BK46" s="25" t="s">
        <v>50</v>
      </c>
      <c r="BL46" s="25" t="s">
        <v>167</v>
      </c>
      <c r="BM46" s="25" t="s">
        <v>166</v>
      </c>
      <c r="BN46" s="30">
        <v>43894.468507916667</v>
      </c>
      <c r="BR46" s="25" t="s">
        <v>165</v>
      </c>
      <c r="BS46" s="25">
        <v>4.02012020168638E+18</v>
      </c>
      <c r="BT46" s="25" t="s">
        <v>164</v>
      </c>
      <c r="BU46" s="25" t="s">
        <v>362</v>
      </c>
      <c r="BV46" s="25">
        <v>2020</v>
      </c>
      <c r="BW46" s="25" t="s">
        <v>163</v>
      </c>
      <c r="BY46" s="25">
        <v>4.0302202012235699E+18</v>
      </c>
      <c r="BZ46" s="25" t="s">
        <v>803</v>
      </c>
      <c r="CA46" s="25" t="s">
        <v>161</v>
      </c>
    </row>
    <row r="47" spans="1:79" hidden="1" x14ac:dyDescent="0.2">
      <c r="A47" s="25" t="s">
        <v>374</v>
      </c>
      <c r="B47" s="25" t="s">
        <v>287</v>
      </c>
      <c r="C47" s="25">
        <v>2019</v>
      </c>
      <c r="D47" s="25" t="s">
        <v>422</v>
      </c>
      <c r="E47" s="25">
        <v>2.02001299169852E+17</v>
      </c>
      <c r="F47" s="25" t="s">
        <v>182</v>
      </c>
      <c r="G47" s="25" t="s">
        <v>802</v>
      </c>
      <c r="H47" s="25">
        <v>1378435</v>
      </c>
      <c r="J47" s="25" t="s">
        <v>180</v>
      </c>
      <c r="K47" s="25" t="s">
        <v>179</v>
      </c>
      <c r="N47" s="25" t="s">
        <v>298</v>
      </c>
      <c r="O47" s="25" t="s">
        <v>297</v>
      </c>
      <c r="Q47" s="25" t="s">
        <v>296</v>
      </c>
      <c r="R47" s="25" t="s">
        <v>295</v>
      </c>
      <c r="T47" s="25" t="s">
        <v>294</v>
      </c>
      <c r="V47" s="25" t="s">
        <v>801</v>
      </c>
      <c r="X47" s="25" t="s">
        <v>653</v>
      </c>
      <c r="Y47" s="25" t="s">
        <v>42</v>
      </c>
      <c r="Z47" s="25">
        <v>20002</v>
      </c>
      <c r="AA47" s="25" t="s">
        <v>652</v>
      </c>
      <c r="AB47" s="25" t="s">
        <v>651</v>
      </c>
      <c r="AF47" s="25" t="s">
        <v>377</v>
      </c>
      <c r="AI47" s="31">
        <v>43819</v>
      </c>
      <c r="AJ47" s="25">
        <v>25</v>
      </c>
      <c r="AK47" s="25">
        <v>25</v>
      </c>
      <c r="BF47" s="25" t="s">
        <v>363</v>
      </c>
      <c r="BK47" s="25" t="s">
        <v>50</v>
      </c>
      <c r="BL47" s="25" t="s">
        <v>167</v>
      </c>
      <c r="BM47" s="25" t="s">
        <v>166</v>
      </c>
      <c r="BN47" s="30">
        <v>43894.516315370369</v>
      </c>
      <c r="BR47" s="25" t="s">
        <v>165</v>
      </c>
      <c r="BS47" s="25">
        <v>4.02012020168638E+18</v>
      </c>
      <c r="BT47" s="25" t="s">
        <v>164</v>
      </c>
      <c r="BU47" s="25" t="s">
        <v>784</v>
      </c>
      <c r="BV47" s="25">
        <v>2020</v>
      </c>
      <c r="BW47" s="25" t="s">
        <v>163</v>
      </c>
      <c r="BY47" s="25">
        <v>4.0302202012359301E+18</v>
      </c>
      <c r="BZ47" s="25" t="s">
        <v>800</v>
      </c>
      <c r="CA47" s="25" t="s">
        <v>161</v>
      </c>
    </row>
    <row r="48" spans="1:79" hidden="1" x14ac:dyDescent="0.2">
      <c r="A48" s="25" t="s">
        <v>374</v>
      </c>
      <c r="B48" s="25" t="s">
        <v>287</v>
      </c>
      <c r="C48" s="25">
        <v>2020</v>
      </c>
      <c r="D48" s="25" t="s">
        <v>793</v>
      </c>
      <c r="E48" s="25">
        <v>2.02002219200544E+17</v>
      </c>
      <c r="F48" s="25" t="s">
        <v>182</v>
      </c>
      <c r="G48" s="25" t="s">
        <v>799</v>
      </c>
      <c r="H48" s="25">
        <v>1385527</v>
      </c>
      <c r="J48" s="25" t="s">
        <v>180</v>
      </c>
      <c r="K48" s="25" t="s">
        <v>179</v>
      </c>
      <c r="N48" s="25" t="s">
        <v>298</v>
      </c>
      <c r="O48" s="25" t="s">
        <v>297</v>
      </c>
      <c r="Q48" s="25" t="s">
        <v>296</v>
      </c>
      <c r="R48" s="25" t="s">
        <v>295</v>
      </c>
      <c r="T48" s="25" t="s">
        <v>294</v>
      </c>
      <c r="V48" s="25" t="s">
        <v>388</v>
      </c>
      <c r="X48" s="25" t="s">
        <v>368</v>
      </c>
      <c r="Y48" s="25" t="s">
        <v>367</v>
      </c>
      <c r="Z48" s="25">
        <v>810049787</v>
      </c>
      <c r="AA48" s="25" t="s">
        <v>387</v>
      </c>
      <c r="AB48" s="25" t="s">
        <v>365</v>
      </c>
      <c r="AF48" s="25" t="s">
        <v>364</v>
      </c>
      <c r="AI48" s="31">
        <v>43845</v>
      </c>
      <c r="AJ48" s="25">
        <v>5</v>
      </c>
      <c r="AK48" s="25">
        <v>5</v>
      </c>
      <c r="BK48" s="25" t="s">
        <v>50</v>
      </c>
      <c r="BL48" s="25" t="s">
        <v>167</v>
      </c>
      <c r="BM48" s="25" t="s">
        <v>166</v>
      </c>
      <c r="BN48" s="30">
        <v>43915.258084976849</v>
      </c>
      <c r="BR48" s="25" t="s">
        <v>165</v>
      </c>
      <c r="BS48" s="25">
        <v>4.02212020169344E+18</v>
      </c>
      <c r="BT48" s="25" t="s">
        <v>164</v>
      </c>
      <c r="BU48" s="25" t="s">
        <v>362</v>
      </c>
      <c r="BV48" s="25">
        <v>2020</v>
      </c>
      <c r="BW48" s="25" t="s">
        <v>163</v>
      </c>
      <c r="BY48" s="25">
        <v>4.0324202017073398E+18</v>
      </c>
      <c r="BZ48" s="25" t="s">
        <v>791</v>
      </c>
      <c r="CA48" s="25" t="s">
        <v>161</v>
      </c>
    </row>
    <row r="49" spans="1:79" hidden="1" x14ac:dyDescent="0.2">
      <c r="A49" s="25" t="s">
        <v>374</v>
      </c>
      <c r="B49" s="25" t="s">
        <v>287</v>
      </c>
      <c r="C49" s="25">
        <v>2020</v>
      </c>
      <c r="D49" s="25" t="s">
        <v>793</v>
      </c>
      <c r="E49" s="25">
        <v>2.02002219200544E+17</v>
      </c>
      <c r="F49" s="25" t="s">
        <v>182</v>
      </c>
      <c r="G49" s="25" t="s">
        <v>798</v>
      </c>
      <c r="H49" s="25">
        <v>1385527</v>
      </c>
      <c r="J49" s="25" t="s">
        <v>180</v>
      </c>
      <c r="K49" s="25" t="s">
        <v>179</v>
      </c>
      <c r="N49" s="25" t="s">
        <v>371</v>
      </c>
      <c r="O49" s="25" t="s">
        <v>297</v>
      </c>
      <c r="Q49" s="25" t="s">
        <v>296</v>
      </c>
      <c r="R49" s="25" t="s">
        <v>370</v>
      </c>
      <c r="T49" s="25" t="s">
        <v>294</v>
      </c>
      <c r="V49" s="25" t="s">
        <v>369</v>
      </c>
      <c r="X49" s="25" t="s">
        <v>368</v>
      </c>
      <c r="Y49" s="25" t="s">
        <v>367</v>
      </c>
      <c r="Z49" s="25">
        <v>81004</v>
      </c>
      <c r="AA49" s="25" t="s">
        <v>366</v>
      </c>
      <c r="AB49" s="25" t="s">
        <v>365</v>
      </c>
      <c r="AF49" s="25" t="s">
        <v>364</v>
      </c>
      <c r="AI49" s="31">
        <v>43847</v>
      </c>
      <c r="AJ49" s="25">
        <v>5</v>
      </c>
      <c r="AK49" s="25">
        <v>5</v>
      </c>
      <c r="BK49" s="25" t="s">
        <v>50</v>
      </c>
      <c r="BL49" s="25" t="s">
        <v>167</v>
      </c>
      <c r="BM49" s="25" t="s">
        <v>166</v>
      </c>
      <c r="BN49" s="30">
        <v>43915.258084976849</v>
      </c>
      <c r="BR49" s="25" t="s">
        <v>165</v>
      </c>
      <c r="BS49" s="25">
        <v>4.02212020169344E+18</v>
      </c>
      <c r="BT49" s="25" t="s">
        <v>164</v>
      </c>
      <c r="BU49" s="25" t="s">
        <v>362</v>
      </c>
      <c r="BV49" s="25">
        <v>2020</v>
      </c>
      <c r="BW49" s="25" t="s">
        <v>163</v>
      </c>
      <c r="BY49" s="25">
        <v>4.0324202017073398E+18</v>
      </c>
      <c r="BZ49" s="25" t="s">
        <v>797</v>
      </c>
      <c r="CA49" s="25" t="s">
        <v>161</v>
      </c>
    </row>
    <row r="50" spans="1:79" hidden="1" x14ac:dyDescent="0.2">
      <c r="A50" s="25" t="s">
        <v>434</v>
      </c>
      <c r="B50" s="25" t="s">
        <v>286</v>
      </c>
      <c r="C50" s="25">
        <v>2020</v>
      </c>
      <c r="D50" s="25" t="s">
        <v>487</v>
      </c>
      <c r="E50" s="25">
        <v>2.0201021932674301E+17</v>
      </c>
      <c r="F50" s="25" t="s">
        <v>182</v>
      </c>
      <c r="G50" s="25" t="s">
        <v>796</v>
      </c>
      <c r="H50" s="25">
        <v>1459291</v>
      </c>
      <c r="J50" s="25" t="s">
        <v>180</v>
      </c>
      <c r="K50" s="25" t="s">
        <v>179</v>
      </c>
      <c r="L50" s="25" t="s">
        <v>374</v>
      </c>
      <c r="N50" s="25" t="s">
        <v>371</v>
      </c>
      <c r="O50" s="25" t="s">
        <v>75</v>
      </c>
      <c r="Q50" s="25" t="s">
        <v>28</v>
      </c>
      <c r="R50" s="25" t="s">
        <v>370</v>
      </c>
      <c r="T50" s="25" t="s">
        <v>294</v>
      </c>
      <c r="V50" s="25" t="s">
        <v>388</v>
      </c>
      <c r="X50" s="25" t="s">
        <v>368</v>
      </c>
      <c r="Y50" s="25" t="s">
        <v>367</v>
      </c>
      <c r="Z50" s="25">
        <v>810049787</v>
      </c>
      <c r="AA50" s="25" t="s">
        <v>366</v>
      </c>
      <c r="AB50" s="25" t="s">
        <v>365</v>
      </c>
      <c r="AC50" s="25" t="s">
        <v>374</v>
      </c>
      <c r="AD50" s="25" t="s">
        <v>345</v>
      </c>
      <c r="AE50" s="25" t="s">
        <v>344</v>
      </c>
      <c r="AI50" s="31">
        <v>44115</v>
      </c>
      <c r="AJ50" s="25">
        <v>100</v>
      </c>
      <c r="AK50" s="25">
        <v>350</v>
      </c>
      <c r="BG50" s="25" t="s">
        <v>501</v>
      </c>
      <c r="BI50" s="25" t="s">
        <v>500</v>
      </c>
      <c r="BJ50" s="25">
        <v>2020</v>
      </c>
      <c r="BK50" s="25" t="s">
        <v>50</v>
      </c>
      <c r="BL50" s="25" t="s">
        <v>167</v>
      </c>
      <c r="BM50" s="25" t="s">
        <v>166</v>
      </c>
      <c r="BN50" s="30">
        <v>44145.150828923608</v>
      </c>
      <c r="BP50" s="25" t="s">
        <v>795</v>
      </c>
      <c r="BQ50" s="25" t="s">
        <v>419</v>
      </c>
      <c r="BR50" s="25" t="s">
        <v>513</v>
      </c>
      <c r="BS50" s="25">
        <v>4.1022202018826501E+18</v>
      </c>
      <c r="BT50" s="25" t="s">
        <v>164</v>
      </c>
      <c r="BU50" s="25" t="s">
        <v>512</v>
      </c>
      <c r="BV50" s="25">
        <v>2020</v>
      </c>
      <c r="BW50" s="25" t="s">
        <v>163</v>
      </c>
      <c r="BY50" s="25">
        <v>4.1110202018933402E+18</v>
      </c>
      <c r="BZ50" s="25" t="s">
        <v>794</v>
      </c>
      <c r="CA50" s="25" t="s">
        <v>161</v>
      </c>
    </row>
    <row r="51" spans="1:79" hidden="1" x14ac:dyDescent="0.2">
      <c r="A51" s="25" t="s">
        <v>374</v>
      </c>
      <c r="B51" s="25" t="s">
        <v>287</v>
      </c>
      <c r="C51" s="25">
        <v>2020</v>
      </c>
      <c r="D51" s="25" t="s">
        <v>793</v>
      </c>
      <c r="E51" s="25">
        <v>2.02002219200544E+17</v>
      </c>
      <c r="F51" s="25" t="s">
        <v>182</v>
      </c>
      <c r="G51" s="25" t="s">
        <v>792</v>
      </c>
      <c r="H51" s="25">
        <v>1385527</v>
      </c>
      <c r="J51" s="25" t="s">
        <v>180</v>
      </c>
      <c r="K51" s="25" t="s">
        <v>179</v>
      </c>
      <c r="N51" s="25" t="s">
        <v>298</v>
      </c>
      <c r="O51" s="25" t="s">
        <v>297</v>
      </c>
      <c r="Q51" s="25" t="s">
        <v>296</v>
      </c>
      <c r="R51" s="25" t="s">
        <v>295</v>
      </c>
      <c r="T51" s="25" t="s">
        <v>294</v>
      </c>
      <c r="V51" s="25" t="s">
        <v>388</v>
      </c>
      <c r="X51" s="25" t="s">
        <v>368</v>
      </c>
      <c r="Y51" s="25" t="s">
        <v>367</v>
      </c>
      <c r="Z51" s="25">
        <v>810049787</v>
      </c>
      <c r="AA51" s="25" t="s">
        <v>387</v>
      </c>
      <c r="AB51" s="25" t="s">
        <v>365</v>
      </c>
      <c r="AF51" s="25" t="s">
        <v>377</v>
      </c>
      <c r="AI51" s="31">
        <v>43845</v>
      </c>
      <c r="AJ51" s="25">
        <v>100</v>
      </c>
      <c r="AK51" s="25">
        <v>100</v>
      </c>
      <c r="BK51" s="25" t="s">
        <v>50</v>
      </c>
      <c r="BL51" s="25" t="s">
        <v>167</v>
      </c>
      <c r="BM51" s="25" t="s">
        <v>166</v>
      </c>
      <c r="BN51" s="30">
        <v>43915.290057395832</v>
      </c>
      <c r="BR51" s="25" t="s">
        <v>165</v>
      </c>
      <c r="BS51" s="25">
        <v>4.02212020169344E+18</v>
      </c>
      <c r="BT51" s="25" t="s">
        <v>164</v>
      </c>
      <c r="BU51" s="25" t="s">
        <v>386</v>
      </c>
      <c r="BV51" s="25">
        <v>2020</v>
      </c>
      <c r="BW51" s="25" t="s">
        <v>163</v>
      </c>
      <c r="BY51" s="25">
        <v>4.0324202017073398E+18</v>
      </c>
      <c r="BZ51" s="25" t="s">
        <v>791</v>
      </c>
      <c r="CA51" s="25" t="s">
        <v>161</v>
      </c>
    </row>
    <row r="52" spans="1:79" x14ac:dyDescent="0.2">
      <c r="A52" s="25" t="s">
        <v>192</v>
      </c>
      <c r="B52" s="25" t="s">
        <v>157</v>
      </c>
      <c r="C52" s="25">
        <v>2020</v>
      </c>
      <c r="D52" s="25" t="s">
        <v>197</v>
      </c>
      <c r="E52" s="25">
        <v>2.02003209204628E+17</v>
      </c>
      <c r="F52" s="25" t="s">
        <v>182</v>
      </c>
      <c r="G52" s="25" t="s">
        <v>790</v>
      </c>
      <c r="H52" s="25">
        <v>1391425</v>
      </c>
      <c r="J52" s="25" t="s">
        <v>180</v>
      </c>
      <c r="K52" s="25" t="s">
        <v>179</v>
      </c>
      <c r="N52" s="25" t="s">
        <v>543</v>
      </c>
      <c r="O52" s="25" t="s">
        <v>66</v>
      </c>
      <c r="P52" s="25" t="s">
        <v>177</v>
      </c>
      <c r="Q52" s="25" t="s">
        <v>34</v>
      </c>
      <c r="R52" s="25" t="s">
        <v>295</v>
      </c>
      <c r="S52" s="25" t="s">
        <v>0</v>
      </c>
      <c r="T52" s="25" t="s">
        <v>294</v>
      </c>
      <c r="V52" s="25" t="s">
        <v>542</v>
      </c>
      <c r="W52" s="25" t="s">
        <v>541</v>
      </c>
      <c r="X52" s="25" t="s">
        <v>540</v>
      </c>
      <c r="Y52" s="25" t="s">
        <v>349</v>
      </c>
      <c r="Z52" s="25">
        <v>33131</v>
      </c>
      <c r="AA52" s="25" t="s">
        <v>539</v>
      </c>
      <c r="AB52" s="25" t="s">
        <v>187</v>
      </c>
      <c r="AD52" s="25">
        <v>15</v>
      </c>
      <c r="AE52" s="25" t="s">
        <v>169</v>
      </c>
      <c r="AI52" s="31">
        <v>43882</v>
      </c>
      <c r="AJ52" s="25">
        <v>192.3</v>
      </c>
      <c r="AK52" s="25">
        <v>769.2</v>
      </c>
      <c r="BG52" s="25" t="s">
        <v>28</v>
      </c>
      <c r="BI52" s="25" t="s">
        <v>168</v>
      </c>
      <c r="BK52" s="25" t="s">
        <v>50</v>
      </c>
      <c r="BL52" s="25" t="s">
        <v>167</v>
      </c>
      <c r="BM52" s="25" t="s">
        <v>166</v>
      </c>
      <c r="BN52" s="30">
        <v>43915.322995277776</v>
      </c>
      <c r="BR52" s="25" t="s">
        <v>165</v>
      </c>
      <c r="BS52" s="25">
        <v>4.0320202017039401E+18</v>
      </c>
      <c r="BT52" s="25" t="s">
        <v>164</v>
      </c>
      <c r="BV52" s="25">
        <v>2020</v>
      </c>
      <c r="BW52" s="25" t="s">
        <v>163</v>
      </c>
      <c r="BY52" s="25">
        <v>4.0324202017145999E+18</v>
      </c>
      <c r="BZ52" s="25" t="s">
        <v>788</v>
      </c>
      <c r="CA52" s="25" t="s">
        <v>161</v>
      </c>
    </row>
    <row r="53" spans="1:79" x14ac:dyDescent="0.2">
      <c r="A53" s="25" t="s">
        <v>192</v>
      </c>
      <c r="B53" s="25" t="s">
        <v>157</v>
      </c>
      <c r="C53" s="25">
        <v>2020</v>
      </c>
      <c r="D53" s="25" t="s">
        <v>197</v>
      </c>
      <c r="E53" s="25">
        <v>2.02003209204628E+17</v>
      </c>
      <c r="F53" s="25" t="s">
        <v>182</v>
      </c>
      <c r="G53" s="25" t="s">
        <v>789</v>
      </c>
      <c r="H53" s="25">
        <v>1391425</v>
      </c>
      <c r="J53" s="25" t="s">
        <v>180</v>
      </c>
      <c r="K53" s="25" t="s">
        <v>179</v>
      </c>
      <c r="N53" s="25" t="s">
        <v>543</v>
      </c>
      <c r="O53" s="25" t="s">
        <v>66</v>
      </c>
      <c r="P53" s="25" t="s">
        <v>177</v>
      </c>
      <c r="Q53" s="25" t="s">
        <v>34</v>
      </c>
      <c r="R53" s="25" t="s">
        <v>295</v>
      </c>
      <c r="S53" s="25" t="s">
        <v>0</v>
      </c>
      <c r="T53" s="25" t="s">
        <v>294</v>
      </c>
      <c r="V53" s="25" t="s">
        <v>542</v>
      </c>
      <c r="W53" s="25" t="s">
        <v>541</v>
      </c>
      <c r="X53" s="25" t="s">
        <v>540</v>
      </c>
      <c r="Y53" s="25" t="s">
        <v>349</v>
      </c>
      <c r="Z53" s="25">
        <v>33131</v>
      </c>
      <c r="AA53" s="25" t="s">
        <v>539</v>
      </c>
      <c r="AB53" s="25" t="s">
        <v>187</v>
      </c>
      <c r="AD53" s="25">
        <v>15</v>
      </c>
      <c r="AE53" s="25" t="s">
        <v>169</v>
      </c>
      <c r="AI53" s="31">
        <v>43868</v>
      </c>
      <c r="AJ53" s="25">
        <v>192.3</v>
      </c>
      <c r="AK53" s="25">
        <v>576.9</v>
      </c>
      <c r="BG53" s="25" t="s">
        <v>28</v>
      </c>
      <c r="BI53" s="25" t="s">
        <v>168</v>
      </c>
      <c r="BK53" s="25" t="s">
        <v>50</v>
      </c>
      <c r="BL53" s="25" t="s">
        <v>167</v>
      </c>
      <c r="BM53" s="25" t="s">
        <v>166</v>
      </c>
      <c r="BN53" s="30">
        <v>43915.333633078706</v>
      </c>
      <c r="BR53" s="25" t="s">
        <v>165</v>
      </c>
      <c r="BS53" s="25">
        <v>4.0320202017039401E+18</v>
      </c>
      <c r="BT53" s="25" t="s">
        <v>164</v>
      </c>
      <c r="BV53" s="25">
        <v>2020</v>
      </c>
      <c r="BW53" s="25" t="s">
        <v>163</v>
      </c>
      <c r="BY53" s="25">
        <v>4.0324202017145999E+18</v>
      </c>
      <c r="BZ53" s="25" t="s">
        <v>788</v>
      </c>
      <c r="CA53" s="25" t="s">
        <v>161</v>
      </c>
    </row>
    <row r="54" spans="1:79" hidden="1" x14ac:dyDescent="0.2">
      <c r="A54" s="25" t="s">
        <v>374</v>
      </c>
      <c r="B54" s="25" t="s">
        <v>287</v>
      </c>
      <c r="C54" s="25">
        <v>2020</v>
      </c>
      <c r="D54" s="25" t="s">
        <v>197</v>
      </c>
      <c r="E54" s="25">
        <v>2.0200320921108499E+17</v>
      </c>
      <c r="F54" s="25" t="s">
        <v>182</v>
      </c>
      <c r="G54" s="25" t="s">
        <v>787</v>
      </c>
      <c r="H54" s="25">
        <v>1391686</v>
      </c>
      <c r="J54" s="25" t="s">
        <v>180</v>
      </c>
      <c r="K54" s="25" t="s">
        <v>179</v>
      </c>
      <c r="N54" s="25" t="s">
        <v>298</v>
      </c>
      <c r="O54" s="25" t="s">
        <v>297</v>
      </c>
      <c r="Q54" s="25" t="s">
        <v>296</v>
      </c>
      <c r="R54" s="25" t="s">
        <v>295</v>
      </c>
      <c r="T54" s="25" t="s">
        <v>294</v>
      </c>
      <c r="V54" s="25" t="s">
        <v>654</v>
      </c>
      <c r="X54" s="25" t="s">
        <v>653</v>
      </c>
      <c r="Y54" s="25" t="s">
        <v>42</v>
      </c>
      <c r="Z54" s="25">
        <v>20002</v>
      </c>
      <c r="AA54" s="25" t="s">
        <v>652</v>
      </c>
      <c r="AB54" s="25" t="s">
        <v>651</v>
      </c>
      <c r="AF54" s="25" t="s">
        <v>377</v>
      </c>
      <c r="AI54" s="31">
        <v>43872</v>
      </c>
      <c r="AJ54" s="25">
        <v>19</v>
      </c>
      <c r="AK54" s="25">
        <v>48</v>
      </c>
      <c r="BK54" s="25" t="s">
        <v>50</v>
      </c>
      <c r="BL54" s="25" t="s">
        <v>167</v>
      </c>
      <c r="BM54" s="25" t="s">
        <v>166</v>
      </c>
      <c r="BN54" s="30">
        <v>43924.438771331021</v>
      </c>
      <c r="BR54" s="25" t="s">
        <v>165</v>
      </c>
      <c r="BS54" s="25">
        <v>4.0323202017043999E+18</v>
      </c>
      <c r="BT54" s="25" t="s">
        <v>164</v>
      </c>
      <c r="BU54" s="25" t="s">
        <v>784</v>
      </c>
      <c r="BV54" s="25">
        <v>2020</v>
      </c>
      <c r="BW54" s="25" t="s">
        <v>163</v>
      </c>
      <c r="BY54" s="25">
        <v>4.04022020172365E+18</v>
      </c>
      <c r="BZ54" s="25" t="s">
        <v>783</v>
      </c>
      <c r="CA54" s="25" t="s">
        <v>161</v>
      </c>
    </row>
    <row r="55" spans="1:79" hidden="1" x14ac:dyDescent="0.2">
      <c r="A55" s="25" t="s">
        <v>374</v>
      </c>
      <c r="B55" s="25" t="s">
        <v>287</v>
      </c>
      <c r="C55" s="25">
        <v>2020</v>
      </c>
      <c r="D55" s="25" t="s">
        <v>197</v>
      </c>
      <c r="E55" s="25">
        <v>2.0200320921108499E+17</v>
      </c>
      <c r="F55" s="25" t="s">
        <v>182</v>
      </c>
      <c r="G55" s="25" t="s">
        <v>786</v>
      </c>
      <c r="H55" s="25">
        <v>1391686</v>
      </c>
      <c r="J55" s="25" t="s">
        <v>180</v>
      </c>
      <c r="K55" s="25" t="s">
        <v>179</v>
      </c>
      <c r="N55" s="25" t="s">
        <v>298</v>
      </c>
      <c r="O55" s="25" t="s">
        <v>297</v>
      </c>
      <c r="Q55" s="25" t="s">
        <v>296</v>
      </c>
      <c r="R55" s="25" t="s">
        <v>295</v>
      </c>
      <c r="T55" s="25" t="s">
        <v>294</v>
      </c>
      <c r="V55" s="25" t="s">
        <v>654</v>
      </c>
      <c r="X55" s="25" t="s">
        <v>653</v>
      </c>
      <c r="Y55" s="25" t="s">
        <v>42</v>
      </c>
      <c r="Z55" s="25">
        <v>20002</v>
      </c>
      <c r="AA55" s="25" t="s">
        <v>652</v>
      </c>
      <c r="AB55" s="25" t="s">
        <v>651</v>
      </c>
      <c r="AF55" s="25" t="s">
        <v>377</v>
      </c>
      <c r="AI55" s="31">
        <v>43865</v>
      </c>
      <c r="AJ55" s="25">
        <v>19</v>
      </c>
      <c r="AK55" s="25">
        <v>48</v>
      </c>
      <c r="BK55" s="25" t="s">
        <v>50</v>
      </c>
      <c r="BL55" s="25" t="s">
        <v>167</v>
      </c>
      <c r="BM55" s="25" t="s">
        <v>166</v>
      </c>
      <c r="BN55" s="30">
        <v>43924.471550254631</v>
      </c>
      <c r="BR55" s="25" t="s">
        <v>165</v>
      </c>
      <c r="BS55" s="25">
        <v>4.0323202017043999E+18</v>
      </c>
      <c r="BT55" s="25" t="s">
        <v>164</v>
      </c>
      <c r="BU55" s="25" t="s">
        <v>784</v>
      </c>
      <c r="BV55" s="25">
        <v>2020</v>
      </c>
      <c r="BW55" s="25" t="s">
        <v>163</v>
      </c>
      <c r="BY55" s="25">
        <v>4.04022020172365E+18</v>
      </c>
      <c r="BZ55" s="25" t="s">
        <v>783</v>
      </c>
      <c r="CA55" s="25" t="s">
        <v>161</v>
      </c>
    </row>
    <row r="56" spans="1:79" hidden="1" x14ac:dyDescent="0.2">
      <c r="A56" s="25" t="s">
        <v>374</v>
      </c>
      <c r="B56" s="25" t="s">
        <v>287</v>
      </c>
      <c r="C56" s="25">
        <v>2020</v>
      </c>
      <c r="D56" s="25" t="s">
        <v>197</v>
      </c>
      <c r="E56" s="25">
        <v>2.0200320921108499E+17</v>
      </c>
      <c r="F56" s="25" t="s">
        <v>182</v>
      </c>
      <c r="G56" s="25" t="s">
        <v>785</v>
      </c>
      <c r="H56" s="25">
        <v>1391686</v>
      </c>
      <c r="J56" s="25" t="s">
        <v>180</v>
      </c>
      <c r="K56" s="25" t="s">
        <v>179</v>
      </c>
      <c r="N56" s="25" t="s">
        <v>298</v>
      </c>
      <c r="O56" s="25" t="s">
        <v>297</v>
      </c>
      <c r="Q56" s="25" t="s">
        <v>296</v>
      </c>
      <c r="R56" s="25" t="s">
        <v>295</v>
      </c>
      <c r="T56" s="25" t="s">
        <v>294</v>
      </c>
      <c r="V56" s="25" t="s">
        <v>654</v>
      </c>
      <c r="X56" s="25" t="s">
        <v>653</v>
      </c>
      <c r="Y56" s="25" t="s">
        <v>42</v>
      </c>
      <c r="Z56" s="25">
        <v>20002</v>
      </c>
      <c r="AA56" s="25" t="s">
        <v>652</v>
      </c>
      <c r="AB56" s="25" t="s">
        <v>651</v>
      </c>
      <c r="AF56" s="25" t="s">
        <v>377</v>
      </c>
      <c r="AI56" s="31">
        <v>43874</v>
      </c>
      <c r="AJ56" s="25">
        <v>10</v>
      </c>
      <c r="AK56" s="25">
        <v>48</v>
      </c>
      <c r="BK56" s="25" t="s">
        <v>50</v>
      </c>
      <c r="BL56" s="25" t="s">
        <v>167</v>
      </c>
      <c r="BM56" s="25" t="s">
        <v>166</v>
      </c>
      <c r="BN56" s="30">
        <v>43924.504695960648</v>
      </c>
      <c r="BR56" s="25" t="s">
        <v>165</v>
      </c>
      <c r="BS56" s="25">
        <v>4.0323202017043999E+18</v>
      </c>
      <c r="BT56" s="25" t="s">
        <v>164</v>
      </c>
      <c r="BU56" s="25" t="s">
        <v>784</v>
      </c>
      <c r="BV56" s="25">
        <v>2020</v>
      </c>
      <c r="BW56" s="25" t="s">
        <v>163</v>
      </c>
      <c r="BY56" s="25">
        <v>4.04022020172365E+18</v>
      </c>
      <c r="BZ56" s="25" t="s">
        <v>783</v>
      </c>
      <c r="CA56" s="25" t="s">
        <v>161</v>
      </c>
    </row>
    <row r="57" spans="1:79" x14ac:dyDescent="0.2">
      <c r="A57" s="25" t="s">
        <v>192</v>
      </c>
      <c r="B57" s="25" t="s">
        <v>157</v>
      </c>
      <c r="C57" s="25">
        <v>2020</v>
      </c>
      <c r="D57" s="25" t="s">
        <v>183</v>
      </c>
      <c r="E57" s="25">
        <v>2.0200420921974499E+17</v>
      </c>
      <c r="F57" s="25" t="s">
        <v>182</v>
      </c>
      <c r="G57" s="25" t="s">
        <v>782</v>
      </c>
      <c r="H57" s="25">
        <v>1402088</v>
      </c>
      <c r="J57" s="25" t="s">
        <v>180</v>
      </c>
      <c r="K57" s="25" t="s">
        <v>179</v>
      </c>
      <c r="N57" s="25" t="s">
        <v>543</v>
      </c>
      <c r="O57" s="25" t="s">
        <v>66</v>
      </c>
      <c r="P57" s="25" t="s">
        <v>177</v>
      </c>
      <c r="Q57" s="25" t="s">
        <v>34</v>
      </c>
      <c r="R57" s="25" t="s">
        <v>295</v>
      </c>
      <c r="S57" s="25" t="s">
        <v>0</v>
      </c>
      <c r="T57" s="25" t="s">
        <v>294</v>
      </c>
      <c r="V57" s="25" t="s">
        <v>542</v>
      </c>
      <c r="W57" s="25" t="s">
        <v>541</v>
      </c>
      <c r="X57" s="25" t="s">
        <v>540</v>
      </c>
      <c r="Y57" s="25" t="s">
        <v>349</v>
      </c>
      <c r="Z57" s="25">
        <v>33131</v>
      </c>
      <c r="AA57" s="25" t="s">
        <v>539</v>
      </c>
      <c r="AB57" s="25" t="s">
        <v>187</v>
      </c>
      <c r="AD57" s="25">
        <v>15</v>
      </c>
      <c r="AE57" s="25" t="s">
        <v>169</v>
      </c>
      <c r="AI57" s="31">
        <v>43896</v>
      </c>
      <c r="AJ57" s="25">
        <v>192.3</v>
      </c>
      <c r="AK57" s="25">
        <v>961.5</v>
      </c>
      <c r="BG57" s="25" t="s">
        <v>28</v>
      </c>
      <c r="BI57" s="25" t="s">
        <v>168</v>
      </c>
      <c r="BK57" s="25" t="s">
        <v>50</v>
      </c>
      <c r="BL57" s="25" t="s">
        <v>167</v>
      </c>
      <c r="BM57" s="25" t="s">
        <v>166</v>
      </c>
      <c r="BN57" s="30">
        <v>43942.080465081017</v>
      </c>
      <c r="BR57" s="25" t="s">
        <v>165</v>
      </c>
      <c r="BS57" s="25">
        <v>4.0420202017373501E+18</v>
      </c>
      <c r="BT57" s="25" t="s">
        <v>164</v>
      </c>
      <c r="BV57" s="25">
        <v>2020</v>
      </c>
      <c r="BW57" s="25" t="s">
        <v>163</v>
      </c>
      <c r="BY57" s="25">
        <v>4.04202020173747E+18</v>
      </c>
      <c r="BZ57" s="25" t="s">
        <v>780</v>
      </c>
      <c r="CA57" s="25" t="s">
        <v>161</v>
      </c>
    </row>
    <row r="58" spans="1:79" x14ac:dyDescent="0.2">
      <c r="A58" s="25" t="s">
        <v>192</v>
      </c>
      <c r="B58" s="25" t="s">
        <v>157</v>
      </c>
      <c r="C58" s="25">
        <v>2020</v>
      </c>
      <c r="D58" s="25" t="s">
        <v>183</v>
      </c>
      <c r="E58" s="25">
        <v>2.0200420921974499E+17</v>
      </c>
      <c r="F58" s="25" t="s">
        <v>182</v>
      </c>
      <c r="G58" s="25" t="s">
        <v>781</v>
      </c>
      <c r="H58" s="25">
        <v>1402088</v>
      </c>
      <c r="J58" s="25" t="s">
        <v>180</v>
      </c>
      <c r="K58" s="25" t="s">
        <v>179</v>
      </c>
      <c r="N58" s="25" t="s">
        <v>543</v>
      </c>
      <c r="O58" s="25" t="s">
        <v>66</v>
      </c>
      <c r="P58" s="25" t="s">
        <v>177</v>
      </c>
      <c r="Q58" s="25" t="s">
        <v>34</v>
      </c>
      <c r="R58" s="25" t="s">
        <v>295</v>
      </c>
      <c r="S58" s="25" t="s">
        <v>0</v>
      </c>
      <c r="T58" s="25" t="s">
        <v>294</v>
      </c>
      <c r="V58" s="25" t="s">
        <v>542</v>
      </c>
      <c r="W58" s="25" t="s">
        <v>541</v>
      </c>
      <c r="X58" s="25" t="s">
        <v>540</v>
      </c>
      <c r="Y58" s="25" t="s">
        <v>349</v>
      </c>
      <c r="Z58" s="25">
        <v>33131</v>
      </c>
      <c r="AA58" s="25" t="s">
        <v>539</v>
      </c>
      <c r="AB58" s="25" t="s">
        <v>187</v>
      </c>
      <c r="AD58" s="25">
        <v>15</v>
      </c>
      <c r="AE58" s="25" t="s">
        <v>169</v>
      </c>
      <c r="AI58" s="31">
        <v>43910</v>
      </c>
      <c r="AJ58" s="25">
        <v>192.3</v>
      </c>
      <c r="AK58" s="25">
        <v>1153.8</v>
      </c>
      <c r="BG58" s="25" t="s">
        <v>28</v>
      </c>
      <c r="BI58" s="25" t="s">
        <v>168</v>
      </c>
      <c r="BK58" s="25" t="s">
        <v>50</v>
      </c>
      <c r="BL58" s="25" t="s">
        <v>167</v>
      </c>
      <c r="BM58" s="25" t="s">
        <v>166</v>
      </c>
      <c r="BN58" s="30">
        <v>43942.080465081017</v>
      </c>
      <c r="BR58" s="25" t="s">
        <v>165</v>
      </c>
      <c r="BS58" s="25">
        <v>4.0420202017373501E+18</v>
      </c>
      <c r="BT58" s="25" t="s">
        <v>164</v>
      </c>
      <c r="BV58" s="25">
        <v>2020</v>
      </c>
      <c r="BW58" s="25" t="s">
        <v>163</v>
      </c>
      <c r="BY58" s="25">
        <v>4.04202020173747E+18</v>
      </c>
      <c r="BZ58" s="25" t="s">
        <v>780</v>
      </c>
      <c r="CA58" s="25" t="s">
        <v>161</v>
      </c>
    </row>
    <row r="59" spans="1:79" hidden="1" x14ac:dyDescent="0.2">
      <c r="A59" s="25" t="s">
        <v>346</v>
      </c>
      <c r="B59" s="25" t="s">
        <v>281</v>
      </c>
      <c r="C59" s="25">
        <v>2020</v>
      </c>
      <c r="D59" s="25" t="s">
        <v>487</v>
      </c>
      <c r="E59" s="25">
        <v>2.0210303944008602E+17</v>
      </c>
      <c r="F59" s="25" t="s">
        <v>450</v>
      </c>
      <c r="G59" s="25" t="s">
        <v>779</v>
      </c>
      <c r="H59" s="25">
        <v>1502733</v>
      </c>
      <c r="J59" s="25" t="s">
        <v>180</v>
      </c>
      <c r="K59" s="25" t="s">
        <v>179</v>
      </c>
      <c r="N59" s="25" t="s">
        <v>448</v>
      </c>
      <c r="O59" s="25" t="s">
        <v>28</v>
      </c>
      <c r="Q59" s="25" t="s">
        <v>28</v>
      </c>
      <c r="R59" s="25" t="s">
        <v>307</v>
      </c>
      <c r="S59" s="25" t="s">
        <v>447</v>
      </c>
      <c r="T59" s="25" t="s">
        <v>294</v>
      </c>
      <c r="V59" s="25" t="s">
        <v>338</v>
      </c>
      <c r="X59" s="25" t="s">
        <v>337</v>
      </c>
      <c r="Y59" s="25" t="s">
        <v>172</v>
      </c>
      <c r="Z59" s="25">
        <v>92660</v>
      </c>
      <c r="AA59" s="25" t="s">
        <v>290</v>
      </c>
      <c r="AB59" s="25" t="s">
        <v>290</v>
      </c>
      <c r="AI59" s="31">
        <v>44111</v>
      </c>
      <c r="AJ59" s="25">
        <v>25</v>
      </c>
      <c r="AK59" s="25">
        <v>25</v>
      </c>
      <c r="BG59" s="25" t="s">
        <v>501</v>
      </c>
      <c r="BI59" s="25" t="s">
        <v>500</v>
      </c>
      <c r="BJ59" s="25">
        <v>2020</v>
      </c>
      <c r="BK59" s="25" t="s">
        <v>50</v>
      </c>
      <c r="BL59" s="25" t="s">
        <v>167</v>
      </c>
      <c r="BM59" s="25" t="s">
        <v>166</v>
      </c>
      <c r="BN59" s="30">
        <v>44264.158038229165</v>
      </c>
      <c r="BR59" s="25" t="s">
        <v>445</v>
      </c>
      <c r="BS59" s="25">
        <v>4.0304202111990298E+18</v>
      </c>
      <c r="BT59" s="25" t="s">
        <v>164</v>
      </c>
      <c r="BV59" s="25">
        <v>2020</v>
      </c>
      <c r="BW59" s="25" t="s">
        <v>163</v>
      </c>
      <c r="BY59" s="25">
        <v>4.0309202112271898E+18</v>
      </c>
      <c r="BZ59" s="25" t="s">
        <v>778</v>
      </c>
      <c r="CA59" s="25" t="s">
        <v>161</v>
      </c>
    </row>
    <row r="60" spans="1:79" hidden="1" x14ac:dyDescent="0.2">
      <c r="A60" s="25" t="s">
        <v>374</v>
      </c>
      <c r="B60" s="25" t="s">
        <v>287</v>
      </c>
      <c r="C60" s="25">
        <v>2020</v>
      </c>
      <c r="D60" s="25" t="s">
        <v>183</v>
      </c>
      <c r="E60" s="25">
        <v>2.02004219228948E+17</v>
      </c>
      <c r="F60" s="25" t="s">
        <v>182</v>
      </c>
      <c r="G60" s="25" t="s">
        <v>777</v>
      </c>
      <c r="H60" s="25">
        <v>1402724</v>
      </c>
      <c r="J60" s="25" t="s">
        <v>180</v>
      </c>
      <c r="K60" s="25" t="s">
        <v>179</v>
      </c>
      <c r="N60" s="25" t="s">
        <v>371</v>
      </c>
      <c r="O60" s="25" t="s">
        <v>297</v>
      </c>
      <c r="Q60" s="25" t="s">
        <v>296</v>
      </c>
      <c r="R60" s="25" t="s">
        <v>370</v>
      </c>
      <c r="T60" s="25" t="s">
        <v>294</v>
      </c>
      <c r="V60" s="25" t="s">
        <v>369</v>
      </c>
      <c r="X60" s="25" t="s">
        <v>368</v>
      </c>
      <c r="Y60" s="25" t="s">
        <v>367</v>
      </c>
      <c r="Z60" s="25">
        <v>81004</v>
      </c>
      <c r="AA60" s="25" t="s">
        <v>366</v>
      </c>
      <c r="AB60" s="25" t="s">
        <v>365</v>
      </c>
      <c r="AF60" s="25" t="s">
        <v>377</v>
      </c>
      <c r="AI60" s="31">
        <v>43921</v>
      </c>
      <c r="AJ60" s="25">
        <v>100</v>
      </c>
      <c r="AK60" s="25">
        <v>150</v>
      </c>
      <c r="BK60" s="25" t="s">
        <v>50</v>
      </c>
      <c r="BL60" s="25" t="s">
        <v>167</v>
      </c>
      <c r="BM60" s="25" t="s">
        <v>166</v>
      </c>
      <c r="BN60" s="30">
        <v>43966.28572925926</v>
      </c>
      <c r="BR60" s="25" t="s">
        <v>165</v>
      </c>
      <c r="BS60" s="25">
        <v>4.0420202017373501E+18</v>
      </c>
      <c r="BT60" s="25" t="s">
        <v>164</v>
      </c>
      <c r="BU60" s="25" t="s">
        <v>386</v>
      </c>
      <c r="BV60" s="25">
        <v>2020</v>
      </c>
      <c r="BW60" s="25" t="s">
        <v>163</v>
      </c>
      <c r="BY60" s="25">
        <v>4.0514202017463798E+18</v>
      </c>
      <c r="BZ60" s="25" t="s">
        <v>765</v>
      </c>
      <c r="CA60" s="25" t="s">
        <v>161</v>
      </c>
    </row>
    <row r="61" spans="1:79" hidden="1" x14ac:dyDescent="0.2">
      <c r="A61" s="25" t="s">
        <v>374</v>
      </c>
      <c r="B61" s="25" t="s">
        <v>287</v>
      </c>
      <c r="C61" s="25">
        <v>2020</v>
      </c>
      <c r="D61" s="25" t="s">
        <v>183</v>
      </c>
      <c r="E61" s="25">
        <v>2.02004219228948E+17</v>
      </c>
      <c r="F61" s="25" t="s">
        <v>182</v>
      </c>
      <c r="G61" s="25" t="s">
        <v>776</v>
      </c>
      <c r="H61" s="25">
        <v>1402724</v>
      </c>
      <c r="J61" s="25" t="s">
        <v>180</v>
      </c>
      <c r="K61" s="25" t="s">
        <v>179</v>
      </c>
      <c r="N61" s="25" t="s">
        <v>770</v>
      </c>
      <c r="O61" s="25" t="s">
        <v>297</v>
      </c>
      <c r="Q61" s="25" t="s">
        <v>296</v>
      </c>
      <c r="R61" s="25" t="s">
        <v>769</v>
      </c>
      <c r="T61" s="25" t="s">
        <v>294</v>
      </c>
      <c r="V61" s="25" t="s">
        <v>768</v>
      </c>
      <c r="X61" s="25" t="s">
        <v>767</v>
      </c>
      <c r="Y61" s="25" t="s">
        <v>766</v>
      </c>
      <c r="Z61" s="25">
        <v>20723</v>
      </c>
      <c r="AA61" s="25" t="s">
        <v>393</v>
      </c>
      <c r="AB61" s="25" t="s">
        <v>393</v>
      </c>
      <c r="AF61" s="25" t="s">
        <v>377</v>
      </c>
      <c r="AI61" s="31">
        <v>43891</v>
      </c>
      <c r="AJ61" s="25">
        <v>2.7</v>
      </c>
      <c r="AK61" s="25">
        <v>3.7</v>
      </c>
      <c r="BK61" s="25" t="s">
        <v>50</v>
      </c>
      <c r="BL61" s="25" t="s">
        <v>167</v>
      </c>
      <c r="BM61" s="25" t="s">
        <v>166</v>
      </c>
      <c r="BN61" s="30">
        <v>43966.287718356478</v>
      </c>
      <c r="BR61" s="25" t="s">
        <v>165</v>
      </c>
      <c r="BS61" s="25">
        <v>4.0420202017373501E+18</v>
      </c>
      <c r="BT61" s="25" t="s">
        <v>164</v>
      </c>
      <c r="BU61" s="25" t="s">
        <v>773</v>
      </c>
      <c r="BV61" s="25">
        <v>2020</v>
      </c>
      <c r="BW61" s="25" t="s">
        <v>163</v>
      </c>
      <c r="BY61" s="25">
        <v>4.0514202017463798E+18</v>
      </c>
      <c r="BZ61" s="25" t="s">
        <v>765</v>
      </c>
      <c r="CA61" s="25" t="s">
        <v>161</v>
      </c>
    </row>
    <row r="62" spans="1:79" hidden="1" x14ac:dyDescent="0.2">
      <c r="A62" s="25" t="s">
        <v>374</v>
      </c>
      <c r="B62" s="25" t="s">
        <v>287</v>
      </c>
      <c r="C62" s="25">
        <v>2020</v>
      </c>
      <c r="D62" s="25" t="s">
        <v>183</v>
      </c>
      <c r="E62" s="25">
        <v>2.02004219228948E+17</v>
      </c>
      <c r="F62" s="25" t="s">
        <v>182</v>
      </c>
      <c r="G62" s="25" t="s">
        <v>775</v>
      </c>
      <c r="H62" s="25">
        <v>1402724</v>
      </c>
      <c r="J62" s="25" t="s">
        <v>180</v>
      </c>
      <c r="K62" s="25" t="s">
        <v>179</v>
      </c>
      <c r="N62" s="25" t="s">
        <v>371</v>
      </c>
      <c r="O62" s="25" t="s">
        <v>297</v>
      </c>
      <c r="Q62" s="25" t="s">
        <v>296</v>
      </c>
      <c r="R62" s="25" t="s">
        <v>370</v>
      </c>
      <c r="T62" s="25" t="s">
        <v>294</v>
      </c>
      <c r="V62" s="25" t="s">
        <v>369</v>
      </c>
      <c r="X62" s="25" t="s">
        <v>368</v>
      </c>
      <c r="Y62" s="25" t="s">
        <v>367</v>
      </c>
      <c r="Z62" s="25">
        <v>81004</v>
      </c>
      <c r="AA62" s="25" t="s">
        <v>366</v>
      </c>
      <c r="AB62" s="25" t="s">
        <v>365</v>
      </c>
      <c r="AF62" s="25" t="s">
        <v>377</v>
      </c>
      <c r="AI62" s="31">
        <v>43914</v>
      </c>
      <c r="AJ62" s="25">
        <v>50</v>
      </c>
      <c r="AK62" s="25">
        <v>150</v>
      </c>
      <c r="BK62" s="25" t="s">
        <v>50</v>
      </c>
      <c r="BL62" s="25" t="s">
        <v>167</v>
      </c>
      <c r="BM62" s="25" t="s">
        <v>166</v>
      </c>
      <c r="BN62" s="30">
        <v>43966.30205283565</v>
      </c>
      <c r="BR62" s="25" t="s">
        <v>165</v>
      </c>
      <c r="BS62" s="25">
        <v>4.0420202017373501E+18</v>
      </c>
      <c r="BT62" s="25" t="s">
        <v>164</v>
      </c>
      <c r="BU62" s="25" t="s">
        <v>386</v>
      </c>
      <c r="BV62" s="25">
        <v>2020</v>
      </c>
      <c r="BW62" s="25" t="s">
        <v>163</v>
      </c>
      <c r="BY62" s="25">
        <v>4.0514202017463798E+18</v>
      </c>
      <c r="BZ62" s="25" t="s">
        <v>763</v>
      </c>
      <c r="CA62" s="25" t="s">
        <v>161</v>
      </c>
    </row>
    <row r="63" spans="1:79" hidden="1" x14ac:dyDescent="0.2">
      <c r="A63" s="25" t="s">
        <v>374</v>
      </c>
      <c r="B63" s="25" t="s">
        <v>287</v>
      </c>
      <c r="C63" s="25">
        <v>2020</v>
      </c>
      <c r="D63" s="25" t="s">
        <v>183</v>
      </c>
      <c r="E63" s="25">
        <v>2.02004219228948E+17</v>
      </c>
      <c r="F63" s="25" t="s">
        <v>182</v>
      </c>
      <c r="G63" s="25" t="s">
        <v>774</v>
      </c>
      <c r="H63" s="25">
        <v>1402724</v>
      </c>
      <c r="J63" s="25" t="s">
        <v>180</v>
      </c>
      <c r="K63" s="25" t="s">
        <v>179</v>
      </c>
      <c r="N63" s="25" t="s">
        <v>770</v>
      </c>
      <c r="O63" s="25" t="s">
        <v>297</v>
      </c>
      <c r="Q63" s="25" t="s">
        <v>296</v>
      </c>
      <c r="R63" s="25" t="s">
        <v>769</v>
      </c>
      <c r="T63" s="25" t="s">
        <v>294</v>
      </c>
      <c r="V63" s="25" t="s">
        <v>768</v>
      </c>
      <c r="X63" s="25" t="s">
        <v>767</v>
      </c>
      <c r="Y63" s="25" t="s">
        <v>766</v>
      </c>
      <c r="Z63" s="25">
        <v>20723</v>
      </c>
      <c r="AA63" s="25" t="s">
        <v>393</v>
      </c>
      <c r="AB63" s="25" t="s">
        <v>393</v>
      </c>
      <c r="AF63" s="25" t="s">
        <v>377</v>
      </c>
      <c r="AI63" s="31">
        <v>43891</v>
      </c>
      <c r="AJ63" s="25">
        <v>1</v>
      </c>
      <c r="AK63" s="25">
        <v>3.7</v>
      </c>
      <c r="BK63" s="25" t="s">
        <v>50</v>
      </c>
      <c r="BL63" s="25" t="s">
        <v>167</v>
      </c>
      <c r="BM63" s="25" t="s">
        <v>166</v>
      </c>
      <c r="BN63" s="30">
        <v>43966.30205283565</v>
      </c>
      <c r="BR63" s="25" t="s">
        <v>165</v>
      </c>
      <c r="BS63" s="25">
        <v>4.0420202017373501E+18</v>
      </c>
      <c r="BT63" s="25" t="s">
        <v>164</v>
      </c>
      <c r="BU63" s="25" t="s">
        <v>773</v>
      </c>
      <c r="BV63" s="25">
        <v>2020</v>
      </c>
      <c r="BW63" s="25" t="s">
        <v>163</v>
      </c>
      <c r="BY63" s="25">
        <v>4.0514202017463798E+18</v>
      </c>
      <c r="BZ63" s="25" t="s">
        <v>772</v>
      </c>
      <c r="CA63" s="25" t="s">
        <v>161</v>
      </c>
    </row>
    <row r="64" spans="1:79" hidden="1" x14ac:dyDescent="0.2">
      <c r="A64" s="25" t="s">
        <v>374</v>
      </c>
      <c r="B64" s="25" t="s">
        <v>287</v>
      </c>
      <c r="C64" s="25">
        <v>2020</v>
      </c>
      <c r="D64" s="25" t="s">
        <v>183</v>
      </c>
      <c r="E64" s="25">
        <v>2.02004219228948E+17</v>
      </c>
      <c r="F64" s="25" t="s">
        <v>182</v>
      </c>
      <c r="G64" s="25" t="s">
        <v>771</v>
      </c>
      <c r="H64" s="25">
        <v>1402724</v>
      </c>
      <c r="J64" s="25" t="s">
        <v>180</v>
      </c>
      <c r="K64" s="25" t="s">
        <v>179</v>
      </c>
      <c r="N64" s="25" t="s">
        <v>770</v>
      </c>
      <c r="O64" s="25" t="s">
        <v>297</v>
      </c>
      <c r="Q64" s="25" t="s">
        <v>296</v>
      </c>
      <c r="R64" s="25" t="s">
        <v>769</v>
      </c>
      <c r="T64" s="25" t="s">
        <v>294</v>
      </c>
      <c r="V64" s="25" t="s">
        <v>768</v>
      </c>
      <c r="X64" s="25" t="s">
        <v>767</v>
      </c>
      <c r="Y64" s="25" t="s">
        <v>766</v>
      </c>
      <c r="Z64" s="25">
        <v>20723</v>
      </c>
      <c r="AA64" s="25" t="s">
        <v>393</v>
      </c>
      <c r="AB64" s="25" t="s">
        <v>393</v>
      </c>
      <c r="AF64" s="25" t="s">
        <v>364</v>
      </c>
      <c r="AI64" s="31">
        <v>43891</v>
      </c>
      <c r="AJ64" s="25">
        <v>1</v>
      </c>
      <c r="AK64" s="25">
        <v>1</v>
      </c>
      <c r="BK64" s="25" t="s">
        <v>50</v>
      </c>
      <c r="BL64" s="25" t="s">
        <v>167</v>
      </c>
      <c r="BM64" s="25" t="s">
        <v>166</v>
      </c>
      <c r="BN64" s="30">
        <v>43966.315641909721</v>
      </c>
      <c r="BR64" s="25" t="s">
        <v>165</v>
      </c>
      <c r="BS64" s="25">
        <v>4.0420202017373501E+18</v>
      </c>
      <c r="BT64" s="25" t="s">
        <v>164</v>
      </c>
      <c r="BU64" s="25" t="s">
        <v>362</v>
      </c>
      <c r="BV64" s="25">
        <v>2020</v>
      </c>
      <c r="BW64" s="25" t="s">
        <v>163</v>
      </c>
      <c r="BY64" s="25">
        <v>4.0514202017463798E+18</v>
      </c>
      <c r="BZ64" s="25" t="s">
        <v>765</v>
      </c>
      <c r="CA64" s="25" t="s">
        <v>161</v>
      </c>
    </row>
    <row r="65" spans="1:79" hidden="1" x14ac:dyDescent="0.2">
      <c r="A65" s="25" t="s">
        <v>374</v>
      </c>
      <c r="B65" s="25" t="s">
        <v>287</v>
      </c>
      <c r="C65" s="25">
        <v>2020</v>
      </c>
      <c r="D65" s="25" t="s">
        <v>183</v>
      </c>
      <c r="E65" s="25">
        <v>2.02004219228948E+17</v>
      </c>
      <c r="F65" s="25" t="s">
        <v>182</v>
      </c>
      <c r="G65" s="25" t="s">
        <v>764</v>
      </c>
      <c r="H65" s="25">
        <v>1402724</v>
      </c>
      <c r="J65" s="25" t="s">
        <v>180</v>
      </c>
      <c r="K65" s="25" t="s">
        <v>179</v>
      </c>
      <c r="N65" s="25" t="s">
        <v>371</v>
      </c>
      <c r="O65" s="25" t="s">
        <v>297</v>
      </c>
      <c r="Q65" s="25" t="s">
        <v>296</v>
      </c>
      <c r="R65" s="25" t="s">
        <v>370</v>
      </c>
      <c r="T65" s="25" t="s">
        <v>294</v>
      </c>
      <c r="V65" s="25" t="s">
        <v>369</v>
      </c>
      <c r="X65" s="25" t="s">
        <v>368</v>
      </c>
      <c r="Y65" s="25" t="s">
        <v>367</v>
      </c>
      <c r="Z65" s="25">
        <v>81004</v>
      </c>
      <c r="AA65" s="25" t="s">
        <v>366</v>
      </c>
      <c r="AB65" s="25" t="s">
        <v>365</v>
      </c>
      <c r="AF65" s="25" t="s">
        <v>364</v>
      </c>
      <c r="AI65" s="31">
        <v>43914</v>
      </c>
      <c r="AJ65" s="25">
        <v>5</v>
      </c>
      <c r="AK65" s="25">
        <v>10</v>
      </c>
      <c r="BK65" s="25" t="s">
        <v>50</v>
      </c>
      <c r="BL65" s="25" t="s">
        <v>167</v>
      </c>
      <c r="BM65" s="25" t="s">
        <v>166</v>
      </c>
      <c r="BN65" s="30">
        <v>43966.333952789355</v>
      </c>
      <c r="BR65" s="25" t="s">
        <v>165</v>
      </c>
      <c r="BS65" s="25">
        <v>4.0420202017373501E+18</v>
      </c>
      <c r="BT65" s="25" t="s">
        <v>164</v>
      </c>
      <c r="BU65" s="25" t="s">
        <v>362</v>
      </c>
      <c r="BV65" s="25">
        <v>2020</v>
      </c>
      <c r="BW65" s="25" t="s">
        <v>163</v>
      </c>
      <c r="BY65" s="25">
        <v>4.0514202017463798E+18</v>
      </c>
      <c r="BZ65" s="25" t="s">
        <v>763</v>
      </c>
      <c r="CA65" s="25" t="s">
        <v>161</v>
      </c>
    </row>
    <row r="66" spans="1:79" hidden="1" x14ac:dyDescent="0.2">
      <c r="A66" s="25" t="s">
        <v>301</v>
      </c>
      <c r="B66" s="25" t="s">
        <v>277</v>
      </c>
      <c r="C66" s="25">
        <v>2020</v>
      </c>
      <c r="D66" s="25" t="s">
        <v>341</v>
      </c>
      <c r="E66" s="25">
        <v>2.0210125940680198E+17</v>
      </c>
      <c r="F66" s="25" t="s">
        <v>182</v>
      </c>
      <c r="G66" s="25" t="s">
        <v>762</v>
      </c>
      <c r="H66" s="25">
        <v>1490496</v>
      </c>
      <c r="J66" s="25" t="s">
        <v>180</v>
      </c>
      <c r="K66" s="25" t="s">
        <v>179</v>
      </c>
      <c r="N66" s="25" t="s">
        <v>298</v>
      </c>
      <c r="O66" s="25" t="s">
        <v>297</v>
      </c>
      <c r="Q66" s="25" t="s">
        <v>296</v>
      </c>
      <c r="R66" s="25" t="s">
        <v>295</v>
      </c>
      <c r="T66" s="25" t="s">
        <v>294</v>
      </c>
      <c r="V66" s="25" t="s">
        <v>695</v>
      </c>
      <c r="X66" s="25" t="s">
        <v>694</v>
      </c>
      <c r="Y66" s="25" t="s">
        <v>693</v>
      </c>
      <c r="Z66" s="25">
        <v>452424518</v>
      </c>
      <c r="AA66" s="25" t="s">
        <v>692</v>
      </c>
      <c r="AB66" s="25" t="s">
        <v>691</v>
      </c>
      <c r="AF66" s="25" t="s">
        <v>313</v>
      </c>
      <c r="AI66" s="31">
        <v>44054</v>
      </c>
      <c r="AJ66" s="25">
        <v>50</v>
      </c>
      <c r="AK66" s="25">
        <v>100</v>
      </c>
      <c r="BK66" s="25" t="s">
        <v>50</v>
      </c>
      <c r="BL66" s="25" t="s">
        <v>167</v>
      </c>
      <c r="BM66" s="25" t="s">
        <v>166</v>
      </c>
      <c r="BN66" s="30">
        <v>44252.572176689813</v>
      </c>
      <c r="BR66" s="25" t="s">
        <v>165</v>
      </c>
      <c r="BS66" s="25">
        <v>4.0125202121377597E+18</v>
      </c>
      <c r="BT66" s="25" t="s">
        <v>164</v>
      </c>
      <c r="BV66" s="25">
        <v>2020</v>
      </c>
      <c r="BW66" s="25" t="s">
        <v>163</v>
      </c>
      <c r="BY66" s="25">
        <v>4.02242021118001E+18</v>
      </c>
      <c r="BZ66" s="25" t="s">
        <v>761</v>
      </c>
      <c r="CA66" s="25" t="s">
        <v>161</v>
      </c>
    </row>
    <row r="67" spans="1:79" hidden="1" x14ac:dyDescent="0.2">
      <c r="A67" s="25" t="s">
        <v>301</v>
      </c>
      <c r="B67" s="25" t="s">
        <v>277</v>
      </c>
      <c r="C67" s="25">
        <v>2020</v>
      </c>
      <c r="D67" s="25" t="s">
        <v>341</v>
      </c>
      <c r="E67" s="25">
        <v>2.0210125940726202E+17</v>
      </c>
      <c r="F67" s="25" t="s">
        <v>182</v>
      </c>
      <c r="G67" s="25" t="s">
        <v>760</v>
      </c>
      <c r="H67" s="25">
        <v>1490496</v>
      </c>
      <c r="J67" s="25" t="s">
        <v>180</v>
      </c>
      <c r="K67" s="25" t="s">
        <v>179</v>
      </c>
      <c r="N67" s="25" t="s">
        <v>339</v>
      </c>
      <c r="O67" s="25" t="s">
        <v>297</v>
      </c>
      <c r="Q67" s="25" t="s">
        <v>296</v>
      </c>
      <c r="R67" s="25" t="s">
        <v>307</v>
      </c>
      <c r="T67" s="25" t="s">
        <v>294</v>
      </c>
      <c r="V67" s="25" t="s">
        <v>338</v>
      </c>
      <c r="X67" s="25" t="s">
        <v>337</v>
      </c>
      <c r="Y67" s="25" t="s">
        <v>172</v>
      </c>
      <c r="Z67" s="25">
        <v>926606244</v>
      </c>
      <c r="AA67" s="25" t="s">
        <v>290</v>
      </c>
      <c r="AB67" s="25" t="s">
        <v>290</v>
      </c>
      <c r="AF67" s="25" t="s">
        <v>759</v>
      </c>
      <c r="AI67" s="31">
        <v>44066</v>
      </c>
      <c r="AJ67" s="25">
        <v>10</v>
      </c>
      <c r="AK67" s="25">
        <v>80</v>
      </c>
      <c r="BK67" s="25" t="s">
        <v>50</v>
      </c>
      <c r="BL67" s="25" t="s">
        <v>167</v>
      </c>
      <c r="BM67" s="25" t="s">
        <v>166</v>
      </c>
      <c r="BN67" s="30">
        <v>44252.573627048609</v>
      </c>
      <c r="BR67" s="25" t="s">
        <v>165</v>
      </c>
      <c r="BS67" s="25">
        <v>4.0125202121377597E+18</v>
      </c>
      <c r="BT67" s="25" t="s">
        <v>164</v>
      </c>
      <c r="BV67" s="25">
        <v>2020</v>
      </c>
      <c r="BW67" s="25" t="s">
        <v>163</v>
      </c>
      <c r="BY67" s="25">
        <v>4.0224202111833298E+18</v>
      </c>
      <c r="BZ67" s="25" t="s">
        <v>758</v>
      </c>
      <c r="CA67" s="25" t="s">
        <v>161</v>
      </c>
    </row>
    <row r="68" spans="1:79" hidden="1" x14ac:dyDescent="0.2">
      <c r="A68" s="25" t="s">
        <v>301</v>
      </c>
      <c r="B68" s="25" t="s">
        <v>277</v>
      </c>
      <c r="C68" s="25">
        <v>2020</v>
      </c>
      <c r="D68" s="25" t="s">
        <v>341</v>
      </c>
      <c r="E68" s="25">
        <v>2.0210125940833798E+17</v>
      </c>
      <c r="F68" s="25" t="s">
        <v>182</v>
      </c>
      <c r="G68" s="25" t="s">
        <v>757</v>
      </c>
      <c r="H68" s="25">
        <v>1490496</v>
      </c>
      <c r="J68" s="25" t="s">
        <v>180</v>
      </c>
      <c r="K68" s="25" t="s">
        <v>179</v>
      </c>
      <c r="L68" s="25" t="s">
        <v>346</v>
      </c>
      <c r="N68" s="25" t="s">
        <v>339</v>
      </c>
      <c r="O68" s="25" t="s">
        <v>297</v>
      </c>
      <c r="Q68" s="25" t="s">
        <v>296</v>
      </c>
      <c r="R68" s="25" t="s">
        <v>307</v>
      </c>
      <c r="T68" s="25" t="s">
        <v>294</v>
      </c>
      <c r="V68" s="25" t="s">
        <v>351</v>
      </c>
      <c r="X68" s="25" t="s">
        <v>350</v>
      </c>
      <c r="Y68" s="25" t="s">
        <v>349</v>
      </c>
      <c r="Z68" s="25">
        <v>320683024</v>
      </c>
      <c r="AA68" s="25" t="s">
        <v>348</v>
      </c>
      <c r="AB68" s="25" t="s">
        <v>347</v>
      </c>
      <c r="AC68" s="25" t="s">
        <v>346</v>
      </c>
      <c r="AD68" s="25" t="s">
        <v>345</v>
      </c>
      <c r="AE68" s="25" t="s">
        <v>344</v>
      </c>
      <c r="AF68" s="25" t="s">
        <v>303</v>
      </c>
      <c r="AI68" s="31">
        <v>44090</v>
      </c>
      <c r="AJ68" s="25">
        <v>42</v>
      </c>
      <c r="AK68" s="25">
        <v>253</v>
      </c>
      <c r="AL68" s="25" t="s">
        <v>343</v>
      </c>
      <c r="BK68" s="25" t="s">
        <v>50</v>
      </c>
      <c r="BL68" s="25" t="s">
        <v>167</v>
      </c>
      <c r="BM68" s="25" t="s">
        <v>166</v>
      </c>
      <c r="BN68" s="30">
        <v>44252.577709143516</v>
      </c>
      <c r="BR68" s="25" t="s">
        <v>165</v>
      </c>
      <c r="BS68" s="25">
        <v>4.0125202121377597E+18</v>
      </c>
      <c r="BT68" s="25" t="s">
        <v>164</v>
      </c>
      <c r="BV68" s="25">
        <v>2020</v>
      </c>
      <c r="BW68" s="25" t="s">
        <v>163</v>
      </c>
      <c r="BY68" s="25">
        <v>4.0224202111832899E+18</v>
      </c>
      <c r="BZ68" s="25" t="s">
        <v>756</v>
      </c>
      <c r="CA68" s="25" t="s">
        <v>161</v>
      </c>
    </row>
    <row r="69" spans="1:79" hidden="1" x14ac:dyDescent="0.2">
      <c r="A69" s="25" t="s">
        <v>301</v>
      </c>
      <c r="B69" s="25" t="s">
        <v>277</v>
      </c>
      <c r="C69" s="25">
        <v>2020</v>
      </c>
      <c r="D69" s="25" t="s">
        <v>341</v>
      </c>
      <c r="E69" s="25">
        <v>2.0210125940619901E+17</v>
      </c>
      <c r="F69" s="25" t="s">
        <v>182</v>
      </c>
      <c r="G69" s="25" t="s">
        <v>755</v>
      </c>
      <c r="H69" s="25">
        <v>1490496</v>
      </c>
      <c r="J69" s="25" t="s">
        <v>180</v>
      </c>
      <c r="K69" s="25" t="s">
        <v>179</v>
      </c>
      <c r="L69" s="25" t="s">
        <v>357</v>
      </c>
      <c r="N69" s="25" t="s">
        <v>339</v>
      </c>
      <c r="O69" s="25" t="s">
        <v>297</v>
      </c>
      <c r="Q69" s="25" t="s">
        <v>296</v>
      </c>
      <c r="R69" s="25" t="s">
        <v>307</v>
      </c>
      <c r="T69" s="25" t="s">
        <v>294</v>
      </c>
      <c r="V69" s="25" t="s">
        <v>359</v>
      </c>
      <c r="X69" s="25" t="s">
        <v>358</v>
      </c>
      <c r="Y69" s="25" t="s">
        <v>172</v>
      </c>
      <c r="Z69" s="25">
        <v>936198745</v>
      </c>
      <c r="AA69" s="25" t="s">
        <v>290</v>
      </c>
      <c r="AB69" s="25" t="s">
        <v>290</v>
      </c>
      <c r="AC69" s="25" t="s">
        <v>357</v>
      </c>
      <c r="AD69" s="25" t="s">
        <v>345</v>
      </c>
      <c r="AE69" s="25" t="s">
        <v>344</v>
      </c>
      <c r="AF69" s="25" t="s">
        <v>356</v>
      </c>
      <c r="AI69" s="31">
        <v>44038</v>
      </c>
      <c r="AJ69" s="25">
        <v>100</v>
      </c>
      <c r="AK69" s="25">
        <v>700</v>
      </c>
      <c r="BK69" s="25" t="s">
        <v>50</v>
      </c>
      <c r="BL69" s="25" t="s">
        <v>167</v>
      </c>
      <c r="BM69" s="25" t="s">
        <v>166</v>
      </c>
      <c r="BN69" s="30">
        <v>44252.57832429398</v>
      </c>
      <c r="BR69" s="25" t="s">
        <v>165</v>
      </c>
      <c r="BS69" s="25">
        <v>4.0125202121377597E+18</v>
      </c>
      <c r="BT69" s="25" t="s">
        <v>164</v>
      </c>
      <c r="BV69" s="25">
        <v>2020</v>
      </c>
      <c r="BW69" s="25" t="s">
        <v>163</v>
      </c>
      <c r="BY69" s="25">
        <v>4.0224202111873101E+18</v>
      </c>
      <c r="BZ69" s="25" t="s">
        <v>754</v>
      </c>
      <c r="CA69" s="25" t="s">
        <v>161</v>
      </c>
    </row>
    <row r="70" spans="1:79" hidden="1" x14ac:dyDescent="0.2">
      <c r="A70" s="25" t="s">
        <v>301</v>
      </c>
      <c r="B70" s="25" t="s">
        <v>277</v>
      </c>
      <c r="C70" s="25">
        <v>2020</v>
      </c>
      <c r="D70" s="25" t="s">
        <v>341</v>
      </c>
      <c r="E70" s="25">
        <v>2.0210125940588602E+17</v>
      </c>
      <c r="F70" s="25" t="s">
        <v>182</v>
      </c>
      <c r="G70" s="25" t="s">
        <v>753</v>
      </c>
      <c r="H70" s="25">
        <v>1490496</v>
      </c>
      <c r="J70" s="25" t="s">
        <v>180</v>
      </c>
      <c r="K70" s="25" t="s">
        <v>179</v>
      </c>
      <c r="N70" s="25" t="s">
        <v>339</v>
      </c>
      <c r="O70" s="25" t="s">
        <v>297</v>
      </c>
      <c r="Q70" s="25" t="s">
        <v>296</v>
      </c>
      <c r="R70" s="25" t="s">
        <v>307</v>
      </c>
      <c r="T70" s="25" t="s">
        <v>294</v>
      </c>
      <c r="V70" s="25" t="s">
        <v>351</v>
      </c>
      <c r="X70" s="25" t="s">
        <v>350</v>
      </c>
      <c r="Y70" s="25" t="s">
        <v>349</v>
      </c>
      <c r="Z70" s="25">
        <v>320683024</v>
      </c>
      <c r="AA70" s="25" t="s">
        <v>348</v>
      </c>
      <c r="AB70" s="25" t="s">
        <v>347</v>
      </c>
      <c r="AF70" s="25" t="s">
        <v>303</v>
      </c>
      <c r="AI70" s="31">
        <v>44028</v>
      </c>
      <c r="AJ70" s="25">
        <v>42</v>
      </c>
      <c r="AK70" s="25">
        <v>169</v>
      </c>
      <c r="BK70" s="25" t="s">
        <v>50</v>
      </c>
      <c r="BL70" s="25" t="s">
        <v>167</v>
      </c>
      <c r="BM70" s="25" t="s">
        <v>166</v>
      </c>
      <c r="BN70" s="30">
        <v>44252.5791809375</v>
      </c>
      <c r="BR70" s="25" t="s">
        <v>165</v>
      </c>
      <c r="BS70" s="25">
        <v>4.0125202121377597E+18</v>
      </c>
      <c r="BT70" s="25" t="s">
        <v>164</v>
      </c>
      <c r="BV70" s="25">
        <v>2020</v>
      </c>
      <c r="BW70" s="25" t="s">
        <v>163</v>
      </c>
      <c r="BY70" s="25">
        <v>4.0224202111805901E+18</v>
      </c>
      <c r="BZ70" s="25" t="s">
        <v>752</v>
      </c>
      <c r="CA70" s="25" t="s">
        <v>161</v>
      </c>
    </row>
    <row r="71" spans="1:79" hidden="1" x14ac:dyDescent="0.2">
      <c r="A71" s="25" t="s">
        <v>301</v>
      </c>
      <c r="B71" s="25" t="s">
        <v>277</v>
      </c>
      <c r="C71" s="25">
        <v>2020</v>
      </c>
      <c r="D71" s="25" t="s">
        <v>341</v>
      </c>
      <c r="E71" s="25">
        <v>2.02101259408936E+17</v>
      </c>
      <c r="F71" s="25" t="s">
        <v>182</v>
      </c>
      <c r="G71" s="25" t="s">
        <v>751</v>
      </c>
      <c r="H71" s="25">
        <v>1490496</v>
      </c>
      <c r="J71" s="25" t="s">
        <v>180</v>
      </c>
      <c r="K71" s="25" t="s">
        <v>179</v>
      </c>
      <c r="L71" s="25" t="s">
        <v>357</v>
      </c>
      <c r="N71" s="25" t="s">
        <v>339</v>
      </c>
      <c r="O71" s="25" t="s">
        <v>297</v>
      </c>
      <c r="Q71" s="25" t="s">
        <v>296</v>
      </c>
      <c r="R71" s="25" t="s">
        <v>307</v>
      </c>
      <c r="T71" s="25" t="s">
        <v>294</v>
      </c>
      <c r="V71" s="25" t="s">
        <v>359</v>
      </c>
      <c r="X71" s="25" t="s">
        <v>358</v>
      </c>
      <c r="Y71" s="25" t="s">
        <v>172</v>
      </c>
      <c r="Z71" s="25">
        <v>936198745</v>
      </c>
      <c r="AA71" s="25" t="s">
        <v>290</v>
      </c>
      <c r="AB71" s="25" t="s">
        <v>290</v>
      </c>
      <c r="AC71" s="25" t="s">
        <v>357</v>
      </c>
      <c r="AD71" s="25" t="s">
        <v>345</v>
      </c>
      <c r="AE71" s="25" t="s">
        <v>344</v>
      </c>
      <c r="AF71" s="25" t="s">
        <v>356</v>
      </c>
      <c r="AI71" s="31">
        <v>44100</v>
      </c>
      <c r="AJ71" s="25">
        <v>100</v>
      </c>
      <c r="AK71" s="25">
        <v>900</v>
      </c>
      <c r="BK71" s="25" t="s">
        <v>50</v>
      </c>
      <c r="BL71" s="25" t="s">
        <v>167</v>
      </c>
      <c r="BM71" s="25" t="s">
        <v>166</v>
      </c>
      <c r="BN71" s="30">
        <v>44252.58054383102</v>
      </c>
      <c r="BR71" s="25" t="s">
        <v>165</v>
      </c>
      <c r="BS71" s="25">
        <v>4.0125202121377597E+18</v>
      </c>
      <c r="BT71" s="25" t="s">
        <v>164</v>
      </c>
      <c r="BV71" s="25">
        <v>2020</v>
      </c>
      <c r="BW71" s="25" t="s">
        <v>163</v>
      </c>
      <c r="BY71" s="25">
        <v>4.02242021118739E+18</v>
      </c>
      <c r="BZ71" s="25" t="s">
        <v>750</v>
      </c>
      <c r="CA71" s="25" t="s">
        <v>161</v>
      </c>
    </row>
    <row r="72" spans="1:79" hidden="1" x14ac:dyDescent="0.2">
      <c r="A72" s="25" t="s">
        <v>374</v>
      </c>
      <c r="B72" s="25" t="s">
        <v>287</v>
      </c>
      <c r="C72" s="25">
        <v>2020</v>
      </c>
      <c r="D72" s="25" t="s">
        <v>644</v>
      </c>
      <c r="E72" s="25">
        <v>2.0200520923647398E+17</v>
      </c>
      <c r="F72" s="25" t="s">
        <v>182</v>
      </c>
      <c r="G72" s="25" t="s">
        <v>749</v>
      </c>
      <c r="H72" s="25">
        <v>1407307</v>
      </c>
      <c r="J72" s="25" t="s">
        <v>180</v>
      </c>
      <c r="K72" s="25" t="s">
        <v>179</v>
      </c>
      <c r="N72" s="25" t="s">
        <v>397</v>
      </c>
      <c r="O72" s="25" t="s">
        <v>297</v>
      </c>
      <c r="Q72" s="25" t="s">
        <v>296</v>
      </c>
      <c r="R72" s="25" t="s">
        <v>396</v>
      </c>
      <c r="T72" s="25" t="s">
        <v>294</v>
      </c>
      <c r="V72" s="25" t="s">
        <v>395</v>
      </c>
      <c r="X72" s="25" t="s">
        <v>394</v>
      </c>
      <c r="Y72" s="25" t="s">
        <v>31</v>
      </c>
      <c r="Z72" s="25">
        <v>98346</v>
      </c>
      <c r="AA72" s="25" t="s">
        <v>393</v>
      </c>
      <c r="AB72" s="25" t="s">
        <v>393</v>
      </c>
      <c r="AF72" s="25" t="s">
        <v>377</v>
      </c>
      <c r="AI72" s="31">
        <v>43941</v>
      </c>
      <c r="AJ72" s="25">
        <v>12.26</v>
      </c>
      <c r="AK72" s="25">
        <v>42.26</v>
      </c>
      <c r="BK72" s="25" t="s">
        <v>50</v>
      </c>
      <c r="BL72" s="25" t="s">
        <v>167</v>
      </c>
      <c r="BM72" s="25" t="s">
        <v>166</v>
      </c>
      <c r="BN72" s="30">
        <v>43979.283381041663</v>
      </c>
      <c r="BR72" s="25" t="s">
        <v>165</v>
      </c>
      <c r="BS72" s="25">
        <v>4.05212020176224E+18</v>
      </c>
      <c r="BT72" s="25" t="s">
        <v>164</v>
      </c>
      <c r="BU72" s="25" t="s">
        <v>392</v>
      </c>
      <c r="BV72" s="25">
        <v>2020</v>
      </c>
      <c r="BW72" s="25" t="s">
        <v>163</v>
      </c>
      <c r="BY72" s="25">
        <v>4.0527202017663601E+18</v>
      </c>
      <c r="BZ72" s="25" t="s">
        <v>742</v>
      </c>
      <c r="CA72" s="25" t="s">
        <v>161</v>
      </c>
    </row>
    <row r="73" spans="1:79" x14ac:dyDescent="0.2">
      <c r="A73" s="25" t="s">
        <v>192</v>
      </c>
      <c r="B73" s="25" t="s">
        <v>157</v>
      </c>
      <c r="C73" s="25">
        <v>2020</v>
      </c>
      <c r="D73" s="25" t="s">
        <v>644</v>
      </c>
      <c r="E73" s="25">
        <v>2.0200518923277402E+17</v>
      </c>
      <c r="F73" s="25" t="s">
        <v>182</v>
      </c>
      <c r="G73" s="25" t="s">
        <v>748</v>
      </c>
      <c r="H73" s="25">
        <v>1406165</v>
      </c>
      <c r="J73" s="25" t="s">
        <v>180</v>
      </c>
      <c r="K73" s="25" t="s">
        <v>179</v>
      </c>
      <c r="N73" s="25" t="s">
        <v>543</v>
      </c>
      <c r="O73" s="25" t="s">
        <v>66</v>
      </c>
      <c r="P73" s="25" t="s">
        <v>177</v>
      </c>
      <c r="Q73" s="25" t="s">
        <v>34</v>
      </c>
      <c r="R73" s="25" t="s">
        <v>295</v>
      </c>
      <c r="S73" s="25" t="s">
        <v>0</v>
      </c>
      <c r="T73" s="25" t="s">
        <v>294</v>
      </c>
      <c r="V73" s="25" t="s">
        <v>542</v>
      </c>
      <c r="W73" s="25" t="s">
        <v>541</v>
      </c>
      <c r="X73" s="25" t="s">
        <v>540</v>
      </c>
      <c r="Y73" s="25" t="s">
        <v>349</v>
      </c>
      <c r="Z73" s="25">
        <v>33131</v>
      </c>
      <c r="AA73" s="25" t="s">
        <v>539</v>
      </c>
      <c r="AB73" s="25" t="s">
        <v>187</v>
      </c>
      <c r="AD73" s="25">
        <v>15</v>
      </c>
      <c r="AE73" s="25" t="s">
        <v>169</v>
      </c>
      <c r="AI73" s="31">
        <v>43924</v>
      </c>
      <c r="AJ73" s="25">
        <v>192.3</v>
      </c>
      <c r="AK73" s="25">
        <v>1346.1</v>
      </c>
      <c r="BG73" s="25" t="s">
        <v>28</v>
      </c>
      <c r="BI73" s="25" t="s">
        <v>168</v>
      </c>
      <c r="BK73" s="25" t="s">
        <v>50</v>
      </c>
      <c r="BL73" s="25" t="s">
        <v>167</v>
      </c>
      <c r="BM73" s="25" t="s">
        <v>166</v>
      </c>
      <c r="BN73" s="30">
        <v>43970.057980474536</v>
      </c>
      <c r="BR73" s="25" t="s">
        <v>165</v>
      </c>
      <c r="BS73" s="25">
        <v>4.0518202017615002E+18</v>
      </c>
      <c r="BT73" s="25" t="s">
        <v>164</v>
      </c>
      <c r="BV73" s="25">
        <v>2020</v>
      </c>
      <c r="BW73" s="25" t="s">
        <v>163</v>
      </c>
      <c r="BY73" s="25">
        <v>4.0518202017615299E+18</v>
      </c>
      <c r="BZ73" s="25" t="s">
        <v>746</v>
      </c>
      <c r="CA73" s="25" t="s">
        <v>161</v>
      </c>
    </row>
    <row r="74" spans="1:79" x14ac:dyDescent="0.2">
      <c r="A74" s="25" t="s">
        <v>192</v>
      </c>
      <c r="B74" s="25" t="s">
        <v>157</v>
      </c>
      <c r="C74" s="25">
        <v>2020</v>
      </c>
      <c r="D74" s="25" t="s">
        <v>644</v>
      </c>
      <c r="E74" s="25">
        <v>2.0200518923277402E+17</v>
      </c>
      <c r="F74" s="25" t="s">
        <v>182</v>
      </c>
      <c r="G74" s="25" t="s">
        <v>747</v>
      </c>
      <c r="H74" s="25">
        <v>1406165</v>
      </c>
      <c r="J74" s="25" t="s">
        <v>180</v>
      </c>
      <c r="K74" s="25" t="s">
        <v>179</v>
      </c>
      <c r="N74" s="25" t="s">
        <v>543</v>
      </c>
      <c r="O74" s="25" t="s">
        <v>66</v>
      </c>
      <c r="P74" s="25" t="s">
        <v>177</v>
      </c>
      <c r="Q74" s="25" t="s">
        <v>34</v>
      </c>
      <c r="R74" s="25" t="s">
        <v>295</v>
      </c>
      <c r="S74" s="25" t="s">
        <v>0</v>
      </c>
      <c r="T74" s="25" t="s">
        <v>294</v>
      </c>
      <c r="V74" s="25" t="s">
        <v>542</v>
      </c>
      <c r="W74" s="25" t="s">
        <v>541</v>
      </c>
      <c r="X74" s="25" t="s">
        <v>540</v>
      </c>
      <c r="Y74" s="25" t="s">
        <v>349</v>
      </c>
      <c r="Z74" s="25">
        <v>33131</v>
      </c>
      <c r="AA74" s="25" t="s">
        <v>539</v>
      </c>
      <c r="AB74" s="25" t="s">
        <v>187</v>
      </c>
      <c r="AD74" s="25">
        <v>15</v>
      </c>
      <c r="AE74" s="25" t="s">
        <v>169</v>
      </c>
      <c r="AI74" s="31">
        <v>43938</v>
      </c>
      <c r="AJ74" s="25">
        <v>192.3</v>
      </c>
      <c r="AK74" s="25">
        <v>1538.4</v>
      </c>
      <c r="BG74" s="25" t="s">
        <v>28</v>
      </c>
      <c r="BI74" s="25" t="s">
        <v>168</v>
      </c>
      <c r="BK74" s="25" t="s">
        <v>50</v>
      </c>
      <c r="BL74" s="25" t="s">
        <v>167</v>
      </c>
      <c r="BM74" s="25" t="s">
        <v>166</v>
      </c>
      <c r="BN74" s="30">
        <v>43970.057980474536</v>
      </c>
      <c r="BR74" s="25" t="s">
        <v>165</v>
      </c>
      <c r="BS74" s="25">
        <v>4.0518202017615002E+18</v>
      </c>
      <c r="BT74" s="25" t="s">
        <v>164</v>
      </c>
      <c r="BV74" s="25">
        <v>2020</v>
      </c>
      <c r="BW74" s="25" t="s">
        <v>163</v>
      </c>
      <c r="BY74" s="25">
        <v>4.0518202017615299E+18</v>
      </c>
      <c r="BZ74" s="25" t="s">
        <v>746</v>
      </c>
      <c r="CA74" s="25" t="s">
        <v>161</v>
      </c>
    </row>
    <row r="75" spans="1:79" hidden="1" x14ac:dyDescent="0.2">
      <c r="A75" s="25" t="s">
        <v>346</v>
      </c>
      <c r="B75" s="25" t="s">
        <v>281</v>
      </c>
      <c r="C75" s="25">
        <v>2020</v>
      </c>
      <c r="D75" s="25" t="s">
        <v>197</v>
      </c>
      <c r="E75" s="25">
        <v>2.0200511923264899E+17</v>
      </c>
      <c r="F75" s="25" t="s">
        <v>450</v>
      </c>
      <c r="G75" s="25" t="s">
        <v>745</v>
      </c>
      <c r="H75" s="25">
        <v>1405125</v>
      </c>
      <c r="J75" s="25" t="s">
        <v>180</v>
      </c>
      <c r="K75" s="25" t="s">
        <v>179</v>
      </c>
      <c r="N75" s="25" t="s">
        <v>339</v>
      </c>
      <c r="O75" s="25" t="s">
        <v>28</v>
      </c>
      <c r="Q75" s="25" t="s">
        <v>28</v>
      </c>
      <c r="R75" s="25" t="s">
        <v>307</v>
      </c>
      <c r="T75" s="25" t="s">
        <v>294</v>
      </c>
      <c r="V75" s="25" t="s">
        <v>338</v>
      </c>
      <c r="X75" s="25" t="s">
        <v>337</v>
      </c>
      <c r="Y75" s="25" t="s">
        <v>172</v>
      </c>
      <c r="Z75" s="25">
        <v>92660</v>
      </c>
      <c r="AA75" s="25" t="s">
        <v>290</v>
      </c>
      <c r="AB75" s="25" t="s">
        <v>290</v>
      </c>
      <c r="AI75" s="31">
        <v>43869</v>
      </c>
      <c r="AJ75" s="25">
        <v>25</v>
      </c>
      <c r="AK75" s="25">
        <v>25</v>
      </c>
      <c r="BG75" s="25" t="s">
        <v>446</v>
      </c>
      <c r="BI75" s="25" t="s">
        <v>168</v>
      </c>
      <c r="BJ75" s="25">
        <v>2020</v>
      </c>
      <c r="BK75" s="25" t="s">
        <v>50</v>
      </c>
      <c r="BL75" s="25" t="s">
        <v>167</v>
      </c>
      <c r="BM75" s="25" t="s">
        <v>166</v>
      </c>
      <c r="BN75" s="30">
        <v>43971.067484467596</v>
      </c>
      <c r="BR75" s="25" t="s">
        <v>445</v>
      </c>
      <c r="BS75" s="25">
        <v>4.0511202017423498E+18</v>
      </c>
      <c r="BT75" s="25" t="s">
        <v>164</v>
      </c>
      <c r="BV75" s="25">
        <v>2020</v>
      </c>
      <c r="BW75" s="25" t="s">
        <v>163</v>
      </c>
      <c r="BY75" s="25">
        <v>4.0519202017617603E+18</v>
      </c>
      <c r="BZ75" s="25" t="s">
        <v>744</v>
      </c>
      <c r="CA75" s="25" t="s">
        <v>161</v>
      </c>
    </row>
    <row r="76" spans="1:79" hidden="1" x14ac:dyDescent="0.2">
      <c r="A76" s="25" t="s">
        <v>374</v>
      </c>
      <c r="B76" s="25" t="s">
        <v>287</v>
      </c>
      <c r="C76" s="25">
        <v>2020</v>
      </c>
      <c r="D76" s="25" t="s">
        <v>644</v>
      </c>
      <c r="E76" s="25">
        <v>2.0200520923647398E+17</v>
      </c>
      <c r="F76" s="25" t="s">
        <v>182</v>
      </c>
      <c r="G76" s="25" t="s">
        <v>743</v>
      </c>
      <c r="H76" s="25">
        <v>1407307</v>
      </c>
      <c r="J76" s="25" t="s">
        <v>180</v>
      </c>
      <c r="K76" s="25" t="s">
        <v>179</v>
      </c>
      <c r="N76" s="25" t="s">
        <v>397</v>
      </c>
      <c r="O76" s="25" t="s">
        <v>297</v>
      </c>
      <c r="Q76" s="25" t="s">
        <v>296</v>
      </c>
      <c r="R76" s="25" t="s">
        <v>396</v>
      </c>
      <c r="T76" s="25" t="s">
        <v>294</v>
      </c>
      <c r="V76" s="25" t="s">
        <v>395</v>
      </c>
      <c r="X76" s="25" t="s">
        <v>394</v>
      </c>
      <c r="Y76" s="25" t="s">
        <v>31</v>
      </c>
      <c r="Z76" s="25">
        <v>98346</v>
      </c>
      <c r="AA76" s="25" t="s">
        <v>393</v>
      </c>
      <c r="AB76" s="25" t="s">
        <v>393</v>
      </c>
      <c r="AF76" s="25" t="s">
        <v>377</v>
      </c>
      <c r="AI76" s="31">
        <v>43941</v>
      </c>
      <c r="AJ76" s="25">
        <v>30</v>
      </c>
      <c r="AK76" s="25">
        <v>42.26</v>
      </c>
      <c r="BK76" s="25" t="s">
        <v>50</v>
      </c>
      <c r="BL76" s="25" t="s">
        <v>167</v>
      </c>
      <c r="BM76" s="25" t="s">
        <v>166</v>
      </c>
      <c r="BN76" s="30">
        <v>43979.315692662036</v>
      </c>
      <c r="BR76" s="25" t="s">
        <v>165</v>
      </c>
      <c r="BS76" s="25">
        <v>4.05212020176224E+18</v>
      </c>
      <c r="BT76" s="25" t="s">
        <v>164</v>
      </c>
      <c r="BU76" s="25" t="s">
        <v>392</v>
      </c>
      <c r="BV76" s="25">
        <v>2020</v>
      </c>
      <c r="BW76" s="25" t="s">
        <v>163</v>
      </c>
      <c r="BY76" s="25">
        <v>4.0527202017663601E+18</v>
      </c>
      <c r="BZ76" s="25" t="s">
        <v>742</v>
      </c>
      <c r="CA76" s="25" t="s">
        <v>161</v>
      </c>
    </row>
    <row r="77" spans="1:79" hidden="1" x14ac:dyDescent="0.2">
      <c r="A77" s="25" t="s">
        <v>704</v>
      </c>
      <c r="B77" s="25" t="s">
        <v>279</v>
      </c>
      <c r="C77" s="25">
        <v>2020</v>
      </c>
      <c r="D77" s="25" t="s">
        <v>589</v>
      </c>
      <c r="E77" s="25">
        <v>2.0200610923966499E+17</v>
      </c>
      <c r="F77" s="25" t="s">
        <v>182</v>
      </c>
      <c r="G77" s="25">
        <v>5997436</v>
      </c>
      <c r="H77" s="25">
        <v>1410900</v>
      </c>
      <c r="J77" s="25" t="s">
        <v>180</v>
      </c>
      <c r="K77" s="25" t="s">
        <v>179</v>
      </c>
      <c r="L77" s="25" t="s">
        <v>374</v>
      </c>
      <c r="N77" s="25" t="s">
        <v>516</v>
      </c>
      <c r="O77" s="25" t="s">
        <v>39</v>
      </c>
      <c r="Q77" s="25" t="s">
        <v>28</v>
      </c>
      <c r="R77" s="25" t="s">
        <v>295</v>
      </c>
      <c r="S77" s="25" t="s">
        <v>515</v>
      </c>
      <c r="T77" s="25" t="s">
        <v>294</v>
      </c>
      <c r="V77" s="25" t="s">
        <v>388</v>
      </c>
      <c r="X77" s="25" t="s">
        <v>368</v>
      </c>
      <c r="Y77" s="25" t="s">
        <v>367</v>
      </c>
      <c r="Z77" s="25">
        <v>810049787</v>
      </c>
      <c r="AA77" s="25" t="s">
        <v>620</v>
      </c>
      <c r="AB77" s="25" t="s">
        <v>365</v>
      </c>
      <c r="AC77" s="25" t="s">
        <v>374</v>
      </c>
      <c r="AD77" s="25" t="s">
        <v>345</v>
      </c>
      <c r="AE77" s="25" t="s">
        <v>344</v>
      </c>
      <c r="AI77" s="31">
        <v>43847</v>
      </c>
      <c r="AJ77" s="25">
        <v>250</v>
      </c>
      <c r="AK77" s="25">
        <v>250</v>
      </c>
      <c r="BG77" s="25" t="s">
        <v>446</v>
      </c>
      <c r="BI77" s="25" t="s">
        <v>168</v>
      </c>
      <c r="BJ77" s="25">
        <v>2020</v>
      </c>
      <c r="BK77" s="25" t="s">
        <v>0</v>
      </c>
      <c r="BL77" s="25" t="s">
        <v>186</v>
      </c>
      <c r="BM77" s="25" t="s">
        <v>166</v>
      </c>
      <c r="BN77" s="30">
        <v>43994.076329085648</v>
      </c>
      <c r="BP77" s="25" t="s">
        <v>741</v>
      </c>
      <c r="BQ77" s="25" t="s">
        <v>419</v>
      </c>
      <c r="BR77" s="25" t="s">
        <v>513</v>
      </c>
      <c r="BS77" s="25">
        <v>4.0610202017745603E+18</v>
      </c>
      <c r="BT77" s="25" t="s">
        <v>164</v>
      </c>
      <c r="BU77" s="25" t="s">
        <v>512</v>
      </c>
      <c r="BV77" s="25">
        <v>2020</v>
      </c>
      <c r="BW77" s="25" t="s">
        <v>163</v>
      </c>
      <c r="BY77" s="25">
        <v>4.0611202017746202E+18</v>
      </c>
      <c r="BZ77" s="25" t="s">
        <v>740</v>
      </c>
      <c r="CA77" s="25" t="s">
        <v>161</v>
      </c>
    </row>
    <row r="78" spans="1:79" hidden="1" x14ac:dyDescent="0.2">
      <c r="A78" s="25" t="s">
        <v>580</v>
      </c>
      <c r="B78" s="25" t="s">
        <v>283</v>
      </c>
      <c r="C78" s="25">
        <v>2020</v>
      </c>
      <c r="D78" s="25" t="s">
        <v>730</v>
      </c>
      <c r="E78" s="25">
        <v>2.0200610923966598E+17</v>
      </c>
      <c r="F78" s="25" t="s">
        <v>182</v>
      </c>
      <c r="G78" s="25" t="s">
        <v>739</v>
      </c>
      <c r="H78" s="25">
        <v>1410938</v>
      </c>
      <c r="J78" s="25" t="s">
        <v>180</v>
      </c>
      <c r="K78" s="25" t="s">
        <v>179</v>
      </c>
      <c r="L78" s="25" t="s">
        <v>374</v>
      </c>
      <c r="N78" s="25" t="s">
        <v>371</v>
      </c>
      <c r="O78" s="25" t="s">
        <v>75</v>
      </c>
      <c r="Q78" s="25" t="s">
        <v>28</v>
      </c>
      <c r="R78" s="25" t="s">
        <v>370</v>
      </c>
      <c r="T78" s="25" t="s">
        <v>294</v>
      </c>
      <c r="V78" s="25" t="s">
        <v>369</v>
      </c>
      <c r="X78" s="25" t="s">
        <v>368</v>
      </c>
      <c r="Y78" s="25" t="s">
        <v>367</v>
      </c>
      <c r="Z78" s="25">
        <v>81004</v>
      </c>
      <c r="AA78" s="25" t="s">
        <v>366</v>
      </c>
      <c r="AB78" s="25" t="s">
        <v>365</v>
      </c>
      <c r="AC78" s="25" t="s">
        <v>374</v>
      </c>
      <c r="AD78" s="25" t="s">
        <v>345</v>
      </c>
      <c r="AE78" s="25" t="s">
        <v>344</v>
      </c>
      <c r="AF78" s="25" t="s">
        <v>736</v>
      </c>
      <c r="AI78" s="31">
        <v>43969</v>
      </c>
      <c r="AJ78" s="25">
        <v>250</v>
      </c>
      <c r="AK78" s="25">
        <v>400</v>
      </c>
      <c r="BG78" s="25" t="s">
        <v>446</v>
      </c>
      <c r="BI78" s="25" t="s">
        <v>168</v>
      </c>
      <c r="BJ78" s="25">
        <v>2020</v>
      </c>
      <c r="BK78" s="25" t="s">
        <v>50</v>
      </c>
      <c r="BL78" s="25" t="s">
        <v>167</v>
      </c>
      <c r="BM78" s="25" t="s">
        <v>166</v>
      </c>
      <c r="BN78" s="30">
        <v>43994.076459085649</v>
      </c>
      <c r="BR78" s="25" t="s">
        <v>513</v>
      </c>
      <c r="BS78" s="25">
        <v>4.0611202017746002E+18</v>
      </c>
      <c r="BT78" s="25" t="s">
        <v>164</v>
      </c>
      <c r="BV78" s="25">
        <v>2020</v>
      </c>
      <c r="BW78" s="25" t="s">
        <v>163</v>
      </c>
      <c r="BY78" s="25">
        <v>4.0611202017746202E+18</v>
      </c>
      <c r="BZ78" s="25" t="s">
        <v>735</v>
      </c>
      <c r="CA78" s="25" t="s">
        <v>161</v>
      </c>
    </row>
    <row r="79" spans="1:79" hidden="1" x14ac:dyDescent="0.2">
      <c r="A79" s="25" t="s">
        <v>580</v>
      </c>
      <c r="B79" s="25" t="s">
        <v>283</v>
      </c>
      <c r="C79" s="25">
        <v>2020</v>
      </c>
      <c r="D79" s="25" t="s">
        <v>730</v>
      </c>
      <c r="E79" s="25">
        <v>2.0200610923966598E+17</v>
      </c>
      <c r="F79" s="25" t="s">
        <v>182</v>
      </c>
      <c r="G79" s="25" t="s">
        <v>738</v>
      </c>
      <c r="H79" s="25">
        <v>1410938</v>
      </c>
      <c r="J79" s="25" t="s">
        <v>180</v>
      </c>
      <c r="K79" s="25" t="s">
        <v>179</v>
      </c>
      <c r="L79" s="25" t="s">
        <v>374</v>
      </c>
      <c r="N79" s="25" t="s">
        <v>371</v>
      </c>
      <c r="O79" s="25" t="s">
        <v>75</v>
      </c>
      <c r="Q79" s="25" t="s">
        <v>28</v>
      </c>
      <c r="R79" s="25" t="s">
        <v>370</v>
      </c>
      <c r="T79" s="25" t="s">
        <v>294</v>
      </c>
      <c r="V79" s="25" t="s">
        <v>369</v>
      </c>
      <c r="X79" s="25" t="s">
        <v>368</v>
      </c>
      <c r="Y79" s="25" t="s">
        <v>367</v>
      </c>
      <c r="Z79" s="25">
        <v>81004</v>
      </c>
      <c r="AA79" s="25" t="s">
        <v>366</v>
      </c>
      <c r="AB79" s="25" t="s">
        <v>365</v>
      </c>
      <c r="AC79" s="25" t="s">
        <v>374</v>
      </c>
      <c r="AD79" s="25" t="s">
        <v>345</v>
      </c>
      <c r="AE79" s="25" t="s">
        <v>344</v>
      </c>
      <c r="AF79" s="25" t="s">
        <v>736</v>
      </c>
      <c r="AI79" s="31">
        <v>43979</v>
      </c>
      <c r="AJ79" s="25">
        <v>100</v>
      </c>
      <c r="AK79" s="25">
        <v>500</v>
      </c>
      <c r="BG79" s="25" t="s">
        <v>446</v>
      </c>
      <c r="BI79" s="25" t="s">
        <v>168</v>
      </c>
      <c r="BJ79" s="25">
        <v>2020</v>
      </c>
      <c r="BK79" s="25" t="s">
        <v>50</v>
      </c>
      <c r="BL79" s="25" t="s">
        <v>167</v>
      </c>
      <c r="BM79" s="25" t="s">
        <v>166</v>
      </c>
      <c r="BN79" s="30">
        <v>43994.076459085649</v>
      </c>
      <c r="BR79" s="25" t="s">
        <v>513</v>
      </c>
      <c r="BS79" s="25">
        <v>4.0611202017746002E+18</v>
      </c>
      <c r="BT79" s="25" t="s">
        <v>164</v>
      </c>
      <c r="BV79" s="25">
        <v>2020</v>
      </c>
      <c r="BW79" s="25" t="s">
        <v>163</v>
      </c>
      <c r="BY79" s="25">
        <v>4.0611202017746202E+18</v>
      </c>
      <c r="BZ79" s="25" t="s">
        <v>735</v>
      </c>
      <c r="CA79" s="25" t="s">
        <v>161</v>
      </c>
    </row>
    <row r="80" spans="1:79" hidden="1" x14ac:dyDescent="0.2">
      <c r="A80" s="25" t="s">
        <v>580</v>
      </c>
      <c r="B80" s="25" t="s">
        <v>283</v>
      </c>
      <c r="C80" s="25">
        <v>2020</v>
      </c>
      <c r="D80" s="25" t="s">
        <v>730</v>
      </c>
      <c r="E80" s="25">
        <v>2.0200610923966598E+17</v>
      </c>
      <c r="F80" s="25" t="s">
        <v>182</v>
      </c>
      <c r="G80" s="25" t="s">
        <v>737</v>
      </c>
      <c r="H80" s="25">
        <v>1410938</v>
      </c>
      <c r="J80" s="25" t="s">
        <v>180</v>
      </c>
      <c r="K80" s="25" t="s">
        <v>179</v>
      </c>
      <c r="L80" s="25" t="s">
        <v>374</v>
      </c>
      <c r="N80" s="25" t="s">
        <v>371</v>
      </c>
      <c r="O80" s="25" t="s">
        <v>75</v>
      </c>
      <c r="Q80" s="25" t="s">
        <v>28</v>
      </c>
      <c r="R80" s="25" t="s">
        <v>370</v>
      </c>
      <c r="T80" s="25" t="s">
        <v>294</v>
      </c>
      <c r="V80" s="25" t="s">
        <v>369</v>
      </c>
      <c r="X80" s="25" t="s">
        <v>368</v>
      </c>
      <c r="Y80" s="25" t="s">
        <v>367</v>
      </c>
      <c r="Z80" s="25">
        <v>81004</v>
      </c>
      <c r="AA80" s="25" t="s">
        <v>366</v>
      </c>
      <c r="AB80" s="25" t="s">
        <v>365</v>
      </c>
      <c r="AC80" s="25" t="s">
        <v>374</v>
      </c>
      <c r="AD80" s="25" t="s">
        <v>345</v>
      </c>
      <c r="AE80" s="25" t="s">
        <v>344</v>
      </c>
      <c r="AF80" s="25" t="s">
        <v>736</v>
      </c>
      <c r="AI80" s="31">
        <v>43982</v>
      </c>
      <c r="AJ80" s="25">
        <v>50</v>
      </c>
      <c r="AK80" s="25">
        <v>550</v>
      </c>
      <c r="BG80" s="25" t="s">
        <v>446</v>
      </c>
      <c r="BI80" s="25" t="s">
        <v>168</v>
      </c>
      <c r="BJ80" s="25">
        <v>2020</v>
      </c>
      <c r="BK80" s="25" t="s">
        <v>50</v>
      </c>
      <c r="BL80" s="25" t="s">
        <v>167</v>
      </c>
      <c r="BM80" s="25" t="s">
        <v>166</v>
      </c>
      <c r="BN80" s="30">
        <v>43994.076459085649</v>
      </c>
      <c r="BR80" s="25" t="s">
        <v>513</v>
      </c>
      <c r="BS80" s="25">
        <v>4.0611202017746002E+18</v>
      </c>
      <c r="BT80" s="25" t="s">
        <v>164</v>
      </c>
      <c r="BV80" s="25">
        <v>2020</v>
      </c>
      <c r="BW80" s="25" t="s">
        <v>163</v>
      </c>
      <c r="BY80" s="25">
        <v>4.0611202017746202E+18</v>
      </c>
      <c r="BZ80" s="25" t="s">
        <v>735</v>
      </c>
      <c r="CA80" s="25" t="s">
        <v>161</v>
      </c>
    </row>
    <row r="81" spans="1:79" hidden="1" x14ac:dyDescent="0.2">
      <c r="A81" s="25" t="s">
        <v>346</v>
      </c>
      <c r="B81" s="25" t="s">
        <v>281</v>
      </c>
      <c r="C81" s="25">
        <v>2020</v>
      </c>
      <c r="D81" s="25" t="s">
        <v>706</v>
      </c>
      <c r="E81" s="25">
        <v>2.0200824926688602E+17</v>
      </c>
      <c r="F81" s="25" t="s">
        <v>450</v>
      </c>
      <c r="G81" s="25" t="s">
        <v>734</v>
      </c>
      <c r="H81" s="25">
        <v>1435104</v>
      </c>
      <c r="J81" s="25" t="s">
        <v>180</v>
      </c>
      <c r="K81" s="25" t="s">
        <v>179</v>
      </c>
      <c r="N81" s="25" t="s">
        <v>339</v>
      </c>
      <c r="O81" s="25" t="s">
        <v>28</v>
      </c>
      <c r="Q81" s="25" t="s">
        <v>28</v>
      </c>
      <c r="R81" s="25" t="s">
        <v>307</v>
      </c>
      <c r="T81" s="25" t="s">
        <v>294</v>
      </c>
      <c r="V81" s="25" t="s">
        <v>338</v>
      </c>
      <c r="X81" s="25" t="s">
        <v>337</v>
      </c>
      <c r="Y81" s="25" t="s">
        <v>172</v>
      </c>
      <c r="Z81" s="25">
        <v>92660</v>
      </c>
      <c r="AA81" s="25" t="s">
        <v>290</v>
      </c>
      <c r="AB81" s="25" t="s">
        <v>290</v>
      </c>
      <c r="AI81" s="31">
        <v>43958</v>
      </c>
      <c r="AJ81" s="25">
        <v>25</v>
      </c>
      <c r="AK81" s="25">
        <v>25</v>
      </c>
      <c r="BG81" s="25" t="s">
        <v>446</v>
      </c>
      <c r="BI81" s="25" t="s">
        <v>168</v>
      </c>
      <c r="BJ81" s="25">
        <v>2020</v>
      </c>
      <c r="BK81" s="25" t="s">
        <v>50</v>
      </c>
      <c r="BL81" s="25" t="s">
        <v>167</v>
      </c>
      <c r="BM81" s="25" t="s">
        <v>166</v>
      </c>
      <c r="BN81" s="30">
        <v>44075.18040125</v>
      </c>
      <c r="BR81" s="25" t="s">
        <v>445</v>
      </c>
      <c r="BS81" s="25">
        <v>4.0826202018297498E+18</v>
      </c>
      <c r="BT81" s="25" t="s">
        <v>164</v>
      </c>
      <c r="BV81" s="25">
        <v>2020</v>
      </c>
      <c r="BW81" s="25" t="s">
        <v>163</v>
      </c>
      <c r="BY81" s="25">
        <v>4.0901202018332001E+18</v>
      </c>
      <c r="BZ81" s="25" t="s">
        <v>733</v>
      </c>
      <c r="CA81" s="25" t="s">
        <v>161</v>
      </c>
    </row>
    <row r="82" spans="1:79" hidden="1" x14ac:dyDescent="0.2">
      <c r="A82" s="25" t="s">
        <v>346</v>
      </c>
      <c r="B82" s="25" t="s">
        <v>281</v>
      </c>
      <c r="C82" s="25">
        <v>2020</v>
      </c>
      <c r="D82" s="25" t="s">
        <v>183</v>
      </c>
      <c r="E82" s="25">
        <v>2.0200617923982499E+17</v>
      </c>
      <c r="F82" s="25" t="s">
        <v>450</v>
      </c>
      <c r="G82" s="25" t="s">
        <v>732</v>
      </c>
      <c r="H82" s="25">
        <v>1412555</v>
      </c>
      <c r="J82" s="25" t="s">
        <v>180</v>
      </c>
      <c r="K82" s="25" t="s">
        <v>179</v>
      </c>
      <c r="N82" s="25" t="s">
        <v>339</v>
      </c>
      <c r="O82" s="25" t="s">
        <v>28</v>
      </c>
      <c r="Q82" s="25" t="s">
        <v>28</v>
      </c>
      <c r="R82" s="25" t="s">
        <v>307</v>
      </c>
      <c r="T82" s="25" t="s">
        <v>294</v>
      </c>
      <c r="V82" s="25" t="s">
        <v>338</v>
      </c>
      <c r="X82" s="25" t="s">
        <v>337</v>
      </c>
      <c r="Y82" s="25" t="s">
        <v>172</v>
      </c>
      <c r="Z82" s="25">
        <v>92660</v>
      </c>
      <c r="AA82" s="25" t="s">
        <v>290</v>
      </c>
      <c r="AB82" s="25" t="s">
        <v>290</v>
      </c>
      <c r="AI82" s="31">
        <v>43897</v>
      </c>
      <c r="AJ82" s="25">
        <v>25</v>
      </c>
      <c r="AK82" s="25">
        <v>25</v>
      </c>
      <c r="BG82" s="25" t="s">
        <v>446</v>
      </c>
      <c r="BI82" s="25" t="s">
        <v>168</v>
      </c>
      <c r="BJ82" s="25">
        <v>2020</v>
      </c>
      <c r="BK82" s="25" t="s">
        <v>50</v>
      </c>
      <c r="BL82" s="25" t="s">
        <v>167</v>
      </c>
      <c r="BM82" s="25" t="s">
        <v>166</v>
      </c>
      <c r="BN82" s="30">
        <v>44001.110437187497</v>
      </c>
      <c r="BR82" s="25" t="s">
        <v>445</v>
      </c>
      <c r="BS82" s="25">
        <v>4.0618202017751101E+18</v>
      </c>
      <c r="BT82" s="25" t="s">
        <v>164</v>
      </c>
      <c r="BV82" s="25">
        <v>2020</v>
      </c>
      <c r="BW82" s="25" t="s">
        <v>163</v>
      </c>
      <c r="BY82" s="25">
        <v>4.0618202017752202E+18</v>
      </c>
      <c r="BZ82" s="25" t="s">
        <v>731</v>
      </c>
      <c r="CA82" s="25" t="s">
        <v>161</v>
      </c>
    </row>
    <row r="83" spans="1:79" hidden="1" x14ac:dyDescent="0.2">
      <c r="A83" s="25" t="s">
        <v>704</v>
      </c>
      <c r="B83" s="25" t="s">
        <v>279</v>
      </c>
      <c r="C83" s="25">
        <v>2020</v>
      </c>
      <c r="D83" s="25" t="s">
        <v>730</v>
      </c>
      <c r="E83" s="25">
        <v>2.02006189239948E+17</v>
      </c>
      <c r="F83" s="25" t="s">
        <v>182</v>
      </c>
      <c r="G83" s="25">
        <v>6625336</v>
      </c>
      <c r="H83" s="25">
        <v>1412978</v>
      </c>
      <c r="J83" s="25" t="s">
        <v>180</v>
      </c>
      <c r="K83" s="25" t="s">
        <v>179</v>
      </c>
      <c r="L83" s="25" t="s">
        <v>374</v>
      </c>
      <c r="N83" s="25" t="s">
        <v>516</v>
      </c>
      <c r="O83" s="25" t="s">
        <v>39</v>
      </c>
      <c r="Q83" s="25" t="s">
        <v>28</v>
      </c>
      <c r="R83" s="25" t="s">
        <v>295</v>
      </c>
      <c r="S83" s="25" t="s">
        <v>515</v>
      </c>
      <c r="T83" s="25" t="s">
        <v>294</v>
      </c>
      <c r="V83" s="25" t="s">
        <v>388</v>
      </c>
      <c r="X83" s="25" t="s">
        <v>368</v>
      </c>
      <c r="Y83" s="25" t="s">
        <v>367</v>
      </c>
      <c r="Z83" s="25">
        <v>810049787</v>
      </c>
      <c r="AA83" s="25" t="s">
        <v>620</v>
      </c>
      <c r="AB83" s="25" t="s">
        <v>365</v>
      </c>
      <c r="AC83" s="25" t="s">
        <v>374</v>
      </c>
      <c r="AD83" s="25" t="s">
        <v>345</v>
      </c>
      <c r="AE83" s="25" t="s">
        <v>344</v>
      </c>
      <c r="AI83" s="31">
        <v>43960</v>
      </c>
      <c r="AJ83" s="25">
        <v>100</v>
      </c>
      <c r="AK83" s="25">
        <v>350</v>
      </c>
      <c r="BG83" s="25" t="s">
        <v>446</v>
      </c>
      <c r="BI83" s="25" t="s">
        <v>168</v>
      </c>
      <c r="BJ83" s="25">
        <v>2020</v>
      </c>
      <c r="BK83" s="25" t="s">
        <v>50</v>
      </c>
      <c r="BL83" s="25" t="s">
        <v>167</v>
      </c>
      <c r="BM83" s="25" t="s">
        <v>166</v>
      </c>
      <c r="BN83" s="30">
        <v>44002.073975046296</v>
      </c>
      <c r="BP83" s="25" t="s">
        <v>729</v>
      </c>
      <c r="BQ83" s="25" t="s">
        <v>419</v>
      </c>
      <c r="BR83" s="25" t="s">
        <v>513</v>
      </c>
      <c r="BS83" s="25">
        <v>4.0618202017751101E+18</v>
      </c>
      <c r="BT83" s="25" t="s">
        <v>164</v>
      </c>
      <c r="BU83" s="25" t="s">
        <v>512</v>
      </c>
      <c r="BV83" s="25">
        <v>2020</v>
      </c>
      <c r="BW83" s="25" t="s">
        <v>163</v>
      </c>
      <c r="BY83" s="25">
        <v>4.0619202017760302E+18</v>
      </c>
      <c r="BZ83" s="25" t="s">
        <v>728</v>
      </c>
      <c r="CA83" s="25" t="s">
        <v>161</v>
      </c>
    </row>
    <row r="84" spans="1:79" x14ac:dyDescent="0.2">
      <c r="A84" s="25" t="s">
        <v>192</v>
      </c>
      <c r="B84" s="25" t="s">
        <v>157</v>
      </c>
      <c r="C84" s="25">
        <v>2020</v>
      </c>
      <c r="D84" s="25" t="s">
        <v>706</v>
      </c>
      <c r="E84" s="25">
        <v>2.0200619924000499E+17</v>
      </c>
      <c r="F84" s="25" t="s">
        <v>182</v>
      </c>
      <c r="G84" s="25" t="s">
        <v>727</v>
      </c>
      <c r="H84" s="25">
        <v>1413371</v>
      </c>
      <c r="J84" s="25" t="s">
        <v>180</v>
      </c>
      <c r="K84" s="25" t="s">
        <v>179</v>
      </c>
      <c r="N84" s="25" t="s">
        <v>543</v>
      </c>
      <c r="O84" s="25" t="s">
        <v>66</v>
      </c>
      <c r="P84" s="25" t="s">
        <v>177</v>
      </c>
      <c r="Q84" s="25" t="s">
        <v>34</v>
      </c>
      <c r="R84" s="25" t="s">
        <v>295</v>
      </c>
      <c r="S84" s="25" t="s">
        <v>0</v>
      </c>
      <c r="T84" s="25" t="s">
        <v>294</v>
      </c>
      <c r="V84" s="25" t="s">
        <v>542</v>
      </c>
      <c r="W84" s="25" t="s">
        <v>541</v>
      </c>
      <c r="X84" s="25" t="s">
        <v>540</v>
      </c>
      <c r="Y84" s="25" t="s">
        <v>349</v>
      </c>
      <c r="Z84" s="25">
        <v>33131</v>
      </c>
      <c r="AA84" s="25" t="s">
        <v>539</v>
      </c>
      <c r="AB84" s="25" t="s">
        <v>187</v>
      </c>
      <c r="AD84" s="25">
        <v>15</v>
      </c>
      <c r="AE84" s="25" t="s">
        <v>169</v>
      </c>
      <c r="AI84" s="31">
        <v>43952</v>
      </c>
      <c r="AJ84" s="25">
        <v>192.3</v>
      </c>
      <c r="AK84" s="25">
        <v>1730.7</v>
      </c>
      <c r="BG84" s="25" t="s">
        <v>28</v>
      </c>
      <c r="BI84" s="25" t="s">
        <v>168</v>
      </c>
      <c r="BK84" s="25" t="s">
        <v>50</v>
      </c>
      <c r="BL84" s="25" t="s">
        <v>167</v>
      </c>
      <c r="BM84" s="25" t="s">
        <v>166</v>
      </c>
      <c r="BN84" s="30">
        <v>44002.074767847225</v>
      </c>
      <c r="BR84" s="25" t="s">
        <v>165</v>
      </c>
      <c r="BS84" s="25">
        <v>4.0619202017759299E+18</v>
      </c>
      <c r="BT84" s="25" t="s">
        <v>164</v>
      </c>
      <c r="BV84" s="25">
        <v>2020</v>
      </c>
      <c r="BW84" s="25" t="s">
        <v>163</v>
      </c>
      <c r="BY84" s="25">
        <v>4.0619202017760502E+18</v>
      </c>
      <c r="BZ84" s="25" t="s">
        <v>726</v>
      </c>
      <c r="CA84" s="25" t="s">
        <v>161</v>
      </c>
    </row>
    <row r="85" spans="1:79" x14ac:dyDescent="0.2">
      <c r="A85" s="25" t="s">
        <v>192</v>
      </c>
      <c r="B85" s="25" t="s">
        <v>157</v>
      </c>
      <c r="C85" s="25">
        <v>2020</v>
      </c>
      <c r="D85" s="25" t="s">
        <v>706</v>
      </c>
      <c r="E85" s="25">
        <v>2.0200619924000499E+17</v>
      </c>
      <c r="F85" s="25" t="s">
        <v>182</v>
      </c>
      <c r="G85" s="25" t="s">
        <v>725</v>
      </c>
      <c r="H85" s="25">
        <v>1413371</v>
      </c>
      <c r="J85" s="25" t="s">
        <v>180</v>
      </c>
      <c r="K85" s="25" t="s">
        <v>179</v>
      </c>
      <c r="N85" s="25" t="s">
        <v>543</v>
      </c>
      <c r="O85" s="25" t="s">
        <v>66</v>
      </c>
      <c r="P85" s="25" t="s">
        <v>177</v>
      </c>
      <c r="Q85" s="25" t="s">
        <v>34</v>
      </c>
      <c r="R85" s="25" t="s">
        <v>295</v>
      </c>
      <c r="S85" s="25" t="s">
        <v>0</v>
      </c>
      <c r="T85" s="25" t="s">
        <v>294</v>
      </c>
      <c r="V85" s="25" t="s">
        <v>542</v>
      </c>
      <c r="W85" s="25" t="s">
        <v>541</v>
      </c>
      <c r="X85" s="25" t="s">
        <v>540</v>
      </c>
      <c r="Y85" s="25" t="s">
        <v>349</v>
      </c>
      <c r="Z85" s="25">
        <v>33131</v>
      </c>
      <c r="AA85" s="25" t="s">
        <v>539</v>
      </c>
      <c r="AB85" s="25" t="s">
        <v>187</v>
      </c>
      <c r="AD85" s="25">
        <v>15</v>
      </c>
      <c r="AE85" s="25" t="s">
        <v>169</v>
      </c>
      <c r="AI85" s="31">
        <v>43966</v>
      </c>
      <c r="AJ85" s="25">
        <v>192.3</v>
      </c>
      <c r="AK85" s="25">
        <v>1923</v>
      </c>
      <c r="BG85" s="25" t="s">
        <v>28</v>
      </c>
      <c r="BI85" s="25" t="s">
        <v>168</v>
      </c>
      <c r="BK85" s="25" t="s">
        <v>50</v>
      </c>
      <c r="BL85" s="25" t="s">
        <v>167</v>
      </c>
      <c r="BM85" s="25" t="s">
        <v>166</v>
      </c>
      <c r="BN85" s="30">
        <v>44002.074767847225</v>
      </c>
      <c r="BR85" s="25" t="s">
        <v>165</v>
      </c>
      <c r="BS85" s="25">
        <v>4.0619202017759299E+18</v>
      </c>
      <c r="BT85" s="25" t="s">
        <v>164</v>
      </c>
      <c r="BV85" s="25">
        <v>2020</v>
      </c>
      <c r="BW85" s="25" t="s">
        <v>163</v>
      </c>
      <c r="BY85" s="25">
        <v>4.0619202017760502E+18</v>
      </c>
      <c r="BZ85" s="25" t="s">
        <v>723</v>
      </c>
      <c r="CA85" s="25" t="s">
        <v>161</v>
      </c>
    </row>
    <row r="86" spans="1:79" x14ac:dyDescent="0.2">
      <c r="A86" s="25" t="s">
        <v>192</v>
      </c>
      <c r="B86" s="25" t="s">
        <v>157</v>
      </c>
      <c r="C86" s="25">
        <v>2020</v>
      </c>
      <c r="D86" s="25" t="s">
        <v>706</v>
      </c>
      <c r="E86" s="25">
        <v>2.0200619924000499E+17</v>
      </c>
      <c r="F86" s="25" t="s">
        <v>182</v>
      </c>
      <c r="G86" s="25" t="s">
        <v>724</v>
      </c>
      <c r="H86" s="25">
        <v>1413371</v>
      </c>
      <c r="J86" s="25" t="s">
        <v>180</v>
      </c>
      <c r="K86" s="25" t="s">
        <v>179</v>
      </c>
      <c r="N86" s="25" t="s">
        <v>543</v>
      </c>
      <c r="O86" s="25" t="s">
        <v>66</v>
      </c>
      <c r="P86" s="25" t="s">
        <v>177</v>
      </c>
      <c r="Q86" s="25" t="s">
        <v>34</v>
      </c>
      <c r="R86" s="25" t="s">
        <v>295</v>
      </c>
      <c r="S86" s="25" t="s">
        <v>0</v>
      </c>
      <c r="T86" s="25" t="s">
        <v>294</v>
      </c>
      <c r="V86" s="25" t="s">
        <v>542</v>
      </c>
      <c r="W86" s="25" t="s">
        <v>541</v>
      </c>
      <c r="X86" s="25" t="s">
        <v>540</v>
      </c>
      <c r="Y86" s="25" t="s">
        <v>349</v>
      </c>
      <c r="Z86" s="25">
        <v>33131</v>
      </c>
      <c r="AA86" s="25" t="s">
        <v>539</v>
      </c>
      <c r="AB86" s="25" t="s">
        <v>187</v>
      </c>
      <c r="AD86" s="25">
        <v>15</v>
      </c>
      <c r="AE86" s="25" t="s">
        <v>169</v>
      </c>
      <c r="AI86" s="31">
        <v>43980</v>
      </c>
      <c r="AJ86" s="25">
        <v>192.3</v>
      </c>
      <c r="AK86" s="25">
        <v>2115.3000000000002</v>
      </c>
      <c r="BG86" s="25" t="s">
        <v>28</v>
      </c>
      <c r="BI86" s="25" t="s">
        <v>168</v>
      </c>
      <c r="BK86" s="25" t="s">
        <v>50</v>
      </c>
      <c r="BL86" s="25" t="s">
        <v>167</v>
      </c>
      <c r="BM86" s="25" t="s">
        <v>166</v>
      </c>
      <c r="BN86" s="30">
        <v>44002.074767847225</v>
      </c>
      <c r="BR86" s="25" t="s">
        <v>165</v>
      </c>
      <c r="BS86" s="25">
        <v>4.0619202017759299E+18</v>
      </c>
      <c r="BT86" s="25" t="s">
        <v>164</v>
      </c>
      <c r="BV86" s="25">
        <v>2020</v>
      </c>
      <c r="BW86" s="25" t="s">
        <v>163</v>
      </c>
      <c r="BY86" s="25">
        <v>4.0619202017760502E+18</v>
      </c>
      <c r="BZ86" s="25" t="s">
        <v>723</v>
      </c>
      <c r="CA86" s="25" t="s">
        <v>161</v>
      </c>
    </row>
    <row r="87" spans="1:79" hidden="1" x14ac:dyDescent="0.2">
      <c r="A87" s="25" t="s">
        <v>346</v>
      </c>
      <c r="B87" s="25" t="s">
        <v>281</v>
      </c>
      <c r="C87" s="25">
        <v>2020</v>
      </c>
      <c r="D87" s="25" t="s">
        <v>706</v>
      </c>
      <c r="E87" s="25">
        <v>2.0200824926694202E+17</v>
      </c>
      <c r="F87" s="25">
        <v>18</v>
      </c>
      <c r="G87" s="25" t="s">
        <v>722</v>
      </c>
      <c r="H87" s="25">
        <v>1435104</v>
      </c>
      <c r="J87" s="25" t="s">
        <v>180</v>
      </c>
      <c r="K87" s="25" t="s">
        <v>179</v>
      </c>
      <c r="N87" s="25" t="s">
        <v>339</v>
      </c>
      <c r="O87" s="25" t="s">
        <v>28</v>
      </c>
      <c r="Q87" s="25" t="s">
        <v>28</v>
      </c>
      <c r="R87" s="25" t="s">
        <v>307</v>
      </c>
      <c r="T87" s="25" t="s">
        <v>294</v>
      </c>
      <c r="V87" s="25" t="s">
        <v>359</v>
      </c>
      <c r="X87" s="25" t="s">
        <v>358</v>
      </c>
      <c r="Y87" s="25" t="s">
        <v>172</v>
      </c>
      <c r="Z87" s="25">
        <v>93619</v>
      </c>
      <c r="AA87" s="25" t="s">
        <v>411</v>
      </c>
      <c r="AB87" s="25" t="s">
        <v>410</v>
      </c>
      <c r="AF87" s="25" t="s">
        <v>721</v>
      </c>
      <c r="AG87" s="25" t="s">
        <v>533</v>
      </c>
      <c r="AI87" s="31">
        <v>43923</v>
      </c>
      <c r="AJ87" s="25">
        <v>75</v>
      </c>
      <c r="AK87" s="25">
        <v>75</v>
      </c>
      <c r="BG87" s="25" t="s">
        <v>446</v>
      </c>
      <c r="BI87" s="25" t="s">
        <v>168</v>
      </c>
      <c r="BJ87" s="25">
        <v>2020</v>
      </c>
      <c r="BK87" s="25" t="s">
        <v>50</v>
      </c>
      <c r="BL87" s="25" t="s">
        <v>167</v>
      </c>
      <c r="BM87" s="25" t="s">
        <v>166</v>
      </c>
      <c r="BN87" s="30">
        <v>44075.19460826389</v>
      </c>
      <c r="BR87" s="25" t="s">
        <v>445</v>
      </c>
      <c r="BS87" s="25">
        <v>4.0826202018297498E+18</v>
      </c>
      <c r="BT87" s="25" t="s">
        <v>164</v>
      </c>
      <c r="BV87" s="25">
        <v>2020</v>
      </c>
      <c r="BW87" s="25" t="s">
        <v>163</v>
      </c>
      <c r="BY87" s="25">
        <v>4.0901202018333599E+18</v>
      </c>
      <c r="BZ87" s="25" t="s">
        <v>720</v>
      </c>
      <c r="CA87" s="25" t="s">
        <v>531</v>
      </c>
    </row>
    <row r="88" spans="1:79" x14ac:dyDescent="0.2">
      <c r="A88" s="25" t="s">
        <v>192</v>
      </c>
      <c r="B88" s="25" t="s">
        <v>157</v>
      </c>
      <c r="C88" s="25">
        <v>2020</v>
      </c>
      <c r="D88" s="25" t="s">
        <v>451</v>
      </c>
      <c r="E88" s="25">
        <v>2.0200819926140899E+17</v>
      </c>
      <c r="F88" s="25" t="s">
        <v>182</v>
      </c>
      <c r="G88" s="25" t="s">
        <v>719</v>
      </c>
      <c r="H88" s="25">
        <v>1433452</v>
      </c>
      <c r="J88" s="25" t="s">
        <v>180</v>
      </c>
      <c r="K88" s="25" t="s">
        <v>179</v>
      </c>
      <c r="N88" s="25" t="s">
        <v>543</v>
      </c>
      <c r="O88" s="25" t="s">
        <v>66</v>
      </c>
      <c r="P88" s="25" t="s">
        <v>177</v>
      </c>
      <c r="Q88" s="25" t="s">
        <v>34</v>
      </c>
      <c r="R88" s="25" t="s">
        <v>295</v>
      </c>
      <c r="S88" s="25" t="s">
        <v>0</v>
      </c>
      <c r="T88" s="25" t="s">
        <v>294</v>
      </c>
      <c r="V88" s="25" t="s">
        <v>542</v>
      </c>
      <c r="W88" s="25" t="s">
        <v>541</v>
      </c>
      <c r="X88" s="25" t="s">
        <v>540</v>
      </c>
      <c r="Y88" s="25" t="s">
        <v>349</v>
      </c>
      <c r="Z88" s="25">
        <v>33131</v>
      </c>
      <c r="AA88" s="25" t="s">
        <v>539</v>
      </c>
      <c r="AB88" s="25" t="s">
        <v>187</v>
      </c>
      <c r="AD88" s="25">
        <v>15</v>
      </c>
      <c r="AE88" s="25" t="s">
        <v>169</v>
      </c>
      <c r="AI88" s="31">
        <v>44022</v>
      </c>
      <c r="AJ88" s="25">
        <v>192.3</v>
      </c>
      <c r="AK88" s="25">
        <v>2692.2</v>
      </c>
      <c r="BG88" s="25" t="s">
        <v>28</v>
      </c>
      <c r="BI88" s="25" t="s">
        <v>168</v>
      </c>
      <c r="BK88" s="25" t="s">
        <v>50</v>
      </c>
      <c r="BL88" s="25" t="s">
        <v>167</v>
      </c>
      <c r="BM88" s="25" t="s">
        <v>166</v>
      </c>
      <c r="BN88" s="30">
        <v>44077.151279490739</v>
      </c>
      <c r="BR88" s="25" t="s">
        <v>165</v>
      </c>
      <c r="BS88" s="25">
        <v>4.0820202018293499E+18</v>
      </c>
      <c r="BT88" s="25" t="s">
        <v>164</v>
      </c>
      <c r="BV88" s="25">
        <v>2020</v>
      </c>
      <c r="BW88" s="25" t="s">
        <v>163</v>
      </c>
      <c r="BY88" s="25">
        <v>4.0903202018344202E+18</v>
      </c>
      <c r="BZ88" s="25" t="s">
        <v>717</v>
      </c>
      <c r="CA88" s="25" t="s">
        <v>161</v>
      </c>
    </row>
    <row r="89" spans="1:79" x14ac:dyDescent="0.2">
      <c r="A89" s="25" t="s">
        <v>192</v>
      </c>
      <c r="B89" s="25" t="s">
        <v>157</v>
      </c>
      <c r="C89" s="25">
        <v>2020</v>
      </c>
      <c r="D89" s="25" t="s">
        <v>451</v>
      </c>
      <c r="E89" s="25">
        <v>2.0200819926140899E+17</v>
      </c>
      <c r="F89" s="25" t="s">
        <v>182</v>
      </c>
      <c r="G89" s="25" t="s">
        <v>718</v>
      </c>
      <c r="H89" s="25">
        <v>1433452</v>
      </c>
      <c r="J89" s="25" t="s">
        <v>180</v>
      </c>
      <c r="K89" s="25" t="s">
        <v>179</v>
      </c>
      <c r="N89" s="25" t="s">
        <v>543</v>
      </c>
      <c r="O89" s="25" t="s">
        <v>66</v>
      </c>
      <c r="P89" s="25" t="s">
        <v>177</v>
      </c>
      <c r="Q89" s="25" t="s">
        <v>34</v>
      </c>
      <c r="R89" s="25" t="s">
        <v>295</v>
      </c>
      <c r="S89" s="25" t="s">
        <v>0</v>
      </c>
      <c r="T89" s="25" t="s">
        <v>294</v>
      </c>
      <c r="V89" s="25" t="s">
        <v>542</v>
      </c>
      <c r="W89" s="25" t="s">
        <v>541</v>
      </c>
      <c r="X89" s="25" t="s">
        <v>540</v>
      </c>
      <c r="Y89" s="25" t="s">
        <v>349</v>
      </c>
      <c r="Z89" s="25">
        <v>33131</v>
      </c>
      <c r="AA89" s="25" t="s">
        <v>539</v>
      </c>
      <c r="AB89" s="25" t="s">
        <v>187</v>
      </c>
      <c r="AD89" s="25">
        <v>15</v>
      </c>
      <c r="AE89" s="25" t="s">
        <v>169</v>
      </c>
      <c r="AI89" s="31">
        <v>44036</v>
      </c>
      <c r="AJ89" s="25">
        <v>192.3</v>
      </c>
      <c r="AK89" s="25">
        <v>2884.5</v>
      </c>
      <c r="BG89" s="25" t="s">
        <v>28</v>
      </c>
      <c r="BI89" s="25" t="s">
        <v>168</v>
      </c>
      <c r="BK89" s="25" t="s">
        <v>50</v>
      </c>
      <c r="BL89" s="25" t="s">
        <v>167</v>
      </c>
      <c r="BM89" s="25" t="s">
        <v>166</v>
      </c>
      <c r="BN89" s="30">
        <v>44077.151279490739</v>
      </c>
      <c r="BR89" s="25" t="s">
        <v>165</v>
      </c>
      <c r="BS89" s="25">
        <v>4.0820202018293499E+18</v>
      </c>
      <c r="BT89" s="25" t="s">
        <v>164</v>
      </c>
      <c r="BV89" s="25">
        <v>2020</v>
      </c>
      <c r="BW89" s="25" t="s">
        <v>163</v>
      </c>
      <c r="BY89" s="25">
        <v>4.0903202018344202E+18</v>
      </c>
      <c r="BZ89" s="25" t="s">
        <v>717</v>
      </c>
      <c r="CA89" s="25" t="s">
        <v>161</v>
      </c>
    </row>
    <row r="90" spans="1:79" hidden="1" x14ac:dyDescent="0.2">
      <c r="A90" s="25" t="s">
        <v>374</v>
      </c>
      <c r="B90" s="25" t="s">
        <v>287</v>
      </c>
      <c r="C90" s="25">
        <v>2020</v>
      </c>
      <c r="D90" s="25" t="s">
        <v>706</v>
      </c>
      <c r="E90" s="25">
        <v>2.0200620924076E+17</v>
      </c>
      <c r="F90" s="25" t="s">
        <v>182</v>
      </c>
      <c r="G90" s="25" t="s">
        <v>716</v>
      </c>
      <c r="H90" s="25">
        <v>1413483</v>
      </c>
      <c r="J90" s="25" t="s">
        <v>180</v>
      </c>
      <c r="K90" s="25" t="s">
        <v>179</v>
      </c>
      <c r="L90" s="25" t="s">
        <v>580</v>
      </c>
      <c r="N90" s="25" t="s">
        <v>371</v>
      </c>
      <c r="O90" s="25" t="s">
        <v>297</v>
      </c>
      <c r="Q90" s="25" t="s">
        <v>296</v>
      </c>
      <c r="R90" s="25" t="s">
        <v>370</v>
      </c>
      <c r="T90" s="25" t="s">
        <v>294</v>
      </c>
      <c r="V90" s="25" t="s">
        <v>369</v>
      </c>
      <c r="X90" s="25" t="s">
        <v>368</v>
      </c>
      <c r="Y90" s="25" t="s">
        <v>367</v>
      </c>
      <c r="Z90" s="25">
        <v>81004</v>
      </c>
      <c r="AA90" s="25" t="s">
        <v>366</v>
      </c>
      <c r="AB90" s="25" t="s">
        <v>365</v>
      </c>
      <c r="AC90" s="25" t="s">
        <v>580</v>
      </c>
      <c r="AD90" s="25" t="s">
        <v>383</v>
      </c>
      <c r="AE90" s="25" t="s">
        <v>382</v>
      </c>
      <c r="AF90" s="25" t="s">
        <v>377</v>
      </c>
      <c r="AI90" s="31">
        <v>43979</v>
      </c>
      <c r="AJ90" s="25">
        <v>100</v>
      </c>
      <c r="AK90" s="25">
        <v>550</v>
      </c>
      <c r="AL90" s="25" t="s">
        <v>625</v>
      </c>
      <c r="BG90" s="25" t="s">
        <v>28</v>
      </c>
      <c r="BI90" s="25" t="s">
        <v>168</v>
      </c>
      <c r="BK90" s="25" t="s">
        <v>50</v>
      </c>
      <c r="BL90" s="25" t="s">
        <v>167</v>
      </c>
      <c r="BM90" s="25" t="s">
        <v>166</v>
      </c>
      <c r="BN90" s="30">
        <v>44022.279039594905</v>
      </c>
      <c r="BR90" s="25" t="s">
        <v>165</v>
      </c>
      <c r="BS90" s="25">
        <v>4.0621202017761597E+18</v>
      </c>
      <c r="BT90" s="25" t="s">
        <v>164</v>
      </c>
      <c r="BU90" s="25" t="s">
        <v>386</v>
      </c>
      <c r="BV90" s="25">
        <v>2020</v>
      </c>
      <c r="BW90" s="25" t="s">
        <v>163</v>
      </c>
      <c r="BY90" s="25">
        <v>4.07092020178302E+18</v>
      </c>
      <c r="BZ90" s="25" t="s">
        <v>707</v>
      </c>
      <c r="CA90" s="25" t="s">
        <v>161</v>
      </c>
    </row>
    <row r="91" spans="1:79" hidden="1" x14ac:dyDescent="0.2">
      <c r="A91" s="25" t="s">
        <v>374</v>
      </c>
      <c r="B91" s="25" t="s">
        <v>287</v>
      </c>
      <c r="C91" s="25">
        <v>2020</v>
      </c>
      <c r="D91" s="25" t="s">
        <v>706</v>
      </c>
      <c r="E91" s="25">
        <v>2.0200620924076E+17</v>
      </c>
      <c r="F91" s="25" t="s">
        <v>182</v>
      </c>
      <c r="G91" s="25" t="s">
        <v>715</v>
      </c>
      <c r="H91" s="25">
        <v>1413483</v>
      </c>
      <c r="J91" s="25" t="s">
        <v>180</v>
      </c>
      <c r="K91" s="25" t="s">
        <v>179</v>
      </c>
      <c r="N91" s="25" t="s">
        <v>397</v>
      </c>
      <c r="O91" s="25" t="s">
        <v>297</v>
      </c>
      <c r="Q91" s="25" t="s">
        <v>296</v>
      </c>
      <c r="R91" s="25" t="s">
        <v>396</v>
      </c>
      <c r="T91" s="25" t="s">
        <v>294</v>
      </c>
      <c r="V91" s="25" t="s">
        <v>395</v>
      </c>
      <c r="X91" s="25" t="s">
        <v>394</v>
      </c>
      <c r="Y91" s="25" t="s">
        <v>31</v>
      </c>
      <c r="Z91" s="25">
        <v>98346</v>
      </c>
      <c r="AA91" s="25" t="s">
        <v>393</v>
      </c>
      <c r="AB91" s="25" t="s">
        <v>393</v>
      </c>
      <c r="AF91" s="25" t="s">
        <v>377</v>
      </c>
      <c r="AI91" s="31">
        <v>43971</v>
      </c>
      <c r="AJ91" s="25">
        <v>12.26</v>
      </c>
      <c r="AK91" s="25">
        <v>54.52</v>
      </c>
      <c r="BK91" s="25" t="s">
        <v>50</v>
      </c>
      <c r="BL91" s="25" t="s">
        <v>167</v>
      </c>
      <c r="BM91" s="25" t="s">
        <v>166</v>
      </c>
      <c r="BN91" s="30">
        <v>44022.279039618057</v>
      </c>
      <c r="BR91" s="25" t="s">
        <v>165</v>
      </c>
      <c r="BS91" s="25">
        <v>4.0621202017761597E+18</v>
      </c>
      <c r="BT91" s="25" t="s">
        <v>164</v>
      </c>
      <c r="BU91" s="25" t="s">
        <v>392</v>
      </c>
      <c r="BV91" s="25">
        <v>2020</v>
      </c>
      <c r="BW91" s="25" t="s">
        <v>163</v>
      </c>
      <c r="BY91" s="25">
        <v>4.07092020178302E+18</v>
      </c>
      <c r="BZ91" s="25" t="s">
        <v>714</v>
      </c>
      <c r="CA91" s="25" t="s">
        <v>161</v>
      </c>
    </row>
    <row r="92" spans="1:79" hidden="1" x14ac:dyDescent="0.2">
      <c r="A92" s="25" t="s">
        <v>374</v>
      </c>
      <c r="B92" s="25" t="s">
        <v>287</v>
      </c>
      <c r="C92" s="25">
        <v>2020</v>
      </c>
      <c r="D92" s="25" t="s">
        <v>706</v>
      </c>
      <c r="E92" s="25">
        <v>2.0200620924076E+17</v>
      </c>
      <c r="F92" s="25" t="s">
        <v>182</v>
      </c>
      <c r="G92" s="25" t="s">
        <v>713</v>
      </c>
      <c r="H92" s="25">
        <v>1413483</v>
      </c>
      <c r="J92" s="25" t="s">
        <v>180</v>
      </c>
      <c r="K92" s="25" t="s">
        <v>179</v>
      </c>
      <c r="N92" s="25" t="s">
        <v>371</v>
      </c>
      <c r="O92" s="25" t="s">
        <v>297</v>
      </c>
      <c r="Q92" s="25" t="s">
        <v>296</v>
      </c>
      <c r="R92" s="25" t="s">
        <v>370</v>
      </c>
      <c r="T92" s="25" t="s">
        <v>294</v>
      </c>
      <c r="V92" s="25" t="s">
        <v>369</v>
      </c>
      <c r="X92" s="25" t="s">
        <v>368</v>
      </c>
      <c r="Y92" s="25" t="s">
        <v>367</v>
      </c>
      <c r="Z92" s="25">
        <v>81004</v>
      </c>
      <c r="AA92" s="25" t="s">
        <v>366</v>
      </c>
      <c r="AB92" s="25" t="s">
        <v>365</v>
      </c>
      <c r="AF92" s="25" t="s">
        <v>364</v>
      </c>
      <c r="AI92" s="31">
        <v>43960</v>
      </c>
      <c r="AJ92" s="25">
        <v>5</v>
      </c>
      <c r="AK92" s="25">
        <v>27</v>
      </c>
      <c r="BK92" s="25" t="s">
        <v>50</v>
      </c>
      <c r="BL92" s="25" t="s">
        <v>167</v>
      </c>
      <c r="BM92" s="25" t="s">
        <v>166</v>
      </c>
      <c r="BN92" s="30">
        <v>44022.279834016204</v>
      </c>
      <c r="BR92" s="25" t="s">
        <v>165</v>
      </c>
      <c r="BS92" s="25">
        <v>4.0621202017761597E+18</v>
      </c>
      <c r="BT92" s="25" t="s">
        <v>164</v>
      </c>
      <c r="BU92" s="25" t="s">
        <v>362</v>
      </c>
      <c r="BV92" s="25">
        <v>2020</v>
      </c>
      <c r="BW92" s="25" t="s">
        <v>163</v>
      </c>
      <c r="BY92" s="25">
        <v>4.07092020178302E+18</v>
      </c>
      <c r="BZ92" s="25" t="s">
        <v>701</v>
      </c>
      <c r="CA92" s="25" t="s">
        <v>161</v>
      </c>
    </row>
    <row r="93" spans="1:79" hidden="1" x14ac:dyDescent="0.2">
      <c r="A93" s="25" t="s">
        <v>374</v>
      </c>
      <c r="B93" s="25" t="s">
        <v>287</v>
      </c>
      <c r="C93" s="25">
        <v>2020</v>
      </c>
      <c r="D93" s="25" t="s">
        <v>706</v>
      </c>
      <c r="E93" s="25">
        <v>2.0200620924076E+17</v>
      </c>
      <c r="F93" s="25" t="s">
        <v>182</v>
      </c>
      <c r="G93" s="25" t="s">
        <v>712</v>
      </c>
      <c r="H93" s="25">
        <v>1413483</v>
      </c>
      <c r="J93" s="25" t="s">
        <v>180</v>
      </c>
      <c r="K93" s="25" t="s">
        <v>179</v>
      </c>
      <c r="N93" s="25" t="s">
        <v>371</v>
      </c>
      <c r="O93" s="25" t="s">
        <v>297</v>
      </c>
      <c r="Q93" s="25" t="s">
        <v>296</v>
      </c>
      <c r="R93" s="25" t="s">
        <v>370</v>
      </c>
      <c r="T93" s="25" t="s">
        <v>294</v>
      </c>
      <c r="V93" s="25" t="s">
        <v>369</v>
      </c>
      <c r="X93" s="25" t="s">
        <v>368</v>
      </c>
      <c r="Y93" s="25" t="s">
        <v>367</v>
      </c>
      <c r="Z93" s="25">
        <v>81004</v>
      </c>
      <c r="AA93" s="25" t="s">
        <v>366</v>
      </c>
      <c r="AB93" s="25" t="s">
        <v>365</v>
      </c>
      <c r="AF93" s="25" t="s">
        <v>364</v>
      </c>
      <c r="AI93" s="31">
        <v>43969</v>
      </c>
      <c r="AJ93" s="25">
        <v>5</v>
      </c>
      <c r="AK93" s="25">
        <v>27</v>
      </c>
      <c r="BK93" s="25" t="s">
        <v>50</v>
      </c>
      <c r="BL93" s="25" t="s">
        <v>167</v>
      </c>
      <c r="BM93" s="25" t="s">
        <v>166</v>
      </c>
      <c r="BN93" s="30">
        <v>44022.279834016204</v>
      </c>
      <c r="BR93" s="25" t="s">
        <v>165</v>
      </c>
      <c r="BS93" s="25">
        <v>4.0621202017761597E+18</v>
      </c>
      <c r="BT93" s="25" t="s">
        <v>164</v>
      </c>
      <c r="BU93" s="25" t="s">
        <v>362</v>
      </c>
      <c r="BV93" s="25">
        <v>2020</v>
      </c>
      <c r="BW93" s="25" t="s">
        <v>163</v>
      </c>
      <c r="BY93" s="25">
        <v>4.07092020178302E+18</v>
      </c>
      <c r="BZ93" s="25" t="s">
        <v>709</v>
      </c>
      <c r="CA93" s="25" t="s">
        <v>161</v>
      </c>
    </row>
    <row r="94" spans="1:79" hidden="1" x14ac:dyDescent="0.2">
      <c r="A94" s="25" t="s">
        <v>374</v>
      </c>
      <c r="B94" s="25" t="s">
        <v>287</v>
      </c>
      <c r="C94" s="25">
        <v>2020</v>
      </c>
      <c r="D94" s="25" t="s">
        <v>706</v>
      </c>
      <c r="E94" s="25">
        <v>2.0200620924076E+17</v>
      </c>
      <c r="F94" s="25" t="s">
        <v>182</v>
      </c>
      <c r="G94" s="25" t="s">
        <v>711</v>
      </c>
      <c r="H94" s="25">
        <v>1413483</v>
      </c>
      <c r="J94" s="25" t="s">
        <v>180</v>
      </c>
      <c r="K94" s="25" t="s">
        <v>179</v>
      </c>
      <c r="L94" s="25" t="s">
        <v>580</v>
      </c>
      <c r="N94" s="25" t="s">
        <v>371</v>
      </c>
      <c r="O94" s="25" t="s">
        <v>297</v>
      </c>
      <c r="Q94" s="25" t="s">
        <v>296</v>
      </c>
      <c r="R94" s="25" t="s">
        <v>370</v>
      </c>
      <c r="T94" s="25" t="s">
        <v>294</v>
      </c>
      <c r="V94" s="25" t="s">
        <v>369</v>
      </c>
      <c r="X94" s="25" t="s">
        <v>368</v>
      </c>
      <c r="Y94" s="25" t="s">
        <v>367</v>
      </c>
      <c r="Z94" s="25">
        <v>81004</v>
      </c>
      <c r="AA94" s="25" t="s">
        <v>366</v>
      </c>
      <c r="AB94" s="25" t="s">
        <v>365</v>
      </c>
      <c r="AC94" s="25" t="s">
        <v>580</v>
      </c>
      <c r="AD94" s="25" t="s">
        <v>383</v>
      </c>
      <c r="AE94" s="25" t="s">
        <v>382</v>
      </c>
      <c r="AF94" s="25" t="s">
        <v>377</v>
      </c>
      <c r="AI94" s="31">
        <v>43982</v>
      </c>
      <c r="AJ94" s="25">
        <v>50</v>
      </c>
      <c r="AK94" s="25">
        <v>550</v>
      </c>
      <c r="AL94" s="25" t="s">
        <v>625</v>
      </c>
      <c r="BG94" s="25" t="s">
        <v>28</v>
      </c>
      <c r="BI94" s="25" t="s">
        <v>168</v>
      </c>
      <c r="BK94" s="25" t="s">
        <v>50</v>
      </c>
      <c r="BL94" s="25" t="s">
        <v>167</v>
      </c>
      <c r="BM94" s="25" t="s">
        <v>166</v>
      </c>
      <c r="BN94" s="30">
        <v>44022.294663761575</v>
      </c>
      <c r="BR94" s="25" t="s">
        <v>165</v>
      </c>
      <c r="BS94" s="25">
        <v>4.0621202017761597E+18</v>
      </c>
      <c r="BT94" s="25" t="s">
        <v>164</v>
      </c>
      <c r="BU94" s="25" t="s">
        <v>386</v>
      </c>
      <c r="BV94" s="25">
        <v>2020</v>
      </c>
      <c r="BW94" s="25" t="s">
        <v>163</v>
      </c>
      <c r="BY94" s="25">
        <v>4.07092020178302E+18</v>
      </c>
      <c r="BZ94" s="25" t="s">
        <v>707</v>
      </c>
      <c r="CA94" s="25" t="s">
        <v>161</v>
      </c>
    </row>
    <row r="95" spans="1:79" hidden="1" x14ac:dyDescent="0.2">
      <c r="A95" s="25" t="s">
        <v>374</v>
      </c>
      <c r="B95" s="25" t="s">
        <v>287</v>
      </c>
      <c r="C95" s="25">
        <v>2020</v>
      </c>
      <c r="D95" s="25" t="s">
        <v>706</v>
      </c>
      <c r="E95" s="25">
        <v>2.0200620924076E+17</v>
      </c>
      <c r="F95" s="25" t="s">
        <v>182</v>
      </c>
      <c r="G95" s="25" t="s">
        <v>710</v>
      </c>
      <c r="H95" s="25">
        <v>1413483</v>
      </c>
      <c r="J95" s="25" t="s">
        <v>180</v>
      </c>
      <c r="K95" s="25" t="s">
        <v>179</v>
      </c>
      <c r="N95" s="25" t="s">
        <v>371</v>
      </c>
      <c r="O95" s="25" t="s">
        <v>297</v>
      </c>
      <c r="Q95" s="25" t="s">
        <v>296</v>
      </c>
      <c r="R95" s="25" t="s">
        <v>370</v>
      </c>
      <c r="T95" s="25" t="s">
        <v>294</v>
      </c>
      <c r="V95" s="25" t="s">
        <v>369</v>
      </c>
      <c r="X95" s="25" t="s">
        <v>368</v>
      </c>
      <c r="Y95" s="25" t="s">
        <v>367</v>
      </c>
      <c r="Z95" s="25">
        <v>81004</v>
      </c>
      <c r="AA95" s="25" t="s">
        <v>366</v>
      </c>
      <c r="AB95" s="25" t="s">
        <v>365</v>
      </c>
      <c r="AF95" s="25" t="s">
        <v>364</v>
      </c>
      <c r="AI95" s="31">
        <v>43979</v>
      </c>
      <c r="AJ95" s="25">
        <v>2</v>
      </c>
      <c r="AK95" s="25">
        <v>27</v>
      </c>
      <c r="BK95" s="25" t="s">
        <v>50</v>
      </c>
      <c r="BL95" s="25" t="s">
        <v>167</v>
      </c>
      <c r="BM95" s="25" t="s">
        <v>166</v>
      </c>
      <c r="BN95" s="30">
        <v>44022.325217557867</v>
      </c>
      <c r="BR95" s="25" t="s">
        <v>165</v>
      </c>
      <c r="BS95" s="25">
        <v>4.0621202017761597E+18</v>
      </c>
      <c r="BT95" s="25" t="s">
        <v>164</v>
      </c>
      <c r="BU95" s="25" t="s">
        <v>362</v>
      </c>
      <c r="BV95" s="25">
        <v>2020</v>
      </c>
      <c r="BW95" s="25" t="s">
        <v>163</v>
      </c>
      <c r="BY95" s="25">
        <v>4.07092020178302E+18</v>
      </c>
      <c r="BZ95" s="25" t="s">
        <v>709</v>
      </c>
      <c r="CA95" s="25" t="s">
        <v>161</v>
      </c>
    </row>
    <row r="96" spans="1:79" hidden="1" x14ac:dyDescent="0.2">
      <c r="A96" s="25" t="s">
        <v>374</v>
      </c>
      <c r="B96" s="25" t="s">
        <v>287</v>
      </c>
      <c r="C96" s="25">
        <v>2020</v>
      </c>
      <c r="D96" s="25" t="s">
        <v>706</v>
      </c>
      <c r="E96" s="25">
        <v>2.0200620924076E+17</v>
      </c>
      <c r="F96" s="25" t="s">
        <v>182</v>
      </c>
      <c r="G96" s="25" t="s">
        <v>708</v>
      </c>
      <c r="H96" s="25">
        <v>1413483</v>
      </c>
      <c r="J96" s="25" t="s">
        <v>180</v>
      </c>
      <c r="K96" s="25" t="s">
        <v>179</v>
      </c>
      <c r="N96" s="25" t="s">
        <v>371</v>
      </c>
      <c r="O96" s="25" t="s">
        <v>297</v>
      </c>
      <c r="Q96" s="25" t="s">
        <v>296</v>
      </c>
      <c r="R96" s="25" t="s">
        <v>370</v>
      </c>
      <c r="T96" s="25" t="s">
        <v>294</v>
      </c>
      <c r="V96" s="25" t="s">
        <v>369</v>
      </c>
      <c r="X96" s="25" t="s">
        <v>368</v>
      </c>
      <c r="Y96" s="25" t="s">
        <v>367</v>
      </c>
      <c r="Z96" s="25">
        <v>81004</v>
      </c>
      <c r="AA96" s="25" t="s">
        <v>366</v>
      </c>
      <c r="AB96" s="25" t="s">
        <v>365</v>
      </c>
      <c r="AF96" s="25" t="s">
        <v>364</v>
      </c>
      <c r="AI96" s="31">
        <v>43982</v>
      </c>
      <c r="AJ96" s="25">
        <v>5</v>
      </c>
      <c r="AK96" s="25">
        <v>27</v>
      </c>
      <c r="BK96" s="25" t="s">
        <v>50</v>
      </c>
      <c r="BL96" s="25" t="s">
        <v>167</v>
      </c>
      <c r="BM96" s="25" t="s">
        <v>166</v>
      </c>
      <c r="BN96" s="30">
        <v>44022.325217557867</v>
      </c>
      <c r="BR96" s="25" t="s">
        <v>165</v>
      </c>
      <c r="BS96" s="25">
        <v>4.0621202017761597E+18</v>
      </c>
      <c r="BT96" s="25" t="s">
        <v>164</v>
      </c>
      <c r="BU96" s="25" t="s">
        <v>362</v>
      </c>
      <c r="BV96" s="25">
        <v>2020</v>
      </c>
      <c r="BW96" s="25" t="s">
        <v>163</v>
      </c>
      <c r="BY96" s="25">
        <v>4.07092020178302E+18</v>
      </c>
      <c r="BZ96" s="25" t="s">
        <v>707</v>
      </c>
      <c r="CA96" s="25" t="s">
        <v>161</v>
      </c>
    </row>
    <row r="97" spans="1:79" hidden="1" x14ac:dyDescent="0.2">
      <c r="A97" s="25" t="s">
        <v>374</v>
      </c>
      <c r="B97" s="25" t="s">
        <v>287</v>
      </c>
      <c r="C97" s="25">
        <v>2020</v>
      </c>
      <c r="D97" s="25" t="s">
        <v>706</v>
      </c>
      <c r="E97" s="25">
        <v>2.0200620924076E+17</v>
      </c>
      <c r="F97" s="25" t="s">
        <v>182</v>
      </c>
      <c r="G97" s="25" t="s">
        <v>705</v>
      </c>
      <c r="H97" s="25">
        <v>1413483</v>
      </c>
      <c r="J97" s="25" t="s">
        <v>180</v>
      </c>
      <c r="K97" s="25" t="s">
        <v>179</v>
      </c>
      <c r="L97" s="25" t="s">
        <v>704</v>
      </c>
      <c r="N97" s="25" t="s">
        <v>371</v>
      </c>
      <c r="O97" s="25" t="s">
        <v>297</v>
      </c>
      <c r="Q97" s="25" t="s">
        <v>296</v>
      </c>
      <c r="R97" s="25" t="s">
        <v>370</v>
      </c>
      <c r="T97" s="25" t="s">
        <v>294</v>
      </c>
      <c r="V97" s="25" t="s">
        <v>369</v>
      </c>
      <c r="X97" s="25" t="s">
        <v>368</v>
      </c>
      <c r="Y97" s="25" t="s">
        <v>367</v>
      </c>
      <c r="Z97" s="25">
        <v>81004</v>
      </c>
      <c r="AA97" s="25" t="s">
        <v>366</v>
      </c>
      <c r="AB97" s="25" t="s">
        <v>365</v>
      </c>
      <c r="AC97" s="25" t="s">
        <v>704</v>
      </c>
      <c r="AD97" s="25" t="s">
        <v>383</v>
      </c>
      <c r="AE97" s="25" t="s">
        <v>382</v>
      </c>
      <c r="AF97" s="25" t="s">
        <v>377</v>
      </c>
      <c r="AI97" s="31">
        <v>43960</v>
      </c>
      <c r="AJ97" s="25">
        <v>100</v>
      </c>
      <c r="AK97" s="25">
        <v>350</v>
      </c>
      <c r="AL97" s="25" t="s">
        <v>703</v>
      </c>
      <c r="BG97" s="25" t="s">
        <v>28</v>
      </c>
      <c r="BI97" s="25" t="s">
        <v>168</v>
      </c>
      <c r="BK97" s="25" t="s">
        <v>50</v>
      </c>
      <c r="BL97" s="25" t="s">
        <v>167</v>
      </c>
      <c r="BM97" s="25" t="s">
        <v>166</v>
      </c>
      <c r="BN97" s="30">
        <v>44022.327055393522</v>
      </c>
      <c r="BR97" s="25" t="s">
        <v>165</v>
      </c>
      <c r="BS97" s="25">
        <v>4.0621202017761597E+18</v>
      </c>
      <c r="BT97" s="25" t="s">
        <v>164</v>
      </c>
      <c r="BU97" s="25" t="s">
        <v>702</v>
      </c>
      <c r="BV97" s="25">
        <v>2020</v>
      </c>
      <c r="BW97" s="25" t="s">
        <v>163</v>
      </c>
      <c r="BY97" s="25">
        <v>4.07092020178302E+18</v>
      </c>
      <c r="BZ97" s="25" t="s">
        <v>701</v>
      </c>
      <c r="CA97" s="25" t="s">
        <v>161</v>
      </c>
    </row>
    <row r="98" spans="1:79" hidden="1" x14ac:dyDescent="0.2">
      <c r="A98" s="25" t="s">
        <v>434</v>
      </c>
      <c r="B98" s="25" t="s">
        <v>286</v>
      </c>
      <c r="C98" s="25">
        <v>2020</v>
      </c>
      <c r="D98" s="25" t="s">
        <v>407</v>
      </c>
      <c r="E98" s="25">
        <v>2.0200829926705699E+17</v>
      </c>
      <c r="F98" s="25" t="s">
        <v>182</v>
      </c>
      <c r="G98" s="25" t="s">
        <v>700</v>
      </c>
      <c r="H98" s="25">
        <v>1435680</v>
      </c>
      <c r="J98" s="25" t="s">
        <v>180</v>
      </c>
      <c r="K98" s="25" t="s">
        <v>179</v>
      </c>
      <c r="L98" s="25" t="s">
        <v>374</v>
      </c>
      <c r="N98" s="25" t="s">
        <v>371</v>
      </c>
      <c r="O98" s="25" t="s">
        <v>75</v>
      </c>
      <c r="Q98" s="25" t="s">
        <v>28</v>
      </c>
      <c r="R98" s="25" t="s">
        <v>370</v>
      </c>
      <c r="T98" s="25" t="s">
        <v>294</v>
      </c>
      <c r="V98" s="25" t="s">
        <v>388</v>
      </c>
      <c r="X98" s="25" t="s">
        <v>368</v>
      </c>
      <c r="Y98" s="25" t="s">
        <v>367</v>
      </c>
      <c r="Z98" s="25">
        <v>810049787</v>
      </c>
      <c r="AA98" s="25" t="s">
        <v>366</v>
      </c>
      <c r="AB98" s="25" t="s">
        <v>365</v>
      </c>
      <c r="AC98" s="25" t="s">
        <v>374</v>
      </c>
      <c r="AD98" s="25" t="s">
        <v>345</v>
      </c>
      <c r="AE98" s="25" t="s">
        <v>344</v>
      </c>
      <c r="AI98" s="31">
        <v>44010</v>
      </c>
      <c r="AJ98" s="25">
        <v>250</v>
      </c>
      <c r="AK98" s="25">
        <v>250</v>
      </c>
      <c r="BG98" s="25" t="s">
        <v>501</v>
      </c>
      <c r="BI98" s="25" t="s">
        <v>500</v>
      </c>
      <c r="BJ98" s="25">
        <v>2020</v>
      </c>
      <c r="BK98" s="25" t="s">
        <v>50</v>
      </c>
      <c r="BL98" s="25" t="s">
        <v>167</v>
      </c>
      <c r="BM98" s="25" t="s">
        <v>166</v>
      </c>
      <c r="BN98" s="30">
        <v>44078.149773194447</v>
      </c>
      <c r="BP98" s="25" t="s">
        <v>699</v>
      </c>
      <c r="BQ98" s="25" t="s">
        <v>419</v>
      </c>
      <c r="BR98" s="25" t="s">
        <v>513</v>
      </c>
      <c r="BS98" s="25">
        <v>4.0831202018314399E+18</v>
      </c>
      <c r="BT98" s="25" t="s">
        <v>164</v>
      </c>
      <c r="BU98" s="25" t="s">
        <v>512</v>
      </c>
      <c r="BV98" s="25">
        <v>2020</v>
      </c>
      <c r="BW98" s="25" t="s">
        <v>163</v>
      </c>
      <c r="BY98" s="25">
        <v>4.09042020183456E+18</v>
      </c>
      <c r="BZ98" s="25" t="s">
        <v>698</v>
      </c>
      <c r="CA98" s="25" t="s">
        <v>161</v>
      </c>
    </row>
    <row r="99" spans="1:79" x14ac:dyDescent="0.2">
      <c r="A99" s="25" t="s">
        <v>192</v>
      </c>
      <c r="B99" s="25" t="s">
        <v>157</v>
      </c>
      <c r="C99" s="25">
        <v>2020</v>
      </c>
      <c r="D99" s="25" t="s">
        <v>553</v>
      </c>
      <c r="E99" s="25">
        <v>2.0200717925038099E+17</v>
      </c>
      <c r="F99" s="25" t="s">
        <v>182</v>
      </c>
      <c r="G99" s="25" t="s">
        <v>697</v>
      </c>
      <c r="H99" s="25">
        <v>1426010</v>
      </c>
      <c r="J99" s="25" t="s">
        <v>180</v>
      </c>
      <c r="K99" s="25" t="s">
        <v>179</v>
      </c>
      <c r="N99" s="25" t="s">
        <v>543</v>
      </c>
      <c r="O99" s="25" t="s">
        <v>66</v>
      </c>
      <c r="P99" s="25" t="s">
        <v>177</v>
      </c>
      <c r="Q99" s="25" t="s">
        <v>34</v>
      </c>
      <c r="R99" s="25" t="s">
        <v>295</v>
      </c>
      <c r="S99" s="25" t="s">
        <v>0</v>
      </c>
      <c r="T99" s="25" t="s">
        <v>294</v>
      </c>
      <c r="V99" s="25" t="s">
        <v>542</v>
      </c>
      <c r="W99" s="25" t="s">
        <v>541</v>
      </c>
      <c r="X99" s="25" t="s">
        <v>540</v>
      </c>
      <c r="Y99" s="25" t="s">
        <v>349</v>
      </c>
      <c r="Z99" s="25">
        <v>33131</v>
      </c>
      <c r="AA99" s="25" t="s">
        <v>539</v>
      </c>
      <c r="AB99" s="25" t="s">
        <v>187</v>
      </c>
      <c r="AD99" s="25">
        <v>15</v>
      </c>
      <c r="AE99" s="25" t="s">
        <v>169</v>
      </c>
      <c r="AI99" s="31">
        <v>44008</v>
      </c>
      <c r="AJ99" s="25">
        <v>192.3</v>
      </c>
      <c r="AK99" s="25">
        <v>2499.9</v>
      </c>
      <c r="BG99" s="25" t="s">
        <v>28</v>
      </c>
      <c r="BI99" s="25" t="s">
        <v>168</v>
      </c>
      <c r="BK99" s="25" t="s">
        <v>50</v>
      </c>
      <c r="BL99" s="25" t="s">
        <v>167</v>
      </c>
      <c r="BM99" s="25" t="s">
        <v>166</v>
      </c>
      <c r="BN99" s="30">
        <v>44035.113565752312</v>
      </c>
      <c r="BR99" s="25" t="s">
        <v>165</v>
      </c>
      <c r="BS99" s="25">
        <v>4.0717202017909898E+18</v>
      </c>
      <c r="BT99" s="25" t="s">
        <v>164</v>
      </c>
      <c r="BV99" s="25">
        <v>2020</v>
      </c>
      <c r="BW99" s="25" t="s">
        <v>163</v>
      </c>
      <c r="BY99" s="25">
        <v>4.0722202017936399E+18</v>
      </c>
      <c r="BZ99" s="25" t="s">
        <v>688</v>
      </c>
      <c r="CA99" s="25" t="s">
        <v>161</v>
      </c>
    </row>
    <row r="100" spans="1:79" hidden="1" x14ac:dyDescent="0.2">
      <c r="A100" s="25" t="s">
        <v>301</v>
      </c>
      <c r="B100" s="25" t="s">
        <v>277</v>
      </c>
      <c r="C100" s="25">
        <v>2020</v>
      </c>
      <c r="D100" s="25" t="s">
        <v>341</v>
      </c>
      <c r="E100" s="25">
        <v>2.0210125940680301E+17</v>
      </c>
      <c r="F100" s="25" t="s">
        <v>182</v>
      </c>
      <c r="G100" s="25" t="s">
        <v>696</v>
      </c>
      <c r="H100" s="25">
        <v>1490496</v>
      </c>
      <c r="J100" s="25" t="s">
        <v>180</v>
      </c>
      <c r="K100" s="25" t="s">
        <v>179</v>
      </c>
      <c r="N100" s="25" t="s">
        <v>298</v>
      </c>
      <c r="O100" s="25" t="s">
        <v>297</v>
      </c>
      <c r="Q100" s="25" t="s">
        <v>296</v>
      </c>
      <c r="R100" s="25" t="s">
        <v>295</v>
      </c>
      <c r="T100" s="25" t="s">
        <v>294</v>
      </c>
      <c r="V100" s="25" t="s">
        <v>695</v>
      </c>
      <c r="X100" s="25" t="s">
        <v>694</v>
      </c>
      <c r="Y100" s="25" t="s">
        <v>693</v>
      </c>
      <c r="Z100" s="25">
        <v>452424518</v>
      </c>
      <c r="AA100" s="25" t="s">
        <v>692</v>
      </c>
      <c r="AB100" s="25" t="s">
        <v>691</v>
      </c>
      <c r="AF100" s="25" t="s">
        <v>303</v>
      </c>
      <c r="AI100" s="31">
        <v>44054</v>
      </c>
      <c r="AJ100" s="25">
        <v>50</v>
      </c>
      <c r="AK100" s="25">
        <v>100</v>
      </c>
      <c r="BK100" s="25" t="s">
        <v>50</v>
      </c>
      <c r="BL100" s="25" t="s">
        <v>167</v>
      </c>
      <c r="BM100" s="25" t="s">
        <v>166</v>
      </c>
      <c r="BN100" s="30">
        <v>44252.587108576387</v>
      </c>
      <c r="BR100" s="25" t="s">
        <v>165</v>
      </c>
      <c r="BS100" s="25">
        <v>4.0125202121377597E+18</v>
      </c>
      <c r="BT100" s="25" t="s">
        <v>164</v>
      </c>
      <c r="BV100" s="25">
        <v>2020</v>
      </c>
      <c r="BW100" s="25" t="s">
        <v>163</v>
      </c>
      <c r="BY100" s="25">
        <v>4.0224202111768003E+18</v>
      </c>
      <c r="BZ100" s="25" t="s">
        <v>690</v>
      </c>
      <c r="CA100" s="25" t="s">
        <v>161</v>
      </c>
    </row>
    <row r="101" spans="1:79" x14ac:dyDescent="0.2">
      <c r="A101" s="25" t="s">
        <v>192</v>
      </c>
      <c r="B101" s="25" t="s">
        <v>157</v>
      </c>
      <c r="C101" s="25">
        <v>2020</v>
      </c>
      <c r="D101" s="25" t="s">
        <v>553</v>
      </c>
      <c r="E101" s="25">
        <v>2.0200717925038099E+17</v>
      </c>
      <c r="F101" s="25" t="s">
        <v>182</v>
      </c>
      <c r="G101" s="25" t="s">
        <v>689</v>
      </c>
      <c r="H101" s="25">
        <v>1426010</v>
      </c>
      <c r="J101" s="25" t="s">
        <v>180</v>
      </c>
      <c r="K101" s="25" t="s">
        <v>179</v>
      </c>
      <c r="N101" s="25" t="s">
        <v>543</v>
      </c>
      <c r="O101" s="25" t="s">
        <v>66</v>
      </c>
      <c r="P101" s="25" t="s">
        <v>177</v>
      </c>
      <c r="Q101" s="25" t="s">
        <v>34</v>
      </c>
      <c r="R101" s="25" t="s">
        <v>295</v>
      </c>
      <c r="S101" s="25" t="s">
        <v>0</v>
      </c>
      <c r="T101" s="25" t="s">
        <v>294</v>
      </c>
      <c r="V101" s="25" t="s">
        <v>542</v>
      </c>
      <c r="W101" s="25" t="s">
        <v>541</v>
      </c>
      <c r="X101" s="25" t="s">
        <v>540</v>
      </c>
      <c r="Y101" s="25" t="s">
        <v>349</v>
      </c>
      <c r="Z101" s="25">
        <v>33131</v>
      </c>
      <c r="AA101" s="25" t="s">
        <v>539</v>
      </c>
      <c r="AB101" s="25" t="s">
        <v>187</v>
      </c>
      <c r="AD101" s="25">
        <v>15</v>
      </c>
      <c r="AE101" s="25" t="s">
        <v>169</v>
      </c>
      <c r="AI101" s="31">
        <v>43994</v>
      </c>
      <c r="AJ101" s="25">
        <v>192.3</v>
      </c>
      <c r="AK101" s="25">
        <v>2307.6</v>
      </c>
      <c r="BG101" s="25" t="s">
        <v>28</v>
      </c>
      <c r="BI101" s="25" t="s">
        <v>168</v>
      </c>
      <c r="BK101" s="25" t="s">
        <v>50</v>
      </c>
      <c r="BL101" s="25" t="s">
        <v>167</v>
      </c>
      <c r="BM101" s="25" t="s">
        <v>166</v>
      </c>
      <c r="BN101" s="30">
        <v>44035.128207118054</v>
      </c>
      <c r="BR101" s="25" t="s">
        <v>165</v>
      </c>
      <c r="BS101" s="25">
        <v>4.0717202017909898E+18</v>
      </c>
      <c r="BT101" s="25" t="s">
        <v>164</v>
      </c>
      <c r="BV101" s="25">
        <v>2020</v>
      </c>
      <c r="BW101" s="25" t="s">
        <v>163</v>
      </c>
      <c r="BY101" s="25">
        <v>4.0722202017936399E+18</v>
      </c>
      <c r="BZ101" s="25" t="s">
        <v>688</v>
      </c>
      <c r="CA101" s="25" t="s">
        <v>161</v>
      </c>
    </row>
    <row r="102" spans="1:79" hidden="1" x14ac:dyDescent="0.2">
      <c r="A102" s="25" t="s">
        <v>374</v>
      </c>
      <c r="B102" s="25" t="s">
        <v>287</v>
      </c>
      <c r="C102" s="25">
        <v>2020</v>
      </c>
      <c r="D102" s="25" t="s">
        <v>494</v>
      </c>
      <c r="E102" s="25">
        <v>2.0201214937640899E+17</v>
      </c>
      <c r="F102" s="25" t="s">
        <v>182</v>
      </c>
      <c r="G102" s="25" t="s">
        <v>687</v>
      </c>
      <c r="H102" s="25">
        <v>1482832</v>
      </c>
      <c r="J102" s="25" t="s">
        <v>180</v>
      </c>
      <c r="K102" s="25" t="s">
        <v>179</v>
      </c>
      <c r="N102" s="25" t="s">
        <v>298</v>
      </c>
      <c r="O102" s="25" t="s">
        <v>297</v>
      </c>
      <c r="Q102" s="25" t="s">
        <v>296</v>
      </c>
      <c r="R102" s="25" t="s">
        <v>295</v>
      </c>
      <c r="T102" s="25" t="s">
        <v>294</v>
      </c>
      <c r="V102" s="25" t="s">
        <v>654</v>
      </c>
      <c r="X102" s="25" t="s">
        <v>653</v>
      </c>
      <c r="Y102" s="25" t="s">
        <v>42</v>
      </c>
      <c r="Z102" s="25">
        <v>20002</v>
      </c>
      <c r="AA102" s="25" t="s">
        <v>652</v>
      </c>
      <c r="AB102" s="25" t="s">
        <v>651</v>
      </c>
      <c r="AF102" s="25" t="s">
        <v>377</v>
      </c>
      <c r="AI102" s="31">
        <v>44092</v>
      </c>
      <c r="AJ102" s="25">
        <v>1.93</v>
      </c>
      <c r="AK102" s="25">
        <v>1.93</v>
      </c>
      <c r="BF102" s="25" t="s">
        <v>363</v>
      </c>
      <c r="BK102" s="25" t="s">
        <v>50</v>
      </c>
      <c r="BL102" s="25" t="s">
        <v>167</v>
      </c>
      <c r="BM102" s="25" t="s">
        <v>166</v>
      </c>
      <c r="BN102" s="30">
        <v>44218.652442164355</v>
      </c>
      <c r="BR102" s="25" t="s">
        <v>165</v>
      </c>
      <c r="BS102" s="25">
        <v>4.1216202019742802E+18</v>
      </c>
      <c r="BT102" s="25" t="s">
        <v>164</v>
      </c>
      <c r="BU102" s="25" t="s">
        <v>686</v>
      </c>
      <c r="BV102" s="25">
        <v>2020</v>
      </c>
      <c r="BW102" s="25" t="s">
        <v>163</v>
      </c>
      <c r="BY102" s="25">
        <v>4.0121202121098301E+18</v>
      </c>
      <c r="BZ102" s="25" t="s">
        <v>662</v>
      </c>
      <c r="CA102" s="25" t="s">
        <v>161</v>
      </c>
    </row>
    <row r="103" spans="1:79" hidden="1" x14ac:dyDescent="0.2">
      <c r="A103" s="25" t="s">
        <v>374</v>
      </c>
      <c r="B103" s="25" t="s">
        <v>287</v>
      </c>
      <c r="C103" s="25">
        <v>2020</v>
      </c>
      <c r="D103" s="25" t="s">
        <v>494</v>
      </c>
      <c r="E103" s="25">
        <v>2.0201214937640899E+17</v>
      </c>
      <c r="F103" s="25" t="s">
        <v>182</v>
      </c>
      <c r="G103" s="25" t="s">
        <v>685</v>
      </c>
      <c r="H103" s="25">
        <v>1482832</v>
      </c>
      <c r="J103" s="25" t="s">
        <v>180</v>
      </c>
      <c r="K103" s="25" t="s">
        <v>179</v>
      </c>
      <c r="N103" s="25" t="s">
        <v>298</v>
      </c>
      <c r="O103" s="25" t="s">
        <v>297</v>
      </c>
      <c r="Q103" s="25" t="s">
        <v>296</v>
      </c>
      <c r="R103" s="25" t="s">
        <v>295</v>
      </c>
      <c r="T103" s="25" t="s">
        <v>294</v>
      </c>
      <c r="V103" s="25" t="s">
        <v>654</v>
      </c>
      <c r="X103" s="25" t="s">
        <v>653</v>
      </c>
      <c r="Y103" s="25" t="s">
        <v>42</v>
      </c>
      <c r="Z103" s="25">
        <v>20002</v>
      </c>
      <c r="AA103" s="25" t="s">
        <v>652</v>
      </c>
      <c r="AB103" s="25" t="s">
        <v>651</v>
      </c>
      <c r="AF103" s="25" t="s">
        <v>377</v>
      </c>
      <c r="AI103" s="31">
        <v>44092</v>
      </c>
      <c r="AJ103" s="25">
        <v>1.93</v>
      </c>
      <c r="AK103" s="25">
        <v>1.93</v>
      </c>
      <c r="BF103" s="25" t="s">
        <v>363</v>
      </c>
      <c r="BK103" s="25" t="s">
        <v>50</v>
      </c>
      <c r="BL103" s="25" t="s">
        <v>167</v>
      </c>
      <c r="BM103" s="25" t="s">
        <v>166</v>
      </c>
      <c r="BN103" s="30">
        <v>44218.652442164355</v>
      </c>
      <c r="BR103" s="25" t="s">
        <v>165</v>
      </c>
      <c r="BS103" s="25">
        <v>4.1216202019742802E+18</v>
      </c>
      <c r="BT103" s="25" t="s">
        <v>164</v>
      </c>
      <c r="BU103" s="25" t="s">
        <v>684</v>
      </c>
      <c r="BV103" s="25">
        <v>2020</v>
      </c>
      <c r="BW103" s="25" t="s">
        <v>163</v>
      </c>
      <c r="BY103" s="25">
        <v>4.0121202121098301E+18</v>
      </c>
      <c r="BZ103" s="25" t="s">
        <v>675</v>
      </c>
      <c r="CA103" s="25" t="s">
        <v>161</v>
      </c>
    </row>
    <row r="104" spans="1:79" hidden="1" x14ac:dyDescent="0.2">
      <c r="A104" s="25" t="s">
        <v>374</v>
      </c>
      <c r="B104" s="25" t="s">
        <v>287</v>
      </c>
      <c r="C104" s="25">
        <v>2020</v>
      </c>
      <c r="D104" s="25" t="s">
        <v>494</v>
      </c>
      <c r="E104" s="25">
        <v>2.0201214937640899E+17</v>
      </c>
      <c r="F104" s="25" t="s">
        <v>182</v>
      </c>
      <c r="G104" s="25" t="s">
        <v>683</v>
      </c>
      <c r="H104" s="25">
        <v>1482832</v>
      </c>
      <c r="J104" s="25" t="s">
        <v>180</v>
      </c>
      <c r="K104" s="25" t="s">
        <v>179</v>
      </c>
      <c r="N104" s="25" t="s">
        <v>298</v>
      </c>
      <c r="O104" s="25" t="s">
        <v>297</v>
      </c>
      <c r="Q104" s="25" t="s">
        <v>296</v>
      </c>
      <c r="R104" s="25" t="s">
        <v>295</v>
      </c>
      <c r="T104" s="25" t="s">
        <v>294</v>
      </c>
      <c r="V104" s="25" t="s">
        <v>654</v>
      </c>
      <c r="X104" s="25" t="s">
        <v>653</v>
      </c>
      <c r="Y104" s="25" t="s">
        <v>42</v>
      </c>
      <c r="Z104" s="25">
        <v>20002</v>
      </c>
      <c r="AA104" s="25" t="s">
        <v>652</v>
      </c>
      <c r="AB104" s="25" t="s">
        <v>651</v>
      </c>
      <c r="AF104" s="25" t="s">
        <v>377</v>
      </c>
      <c r="AI104" s="31">
        <v>44092</v>
      </c>
      <c r="AJ104" s="25">
        <v>1.93</v>
      </c>
      <c r="AK104" s="25">
        <v>1.93</v>
      </c>
      <c r="BF104" s="25" t="s">
        <v>363</v>
      </c>
      <c r="BK104" s="25" t="s">
        <v>50</v>
      </c>
      <c r="BL104" s="25" t="s">
        <v>167</v>
      </c>
      <c r="BM104" s="25" t="s">
        <v>166</v>
      </c>
      <c r="BN104" s="30">
        <v>44218.652442164355</v>
      </c>
      <c r="BR104" s="25" t="s">
        <v>165</v>
      </c>
      <c r="BS104" s="25">
        <v>4.1216202019742802E+18</v>
      </c>
      <c r="BT104" s="25" t="s">
        <v>164</v>
      </c>
      <c r="BU104" s="25" t="s">
        <v>682</v>
      </c>
      <c r="BV104" s="25">
        <v>2020</v>
      </c>
      <c r="BW104" s="25" t="s">
        <v>163</v>
      </c>
      <c r="BY104" s="25">
        <v>4.0121202121098301E+18</v>
      </c>
      <c r="BZ104" s="25" t="s">
        <v>672</v>
      </c>
      <c r="CA104" s="25" t="s">
        <v>161</v>
      </c>
    </row>
    <row r="105" spans="1:79" hidden="1" x14ac:dyDescent="0.2">
      <c r="A105" s="25" t="s">
        <v>374</v>
      </c>
      <c r="B105" s="25" t="s">
        <v>287</v>
      </c>
      <c r="C105" s="25">
        <v>2020</v>
      </c>
      <c r="D105" s="25" t="s">
        <v>494</v>
      </c>
      <c r="E105" s="25">
        <v>2.0201214937640899E+17</v>
      </c>
      <c r="F105" s="25" t="s">
        <v>182</v>
      </c>
      <c r="G105" s="25" t="s">
        <v>681</v>
      </c>
      <c r="H105" s="25">
        <v>1482832</v>
      </c>
      <c r="J105" s="25" t="s">
        <v>180</v>
      </c>
      <c r="K105" s="25" t="s">
        <v>179</v>
      </c>
      <c r="N105" s="25" t="s">
        <v>298</v>
      </c>
      <c r="O105" s="25" t="s">
        <v>297</v>
      </c>
      <c r="Q105" s="25" t="s">
        <v>296</v>
      </c>
      <c r="R105" s="25" t="s">
        <v>295</v>
      </c>
      <c r="T105" s="25" t="s">
        <v>294</v>
      </c>
      <c r="V105" s="25" t="s">
        <v>654</v>
      </c>
      <c r="X105" s="25" t="s">
        <v>653</v>
      </c>
      <c r="Y105" s="25" t="s">
        <v>42</v>
      </c>
      <c r="Z105" s="25">
        <v>20002</v>
      </c>
      <c r="AA105" s="25" t="s">
        <v>652</v>
      </c>
      <c r="AB105" s="25" t="s">
        <v>651</v>
      </c>
      <c r="AF105" s="25" t="s">
        <v>377</v>
      </c>
      <c r="AI105" s="31">
        <v>44092</v>
      </c>
      <c r="AJ105" s="25">
        <v>1.93</v>
      </c>
      <c r="AK105" s="25">
        <v>1.93</v>
      </c>
      <c r="BF105" s="25" t="s">
        <v>363</v>
      </c>
      <c r="BK105" s="25" t="s">
        <v>50</v>
      </c>
      <c r="BL105" s="25" t="s">
        <v>167</v>
      </c>
      <c r="BM105" s="25" t="s">
        <v>166</v>
      </c>
      <c r="BN105" s="30">
        <v>44218.652442164355</v>
      </c>
      <c r="BR105" s="25" t="s">
        <v>165</v>
      </c>
      <c r="BS105" s="25">
        <v>4.1216202019742802E+18</v>
      </c>
      <c r="BT105" s="25" t="s">
        <v>164</v>
      </c>
      <c r="BU105" s="25" t="s">
        <v>680</v>
      </c>
      <c r="BV105" s="25">
        <v>2020</v>
      </c>
      <c r="BW105" s="25" t="s">
        <v>163</v>
      </c>
      <c r="BY105" s="25">
        <v>4.0121202121098301E+18</v>
      </c>
      <c r="BZ105" s="25" t="s">
        <v>672</v>
      </c>
      <c r="CA105" s="25" t="s">
        <v>161</v>
      </c>
    </row>
    <row r="106" spans="1:79" hidden="1" x14ac:dyDescent="0.2">
      <c r="A106" s="25" t="s">
        <v>374</v>
      </c>
      <c r="B106" s="25" t="s">
        <v>287</v>
      </c>
      <c r="C106" s="25">
        <v>2020</v>
      </c>
      <c r="D106" s="25" t="s">
        <v>494</v>
      </c>
      <c r="E106" s="25">
        <v>2.0201214937640899E+17</v>
      </c>
      <c r="F106" s="25" t="s">
        <v>182</v>
      </c>
      <c r="G106" s="25" t="s">
        <v>679</v>
      </c>
      <c r="H106" s="25">
        <v>1482832</v>
      </c>
      <c r="J106" s="25" t="s">
        <v>180</v>
      </c>
      <c r="K106" s="25" t="s">
        <v>179</v>
      </c>
      <c r="N106" s="25" t="s">
        <v>298</v>
      </c>
      <c r="O106" s="25" t="s">
        <v>297</v>
      </c>
      <c r="Q106" s="25" t="s">
        <v>296</v>
      </c>
      <c r="R106" s="25" t="s">
        <v>295</v>
      </c>
      <c r="T106" s="25" t="s">
        <v>294</v>
      </c>
      <c r="V106" s="25" t="s">
        <v>654</v>
      </c>
      <c r="X106" s="25" t="s">
        <v>653</v>
      </c>
      <c r="Y106" s="25" t="s">
        <v>42</v>
      </c>
      <c r="Z106" s="25">
        <v>20002</v>
      </c>
      <c r="AA106" s="25" t="s">
        <v>652</v>
      </c>
      <c r="AB106" s="25" t="s">
        <v>651</v>
      </c>
      <c r="AF106" s="25" t="s">
        <v>377</v>
      </c>
      <c r="AI106" s="31">
        <v>44092</v>
      </c>
      <c r="AJ106" s="25">
        <v>1.92</v>
      </c>
      <c r="AK106" s="25">
        <v>1.92</v>
      </c>
      <c r="BF106" s="25" t="s">
        <v>363</v>
      </c>
      <c r="BK106" s="25" t="s">
        <v>50</v>
      </c>
      <c r="BL106" s="25" t="s">
        <v>167</v>
      </c>
      <c r="BM106" s="25" t="s">
        <v>166</v>
      </c>
      <c r="BN106" s="30">
        <v>44218.652442164355</v>
      </c>
      <c r="BR106" s="25" t="s">
        <v>165</v>
      </c>
      <c r="BS106" s="25">
        <v>4.1216202019742802E+18</v>
      </c>
      <c r="BT106" s="25" t="s">
        <v>164</v>
      </c>
      <c r="BU106" s="25" t="s">
        <v>678</v>
      </c>
      <c r="BV106" s="25">
        <v>2020</v>
      </c>
      <c r="BW106" s="25" t="s">
        <v>163</v>
      </c>
      <c r="BY106" s="25">
        <v>4.0121202121098301E+18</v>
      </c>
      <c r="BZ106" s="25" t="s">
        <v>675</v>
      </c>
      <c r="CA106" s="25" t="s">
        <v>161</v>
      </c>
    </row>
    <row r="107" spans="1:79" hidden="1" x14ac:dyDescent="0.2">
      <c r="A107" s="25" t="s">
        <v>374</v>
      </c>
      <c r="B107" s="25" t="s">
        <v>287</v>
      </c>
      <c r="C107" s="25">
        <v>2020</v>
      </c>
      <c r="D107" s="25" t="s">
        <v>494</v>
      </c>
      <c r="E107" s="25">
        <v>2.0201214937640899E+17</v>
      </c>
      <c r="F107" s="25" t="s">
        <v>182</v>
      </c>
      <c r="G107" s="25" t="s">
        <v>677</v>
      </c>
      <c r="H107" s="25">
        <v>1482832</v>
      </c>
      <c r="J107" s="25" t="s">
        <v>180</v>
      </c>
      <c r="K107" s="25" t="s">
        <v>179</v>
      </c>
      <c r="N107" s="25" t="s">
        <v>298</v>
      </c>
      <c r="O107" s="25" t="s">
        <v>297</v>
      </c>
      <c r="Q107" s="25" t="s">
        <v>296</v>
      </c>
      <c r="R107" s="25" t="s">
        <v>295</v>
      </c>
      <c r="T107" s="25" t="s">
        <v>294</v>
      </c>
      <c r="V107" s="25" t="s">
        <v>654</v>
      </c>
      <c r="X107" s="25" t="s">
        <v>653</v>
      </c>
      <c r="Y107" s="25" t="s">
        <v>42</v>
      </c>
      <c r="Z107" s="25">
        <v>20002</v>
      </c>
      <c r="AA107" s="25" t="s">
        <v>652</v>
      </c>
      <c r="AB107" s="25" t="s">
        <v>651</v>
      </c>
      <c r="AF107" s="25" t="s">
        <v>377</v>
      </c>
      <c r="AI107" s="31">
        <v>44092</v>
      </c>
      <c r="AJ107" s="25">
        <v>1.92</v>
      </c>
      <c r="AK107" s="25">
        <v>1.92</v>
      </c>
      <c r="BF107" s="25" t="s">
        <v>363</v>
      </c>
      <c r="BK107" s="25" t="s">
        <v>50</v>
      </c>
      <c r="BL107" s="25" t="s">
        <v>167</v>
      </c>
      <c r="BM107" s="25" t="s">
        <v>166</v>
      </c>
      <c r="BN107" s="30">
        <v>44218.652442175924</v>
      </c>
      <c r="BR107" s="25" t="s">
        <v>165</v>
      </c>
      <c r="BS107" s="25">
        <v>4.1216202019742802E+18</v>
      </c>
      <c r="BT107" s="25" t="s">
        <v>164</v>
      </c>
      <c r="BU107" s="25" t="s">
        <v>676</v>
      </c>
      <c r="BV107" s="25">
        <v>2020</v>
      </c>
      <c r="BW107" s="25" t="s">
        <v>163</v>
      </c>
      <c r="BY107" s="25">
        <v>4.0121202121098301E+18</v>
      </c>
      <c r="BZ107" s="25" t="s">
        <v>675</v>
      </c>
      <c r="CA107" s="25" t="s">
        <v>161</v>
      </c>
    </row>
    <row r="108" spans="1:79" hidden="1" x14ac:dyDescent="0.2">
      <c r="A108" s="25" t="s">
        <v>374</v>
      </c>
      <c r="B108" s="25" t="s">
        <v>287</v>
      </c>
      <c r="C108" s="25">
        <v>2020</v>
      </c>
      <c r="D108" s="25" t="s">
        <v>494</v>
      </c>
      <c r="E108" s="25">
        <v>2.0201214937640899E+17</v>
      </c>
      <c r="F108" s="25" t="s">
        <v>182</v>
      </c>
      <c r="G108" s="25" t="s">
        <v>674</v>
      </c>
      <c r="H108" s="25">
        <v>1482832</v>
      </c>
      <c r="J108" s="25" t="s">
        <v>180</v>
      </c>
      <c r="K108" s="25" t="s">
        <v>179</v>
      </c>
      <c r="N108" s="25" t="s">
        <v>298</v>
      </c>
      <c r="O108" s="25" t="s">
        <v>297</v>
      </c>
      <c r="Q108" s="25" t="s">
        <v>296</v>
      </c>
      <c r="R108" s="25" t="s">
        <v>295</v>
      </c>
      <c r="T108" s="25" t="s">
        <v>294</v>
      </c>
      <c r="V108" s="25" t="s">
        <v>654</v>
      </c>
      <c r="X108" s="25" t="s">
        <v>653</v>
      </c>
      <c r="Y108" s="25" t="s">
        <v>42</v>
      </c>
      <c r="Z108" s="25">
        <v>20002</v>
      </c>
      <c r="AA108" s="25" t="s">
        <v>652</v>
      </c>
      <c r="AB108" s="25" t="s">
        <v>651</v>
      </c>
      <c r="AF108" s="25" t="s">
        <v>377</v>
      </c>
      <c r="AI108" s="31">
        <v>44092</v>
      </c>
      <c r="AJ108" s="25">
        <v>1.92</v>
      </c>
      <c r="AK108" s="25">
        <v>1.92</v>
      </c>
      <c r="BF108" s="25" t="s">
        <v>363</v>
      </c>
      <c r="BK108" s="25" t="s">
        <v>50</v>
      </c>
      <c r="BL108" s="25" t="s">
        <v>167</v>
      </c>
      <c r="BM108" s="25" t="s">
        <v>166</v>
      </c>
      <c r="BN108" s="30">
        <v>44218.652527500002</v>
      </c>
      <c r="BR108" s="25" t="s">
        <v>165</v>
      </c>
      <c r="BS108" s="25">
        <v>4.1216202019742802E+18</v>
      </c>
      <c r="BT108" s="25" t="s">
        <v>164</v>
      </c>
      <c r="BU108" s="25" t="s">
        <v>673</v>
      </c>
      <c r="BV108" s="25">
        <v>2020</v>
      </c>
      <c r="BW108" s="25" t="s">
        <v>163</v>
      </c>
      <c r="BY108" s="25">
        <v>4.0121202121098301E+18</v>
      </c>
      <c r="BZ108" s="25" t="s">
        <v>672</v>
      </c>
      <c r="CA108" s="25" t="s">
        <v>161</v>
      </c>
    </row>
    <row r="109" spans="1:79" hidden="1" x14ac:dyDescent="0.2">
      <c r="A109" s="25" t="s">
        <v>374</v>
      </c>
      <c r="B109" s="25" t="s">
        <v>287</v>
      </c>
      <c r="C109" s="25">
        <v>2020</v>
      </c>
      <c r="D109" s="25" t="s">
        <v>494</v>
      </c>
      <c r="E109" s="25">
        <v>2.0201214937640899E+17</v>
      </c>
      <c r="F109" s="25" t="s">
        <v>182</v>
      </c>
      <c r="G109" s="25" t="s">
        <v>671</v>
      </c>
      <c r="H109" s="25">
        <v>1482832</v>
      </c>
      <c r="J109" s="25" t="s">
        <v>180</v>
      </c>
      <c r="K109" s="25" t="s">
        <v>179</v>
      </c>
      <c r="N109" s="25" t="s">
        <v>298</v>
      </c>
      <c r="O109" s="25" t="s">
        <v>297</v>
      </c>
      <c r="Q109" s="25" t="s">
        <v>296</v>
      </c>
      <c r="R109" s="25" t="s">
        <v>295</v>
      </c>
      <c r="T109" s="25" t="s">
        <v>294</v>
      </c>
      <c r="V109" s="25" t="s">
        <v>654</v>
      </c>
      <c r="X109" s="25" t="s">
        <v>653</v>
      </c>
      <c r="Y109" s="25" t="s">
        <v>42</v>
      </c>
      <c r="Z109" s="25">
        <v>20002</v>
      </c>
      <c r="AA109" s="25" t="s">
        <v>652</v>
      </c>
      <c r="AB109" s="25" t="s">
        <v>651</v>
      </c>
      <c r="AF109" s="25" t="s">
        <v>377</v>
      </c>
      <c r="AI109" s="31">
        <v>44092</v>
      </c>
      <c r="AJ109" s="25">
        <v>1.92</v>
      </c>
      <c r="AK109" s="25">
        <v>1.92</v>
      </c>
      <c r="BF109" s="25" t="s">
        <v>363</v>
      </c>
      <c r="BK109" s="25" t="s">
        <v>50</v>
      </c>
      <c r="BL109" s="25" t="s">
        <v>167</v>
      </c>
      <c r="BM109" s="25" t="s">
        <v>166</v>
      </c>
      <c r="BN109" s="30">
        <v>44218.652527500002</v>
      </c>
      <c r="BR109" s="25" t="s">
        <v>165</v>
      </c>
      <c r="BS109" s="25">
        <v>4.1216202019742802E+18</v>
      </c>
      <c r="BT109" s="25" t="s">
        <v>164</v>
      </c>
      <c r="BU109" s="25" t="s">
        <v>670</v>
      </c>
      <c r="BV109" s="25">
        <v>2020</v>
      </c>
      <c r="BW109" s="25" t="s">
        <v>163</v>
      </c>
      <c r="BY109" s="25">
        <v>4.0121202121098301E+18</v>
      </c>
      <c r="BZ109" s="25" t="s">
        <v>667</v>
      </c>
      <c r="CA109" s="25" t="s">
        <v>161</v>
      </c>
    </row>
    <row r="110" spans="1:79" hidden="1" x14ac:dyDescent="0.2">
      <c r="A110" s="25" t="s">
        <v>374</v>
      </c>
      <c r="B110" s="25" t="s">
        <v>287</v>
      </c>
      <c r="C110" s="25">
        <v>2020</v>
      </c>
      <c r="D110" s="25" t="s">
        <v>494</v>
      </c>
      <c r="E110" s="25">
        <v>2.0201214937640899E+17</v>
      </c>
      <c r="F110" s="25" t="s">
        <v>182</v>
      </c>
      <c r="G110" s="25" t="s">
        <v>669</v>
      </c>
      <c r="H110" s="25">
        <v>1482832</v>
      </c>
      <c r="J110" s="25" t="s">
        <v>180</v>
      </c>
      <c r="K110" s="25" t="s">
        <v>179</v>
      </c>
      <c r="N110" s="25" t="s">
        <v>298</v>
      </c>
      <c r="O110" s="25" t="s">
        <v>297</v>
      </c>
      <c r="Q110" s="25" t="s">
        <v>296</v>
      </c>
      <c r="R110" s="25" t="s">
        <v>295</v>
      </c>
      <c r="T110" s="25" t="s">
        <v>294</v>
      </c>
      <c r="V110" s="25" t="s">
        <v>654</v>
      </c>
      <c r="X110" s="25" t="s">
        <v>653</v>
      </c>
      <c r="Y110" s="25" t="s">
        <v>42</v>
      </c>
      <c r="Z110" s="25">
        <v>20002</v>
      </c>
      <c r="AA110" s="25" t="s">
        <v>652</v>
      </c>
      <c r="AB110" s="25" t="s">
        <v>651</v>
      </c>
      <c r="AF110" s="25" t="s">
        <v>377</v>
      </c>
      <c r="AI110" s="31">
        <v>44092</v>
      </c>
      <c r="AJ110" s="25">
        <v>1.92</v>
      </c>
      <c r="AK110" s="25">
        <v>1.92</v>
      </c>
      <c r="BF110" s="25" t="s">
        <v>363</v>
      </c>
      <c r="BK110" s="25" t="s">
        <v>50</v>
      </c>
      <c r="BL110" s="25" t="s">
        <v>167</v>
      </c>
      <c r="BM110" s="25" t="s">
        <v>166</v>
      </c>
      <c r="BN110" s="30">
        <v>44218.652527500002</v>
      </c>
      <c r="BR110" s="25" t="s">
        <v>165</v>
      </c>
      <c r="BS110" s="25">
        <v>4.1216202019742802E+18</v>
      </c>
      <c r="BT110" s="25" t="s">
        <v>164</v>
      </c>
      <c r="BU110" s="25" t="s">
        <v>668</v>
      </c>
      <c r="BV110" s="25">
        <v>2020</v>
      </c>
      <c r="BW110" s="25" t="s">
        <v>163</v>
      </c>
      <c r="BY110" s="25">
        <v>4.0121202121098301E+18</v>
      </c>
      <c r="BZ110" s="25" t="s">
        <v>667</v>
      </c>
      <c r="CA110" s="25" t="s">
        <v>161</v>
      </c>
    </row>
    <row r="111" spans="1:79" hidden="1" x14ac:dyDescent="0.2">
      <c r="A111" s="25" t="s">
        <v>374</v>
      </c>
      <c r="B111" s="25" t="s">
        <v>287</v>
      </c>
      <c r="C111" s="25">
        <v>2020</v>
      </c>
      <c r="D111" s="25" t="s">
        <v>494</v>
      </c>
      <c r="E111" s="25">
        <v>2.0201214937640899E+17</v>
      </c>
      <c r="F111" s="25" t="s">
        <v>182</v>
      </c>
      <c r="G111" s="25" t="s">
        <v>666</v>
      </c>
      <c r="H111" s="25">
        <v>1482832</v>
      </c>
      <c r="J111" s="25" t="s">
        <v>180</v>
      </c>
      <c r="K111" s="25" t="s">
        <v>179</v>
      </c>
      <c r="N111" s="25" t="s">
        <v>298</v>
      </c>
      <c r="O111" s="25" t="s">
        <v>297</v>
      </c>
      <c r="Q111" s="25" t="s">
        <v>296</v>
      </c>
      <c r="R111" s="25" t="s">
        <v>295</v>
      </c>
      <c r="T111" s="25" t="s">
        <v>294</v>
      </c>
      <c r="V111" s="25" t="s">
        <v>654</v>
      </c>
      <c r="X111" s="25" t="s">
        <v>653</v>
      </c>
      <c r="Y111" s="25" t="s">
        <v>42</v>
      </c>
      <c r="Z111" s="25">
        <v>20002</v>
      </c>
      <c r="AA111" s="25" t="s">
        <v>652</v>
      </c>
      <c r="AB111" s="25" t="s">
        <v>651</v>
      </c>
      <c r="AF111" s="25" t="s">
        <v>377</v>
      </c>
      <c r="AI111" s="31">
        <v>44092</v>
      </c>
      <c r="AJ111" s="25">
        <v>1.92</v>
      </c>
      <c r="AK111" s="25">
        <v>1.92</v>
      </c>
      <c r="BF111" s="25" t="s">
        <v>363</v>
      </c>
      <c r="BK111" s="25" t="s">
        <v>50</v>
      </c>
      <c r="BL111" s="25" t="s">
        <v>167</v>
      </c>
      <c r="BM111" s="25" t="s">
        <v>166</v>
      </c>
      <c r="BN111" s="30">
        <v>44218.652527500002</v>
      </c>
      <c r="BR111" s="25" t="s">
        <v>165</v>
      </c>
      <c r="BS111" s="25">
        <v>4.1216202019742802E+18</v>
      </c>
      <c r="BT111" s="25" t="s">
        <v>164</v>
      </c>
      <c r="BU111" s="25" t="s">
        <v>665</v>
      </c>
      <c r="BV111" s="25">
        <v>2020</v>
      </c>
      <c r="BW111" s="25" t="s">
        <v>163</v>
      </c>
      <c r="BY111" s="25">
        <v>4.0121202121098301E+18</v>
      </c>
      <c r="BZ111" s="25" t="s">
        <v>662</v>
      </c>
      <c r="CA111" s="25" t="s">
        <v>161</v>
      </c>
    </row>
    <row r="112" spans="1:79" hidden="1" x14ac:dyDescent="0.2">
      <c r="A112" s="25" t="s">
        <v>374</v>
      </c>
      <c r="B112" s="25" t="s">
        <v>287</v>
      </c>
      <c r="C112" s="25">
        <v>2020</v>
      </c>
      <c r="D112" s="25" t="s">
        <v>494</v>
      </c>
      <c r="E112" s="25">
        <v>2.0201214937640899E+17</v>
      </c>
      <c r="F112" s="25" t="s">
        <v>182</v>
      </c>
      <c r="G112" s="25" t="s">
        <v>664</v>
      </c>
      <c r="H112" s="25">
        <v>1482832</v>
      </c>
      <c r="J112" s="25" t="s">
        <v>180</v>
      </c>
      <c r="K112" s="25" t="s">
        <v>179</v>
      </c>
      <c r="N112" s="25" t="s">
        <v>298</v>
      </c>
      <c r="O112" s="25" t="s">
        <v>297</v>
      </c>
      <c r="Q112" s="25" t="s">
        <v>296</v>
      </c>
      <c r="R112" s="25" t="s">
        <v>295</v>
      </c>
      <c r="T112" s="25" t="s">
        <v>294</v>
      </c>
      <c r="V112" s="25" t="s">
        <v>654</v>
      </c>
      <c r="X112" s="25" t="s">
        <v>653</v>
      </c>
      <c r="Y112" s="25" t="s">
        <v>42</v>
      </c>
      <c r="Z112" s="25">
        <v>20002</v>
      </c>
      <c r="AA112" s="25" t="s">
        <v>652</v>
      </c>
      <c r="AB112" s="25" t="s">
        <v>651</v>
      </c>
      <c r="AF112" s="25" t="s">
        <v>377</v>
      </c>
      <c r="AI112" s="31">
        <v>44092</v>
      </c>
      <c r="AJ112" s="25">
        <v>1.92</v>
      </c>
      <c r="AK112" s="25">
        <v>1.92</v>
      </c>
      <c r="BF112" s="25" t="s">
        <v>363</v>
      </c>
      <c r="BK112" s="25" t="s">
        <v>50</v>
      </c>
      <c r="BL112" s="25" t="s">
        <v>167</v>
      </c>
      <c r="BM112" s="25" t="s">
        <v>166</v>
      </c>
      <c r="BN112" s="30">
        <v>44218.652527511571</v>
      </c>
      <c r="BR112" s="25" t="s">
        <v>165</v>
      </c>
      <c r="BS112" s="25">
        <v>4.1216202019742802E+18</v>
      </c>
      <c r="BT112" s="25" t="s">
        <v>164</v>
      </c>
      <c r="BU112" s="25" t="s">
        <v>663</v>
      </c>
      <c r="BV112" s="25">
        <v>2020</v>
      </c>
      <c r="BW112" s="25" t="s">
        <v>163</v>
      </c>
      <c r="BY112" s="25">
        <v>4.0121202121098301E+18</v>
      </c>
      <c r="BZ112" s="25" t="s">
        <v>662</v>
      </c>
      <c r="CA112" s="25" t="s">
        <v>161</v>
      </c>
    </row>
    <row r="113" spans="1:79" hidden="1" x14ac:dyDescent="0.2">
      <c r="A113" s="25" t="s">
        <v>374</v>
      </c>
      <c r="B113" s="25" t="s">
        <v>287</v>
      </c>
      <c r="C113" s="25">
        <v>2020</v>
      </c>
      <c r="D113" s="25" t="s">
        <v>494</v>
      </c>
      <c r="E113" s="25">
        <v>2.0201214937640899E+17</v>
      </c>
      <c r="F113" s="25" t="s">
        <v>182</v>
      </c>
      <c r="G113" s="25" t="s">
        <v>661</v>
      </c>
      <c r="H113" s="25">
        <v>1482832</v>
      </c>
      <c r="J113" s="25" t="s">
        <v>180</v>
      </c>
      <c r="K113" s="25" t="s">
        <v>179</v>
      </c>
      <c r="N113" s="25" t="s">
        <v>298</v>
      </c>
      <c r="O113" s="25" t="s">
        <v>297</v>
      </c>
      <c r="Q113" s="25" t="s">
        <v>296</v>
      </c>
      <c r="R113" s="25" t="s">
        <v>295</v>
      </c>
      <c r="T113" s="25" t="s">
        <v>294</v>
      </c>
      <c r="V113" s="25" t="s">
        <v>654</v>
      </c>
      <c r="X113" s="25" t="s">
        <v>653</v>
      </c>
      <c r="Y113" s="25" t="s">
        <v>42</v>
      </c>
      <c r="Z113" s="25">
        <v>20002</v>
      </c>
      <c r="AA113" s="25" t="s">
        <v>652</v>
      </c>
      <c r="AB113" s="25" t="s">
        <v>651</v>
      </c>
      <c r="AF113" s="25" t="s">
        <v>377</v>
      </c>
      <c r="AI113" s="31">
        <v>44092</v>
      </c>
      <c r="AJ113" s="25">
        <v>1.92</v>
      </c>
      <c r="AK113" s="25">
        <v>1.92</v>
      </c>
      <c r="BF113" s="25" t="s">
        <v>363</v>
      </c>
      <c r="BK113" s="25" t="s">
        <v>50</v>
      </c>
      <c r="BL113" s="25" t="s">
        <v>167</v>
      </c>
      <c r="BM113" s="25" t="s">
        <v>166</v>
      </c>
      <c r="BN113" s="30">
        <v>44218.652527511571</v>
      </c>
      <c r="BR113" s="25" t="s">
        <v>165</v>
      </c>
      <c r="BS113" s="25">
        <v>4.1216202019742802E+18</v>
      </c>
      <c r="BT113" s="25" t="s">
        <v>164</v>
      </c>
      <c r="BU113" s="25" t="s">
        <v>660</v>
      </c>
      <c r="BV113" s="25">
        <v>2020</v>
      </c>
      <c r="BW113" s="25" t="s">
        <v>163</v>
      </c>
      <c r="BY113" s="25">
        <v>4.0121202121098301E+18</v>
      </c>
      <c r="BZ113" s="25" t="s">
        <v>649</v>
      </c>
      <c r="CA113" s="25" t="s">
        <v>161</v>
      </c>
    </row>
    <row r="114" spans="1:79" hidden="1" x14ac:dyDescent="0.2">
      <c r="A114" s="25" t="s">
        <v>374</v>
      </c>
      <c r="B114" s="25" t="s">
        <v>287</v>
      </c>
      <c r="C114" s="25">
        <v>2020</v>
      </c>
      <c r="D114" s="25" t="s">
        <v>494</v>
      </c>
      <c r="E114" s="25">
        <v>2.0201214937640899E+17</v>
      </c>
      <c r="F114" s="25" t="s">
        <v>182</v>
      </c>
      <c r="G114" s="25" t="s">
        <v>659</v>
      </c>
      <c r="H114" s="25">
        <v>1482832</v>
      </c>
      <c r="J114" s="25" t="s">
        <v>180</v>
      </c>
      <c r="K114" s="25" t="s">
        <v>179</v>
      </c>
      <c r="N114" s="25" t="s">
        <v>298</v>
      </c>
      <c r="O114" s="25" t="s">
        <v>297</v>
      </c>
      <c r="Q114" s="25" t="s">
        <v>296</v>
      </c>
      <c r="R114" s="25" t="s">
        <v>295</v>
      </c>
      <c r="T114" s="25" t="s">
        <v>294</v>
      </c>
      <c r="V114" s="25" t="s">
        <v>654</v>
      </c>
      <c r="X114" s="25" t="s">
        <v>653</v>
      </c>
      <c r="Y114" s="25" t="s">
        <v>42</v>
      </c>
      <c r="Z114" s="25">
        <v>20002</v>
      </c>
      <c r="AA114" s="25" t="s">
        <v>652</v>
      </c>
      <c r="AB114" s="25" t="s">
        <v>651</v>
      </c>
      <c r="AF114" s="25" t="s">
        <v>377</v>
      </c>
      <c r="AI114" s="31">
        <v>44092</v>
      </c>
      <c r="AJ114" s="25">
        <v>1.92</v>
      </c>
      <c r="AK114" s="25">
        <v>1.92</v>
      </c>
      <c r="BF114" s="25" t="s">
        <v>363</v>
      </c>
      <c r="BK114" s="25" t="s">
        <v>50</v>
      </c>
      <c r="BL114" s="25" t="s">
        <v>167</v>
      </c>
      <c r="BM114" s="25" t="s">
        <v>166</v>
      </c>
      <c r="BN114" s="30">
        <v>44218.652527511571</v>
      </c>
      <c r="BR114" s="25" t="s">
        <v>165</v>
      </c>
      <c r="BS114" s="25">
        <v>4.1216202019742802E+18</v>
      </c>
      <c r="BT114" s="25" t="s">
        <v>164</v>
      </c>
      <c r="BU114" s="25" t="s">
        <v>658</v>
      </c>
      <c r="BV114" s="25">
        <v>2020</v>
      </c>
      <c r="BW114" s="25" t="s">
        <v>163</v>
      </c>
      <c r="BY114" s="25">
        <v>4.0121202121098301E+18</v>
      </c>
      <c r="BZ114" s="25" t="s">
        <v>649</v>
      </c>
      <c r="CA114" s="25" t="s">
        <v>161</v>
      </c>
    </row>
    <row r="115" spans="1:79" hidden="1" x14ac:dyDescent="0.2">
      <c r="A115" s="25" t="s">
        <v>374</v>
      </c>
      <c r="B115" s="25" t="s">
        <v>287</v>
      </c>
      <c r="C115" s="25">
        <v>2020</v>
      </c>
      <c r="D115" s="25" t="s">
        <v>494</v>
      </c>
      <c r="E115" s="25">
        <v>2.0201214937640899E+17</v>
      </c>
      <c r="F115" s="25" t="s">
        <v>182</v>
      </c>
      <c r="G115" s="25" t="s">
        <v>657</v>
      </c>
      <c r="H115" s="25">
        <v>1482832</v>
      </c>
      <c r="J115" s="25" t="s">
        <v>180</v>
      </c>
      <c r="K115" s="25" t="s">
        <v>179</v>
      </c>
      <c r="N115" s="25" t="s">
        <v>397</v>
      </c>
      <c r="O115" s="25" t="s">
        <v>297</v>
      </c>
      <c r="Q115" s="25" t="s">
        <v>296</v>
      </c>
      <c r="R115" s="25" t="s">
        <v>396</v>
      </c>
      <c r="T115" s="25" t="s">
        <v>294</v>
      </c>
      <c r="V115" s="25" t="s">
        <v>395</v>
      </c>
      <c r="X115" s="25" t="s">
        <v>394</v>
      </c>
      <c r="Y115" s="25" t="s">
        <v>31</v>
      </c>
      <c r="Z115" s="25">
        <v>98346</v>
      </c>
      <c r="AA115" s="25" t="s">
        <v>393</v>
      </c>
      <c r="AB115" s="25" t="s">
        <v>393</v>
      </c>
      <c r="AF115" s="25" t="s">
        <v>377</v>
      </c>
      <c r="AI115" s="31">
        <v>44094</v>
      </c>
      <c r="AJ115" s="25">
        <v>12.26</v>
      </c>
      <c r="AK115" s="25">
        <v>103.56</v>
      </c>
      <c r="BF115" s="25" t="s">
        <v>363</v>
      </c>
      <c r="BK115" s="25" t="s">
        <v>50</v>
      </c>
      <c r="BL115" s="25" t="s">
        <v>167</v>
      </c>
      <c r="BM115" s="25" t="s">
        <v>166</v>
      </c>
      <c r="BN115" s="30">
        <v>44218.682707395834</v>
      </c>
      <c r="BR115" s="25" t="s">
        <v>165</v>
      </c>
      <c r="BS115" s="25">
        <v>4.1216202019742802E+18</v>
      </c>
      <c r="BT115" s="25" t="s">
        <v>164</v>
      </c>
      <c r="BU115" s="25" t="s">
        <v>392</v>
      </c>
      <c r="BV115" s="25">
        <v>2020</v>
      </c>
      <c r="BW115" s="25" t="s">
        <v>163</v>
      </c>
      <c r="BY115" s="25">
        <v>4.0121202121167299E+18</v>
      </c>
      <c r="BZ115" s="25" t="s">
        <v>656</v>
      </c>
      <c r="CA115" s="25" t="s">
        <v>161</v>
      </c>
    </row>
    <row r="116" spans="1:79" hidden="1" x14ac:dyDescent="0.2">
      <c r="A116" s="25" t="s">
        <v>374</v>
      </c>
      <c r="B116" s="25" t="s">
        <v>287</v>
      </c>
      <c r="C116" s="25">
        <v>2020</v>
      </c>
      <c r="D116" s="25" t="s">
        <v>494</v>
      </c>
      <c r="E116" s="25">
        <v>2.0201214937640899E+17</v>
      </c>
      <c r="F116" s="25" t="s">
        <v>182</v>
      </c>
      <c r="G116" s="25" t="s">
        <v>655</v>
      </c>
      <c r="H116" s="25">
        <v>1482832</v>
      </c>
      <c r="J116" s="25" t="s">
        <v>180</v>
      </c>
      <c r="K116" s="25" t="s">
        <v>179</v>
      </c>
      <c r="N116" s="25" t="s">
        <v>298</v>
      </c>
      <c r="O116" s="25" t="s">
        <v>297</v>
      </c>
      <c r="Q116" s="25" t="s">
        <v>296</v>
      </c>
      <c r="R116" s="25" t="s">
        <v>295</v>
      </c>
      <c r="T116" s="25" t="s">
        <v>294</v>
      </c>
      <c r="V116" s="25" t="s">
        <v>654</v>
      </c>
      <c r="X116" s="25" t="s">
        <v>653</v>
      </c>
      <c r="Y116" s="25" t="s">
        <v>42</v>
      </c>
      <c r="Z116" s="25">
        <v>20002</v>
      </c>
      <c r="AA116" s="25" t="s">
        <v>652</v>
      </c>
      <c r="AB116" s="25" t="s">
        <v>651</v>
      </c>
      <c r="AF116" s="25" t="s">
        <v>377</v>
      </c>
      <c r="AI116" s="31">
        <v>44095</v>
      </c>
      <c r="AJ116" s="25">
        <v>35</v>
      </c>
      <c r="AK116" s="25">
        <v>35</v>
      </c>
      <c r="BF116" s="25" t="s">
        <v>363</v>
      </c>
      <c r="BK116" s="25" t="s">
        <v>50</v>
      </c>
      <c r="BL116" s="25" t="s">
        <v>167</v>
      </c>
      <c r="BM116" s="25" t="s">
        <v>166</v>
      </c>
      <c r="BN116" s="30">
        <v>44218.684109224538</v>
      </c>
      <c r="BR116" s="25" t="s">
        <v>165</v>
      </c>
      <c r="BS116" s="25">
        <v>4.1216202019742802E+18</v>
      </c>
      <c r="BT116" s="25" t="s">
        <v>164</v>
      </c>
      <c r="BU116" s="25" t="s">
        <v>650</v>
      </c>
      <c r="BV116" s="25">
        <v>2020</v>
      </c>
      <c r="BW116" s="25" t="s">
        <v>163</v>
      </c>
      <c r="BY116" s="25">
        <v>4.0121202121205499E+18</v>
      </c>
      <c r="BZ116" s="25" t="s">
        <v>649</v>
      </c>
      <c r="CA116" s="25" t="s">
        <v>161</v>
      </c>
    </row>
    <row r="117" spans="1:79" hidden="1" x14ac:dyDescent="0.2">
      <c r="A117" s="25" t="s">
        <v>374</v>
      </c>
      <c r="B117" s="25" t="s">
        <v>287</v>
      </c>
      <c r="C117" s="25">
        <v>2020</v>
      </c>
      <c r="D117" s="25" t="s">
        <v>451</v>
      </c>
      <c r="E117" s="25">
        <v>2.0200820926240099E+17</v>
      </c>
      <c r="F117" s="25" t="s">
        <v>182</v>
      </c>
      <c r="G117" s="25" t="s">
        <v>648</v>
      </c>
      <c r="H117" s="25">
        <v>1434463</v>
      </c>
      <c r="J117" s="25" t="s">
        <v>180</v>
      </c>
      <c r="K117" s="25" t="s">
        <v>179</v>
      </c>
      <c r="L117" s="25" t="s">
        <v>580</v>
      </c>
      <c r="N117" s="25" t="s">
        <v>371</v>
      </c>
      <c r="O117" s="25" t="s">
        <v>297</v>
      </c>
      <c r="Q117" s="25" t="s">
        <v>296</v>
      </c>
      <c r="R117" s="25" t="s">
        <v>370</v>
      </c>
      <c r="T117" s="25" t="s">
        <v>294</v>
      </c>
      <c r="V117" s="25" t="s">
        <v>369</v>
      </c>
      <c r="X117" s="25" t="s">
        <v>368</v>
      </c>
      <c r="Y117" s="25" t="s">
        <v>367</v>
      </c>
      <c r="Z117" s="25">
        <v>81004</v>
      </c>
      <c r="AA117" s="25" t="s">
        <v>366</v>
      </c>
      <c r="AB117" s="25" t="s">
        <v>365</v>
      </c>
      <c r="AC117" s="25" t="s">
        <v>580</v>
      </c>
      <c r="AD117" s="25" t="s">
        <v>383</v>
      </c>
      <c r="AE117" s="25" t="s">
        <v>382</v>
      </c>
      <c r="AF117" s="25" t="s">
        <v>377</v>
      </c>
      <c r="AI117" s="31">
        <v>44024</v>
      </c>
      <c r="AJ117" s="25">
        <v>100</v>
      </c>
      <c r="AK117" s="25">
        <v>800</v>
      </c>
      <c r="AL117" s="25" t="s">
        <v>625</v>
      </c>
      <c r="BG117" s="25" t="s">
        <v>28</v>
      </c>
      <c r="BI117" s="25" t="s">
        <v>168</v>
      </c>
      <c r="BK117" s="25" t="s">
        <v>50</v>
      </c>
      <c r="BL117" s="25" t="s">
        <v>167</v>
      </c>
      <c r="BM117" s="25" t="s">
        <v>166</v>
      </c>
      <c r="BN117" s="30">
        <v>44090.265105613427</v>
      </c>
      <c r="BR117" s="25" t="s">
        <v>165</v>
      </c>
      <c r="BS117" s="25">
        <v>4.0822202018295301E+18</v>
      </c>
      <c r="BT117" s="25" t="s">
        <v>164</v>
      </c>
      <c r="BU117" s="25" t="s">
        <v>386</v>
      </c>
      <c r="BV117" s="25">
        <v>2020</v>
      </c>
      <c r="BW117" s="25" t="s">
        <v>163</v>
      </c>
      <c r="BY117" s="25">
        <v>4.0915202018389801E+18</v>
      </c>
      <c r="BZ117" s="25" t="s">
        <v>647</v>
      </c>
      <c r="CA117" s="25" t="s">
        <v>161</v>
      </c>
    </row>
    <row r="118" spans="1:79" hidden="1" x14ac:dyDescent="0.2">
      <c r="A118" s="25" t="s">
        <v>374</v>
      </c>
      <c r="B118" s="25" t="s">
        <v>287</v>
      </c>
      <c r="C118" s="25">
        <v>2020</v>
      </c>
      <c r="D118" s="25" t="s">
        <v>451</v>
      </c>
      <c r="E118" s="25">
        <v>2.0200820926240099E+17</v>
      </c>
      <c r="F118" s="25" t="s">
        <v>182</v>
      </c>
      <c r="G118" s="25" t="s">
        <v>646</v>
      </c>
      <c r="H118" s="25">
        <v>1434463</v>
      </c>
      <c r="J118" s="25" t="s">
        <v>180</v>
      </c>
      <c r="K118" s="25" t="s">
        <v>179</v>
      </c>
      <c r="N118" s="25" t="s">
        <v>397</v>
      </c>
      <c r="O118" s="25" t="s">
        <v>297</v>
      </c>
      <c r="Q118" s="25" t="s">
        <v>296</v>
      </c>
      <c r="R118" s="25" t="s">
        <v>396</v>
      </c>
      <c r="T118" s="25" t="s">
        <v>294</v>
      </c>
      <c r="V118" s="25" t="s">
        <v>395</v>
      </c>
      <c r="X118" s="25" t="s">
        <v>394</v>
      </c>
      <c r="Y118" s="25" t="s">
        <v>31</v>
      </c>
      <c r="Z118" s="25">
        <v>98346</v>
      </c>
      <c r="AA118" s="25" t="s">
        <v>393</v>
      </c>
      <c r="AB118" s="25" t="s">
        <v>393</v>
      </c>
      <c r="AF118" s="25" t="s">
        <v>377</v>
      </c>
      <c r="AI118" s="31">
        <v>44032</v>
      </c>
      <c r="AJ118" s="25">
        <v>12.26</v>
      </c>
      <c r="AK118" s="25">
        <v>79.040000000000006</v>
      </c>
      <c r="BK118" s="25" t="s">
        <v>50</v>
      </c>
      <c r="BL118" s="25" t="s">
        <v>167</v>
      </c>
      <c r="BM118" s="25" t="s">
        <v>166</v>
      </c>
      <c r="BN118" s="30">
        <v>44090.268269641201</v>
      </c>
      <c r="BR118" s="25" t="s">
        <v>165</v>
      </c>
      <c r="BS118" s="25">
        <v>4.0822202018295301E+18</v>
      </c>
      <c r="BT118" s="25" t="s">
        <v>164</v>
      </c>
      <c r="BU118" s="25" t="s">
        <v>392</v>
      </c>
      <c r="BV118" s="25">
        <v>2020</v>
      </c>
      <c r="BW118" s="25" t="s">
        <v>163</v>
      </c>
      <c r="BY118" s="25">
        <v>4.0915202018389801E+18</v>
      </c>
      <c r="BZ118" s="25" t="s">
        <v>645</v>
      </c>
      <c r="CA118" s="25" t="s">
        <v>161</v>
      </c>
    </row>
    <row r="119" spans="1:79" hidden="1" x14ac:dyDescent="0.2">
      <c r="A119" s="25" t="s">
        <v>346</v>
      </c>
      <c r="B119" s="25" t="s">
        <v>281</v>
      </c>
      <c r="C119" s="25">
        <v>2020</v>
      </c>
      <c r="D119" s="25" t="s">
        <v>644</v>
      </c>
      <c r="E119" s="25">
        <v>2.0200727926083101E+17</v>
      </c>
      <c r="F119" s="25" t="s">
        <v>450</v>
      </c>
      <c r="G119" s="25" t="s">
        <v>643</v>
      </c>
      <c r="H119" s="25">
        <v>1428849</v>
      </c>
      <c r="J119" s="25" t="s">
        <v>180</v>
      </c>
      <c r="K119" s="25" t="s">
        <v>179</v>
      </c>
      <c r="N119" s="25" t="s">
        <v>339</v>
      </c>
      <c r="O119" s="25" t="s">
        <v>28</v>
      </c>
      <c r="Q119" s="25" t="s">
        <v>28</v>
      </c>
      <c r="R119" s="25" t="s">
        <v>307</v>
      </c>
      <c r="T119" s="25" t="s">
        <v>294</v>
      </c>
      <c r="V119" s="25" t="s">
        <v>338</v>
      </c>
      <c r="X119" s="25" t="s">
        <v>337</v>
      </c>
      <c r="Y119" s="25" t="s">
        <v>172</v>
      </c>
      <c r="Z119" s="25">
        <v>92660</v>
      </c>
      <c r="AA119" s="25" t="s">
        <v>290</v>
      </c>
      <c r="AB119" s="25" t="s">
        <v>290</v>
      </c>
      <c r="AI119" s="31">
        <v>43928</v>
      </c>
      <c r="AJ119" s="25">
        <v>25</v>
      </c>
      <c r="AK119" s="25">
        <v>25</v>
      </c>
      <c r="BG119" s="25" t="s">
        <v>446</v>
      </c>
      <c r="BI119" s="25" t="s">
        <v>168</v>
      </c>
      <c r="BJ119" s="25">
        <v>2020</v>
      </c>
      <c r="BK119" s="25" t="s">
        <v>50</v>
      </c>
      <c r="BL119" s="25" t="s">
        <v>167</v>
      </c>
      <c r="BM119" s="25" t="s">
        <v>166</v>
      </c>
      <c r="BN119" s="30">
        <v>44042.153176874999</v>
      </c>
      <c r="BR119" s="25" t="s">
        <v>445</v>
      </c>
      <c r="BS119" s="25">
        <v>4.0729202018088402E+18</v>
      </c>
      <c r="BT119" s="25" t="s">
        <v>164</v>
      </c>
      <c r="BV119" s="25">
        <v>2020</v>
      </c>
      <c r="BW119" s="25" t="s">
        <v>163</v>
      </c>
      <c r="BY119" s="25">
        <v>4.07302020180909E+18</v>
      </c>
      <c r="BZ119" s="25" t="s">
        <v>642</v>
      </c>
      <c r="CA119" s="25" t="s">
        <v>161</v>
      </c>
    </row>
    <row r="120" spans="1:79" hidden="1" x14ac:dyDescent="0.2">
      <c r="A120" s="25" t="s">
        <v>374</v>
      </c>
      <c r="B120" s="25" t="s">
        <v>287</v>
      </c>
      <c r="C120" s="25">
        <v>2020</v>
      </c>
      <c r="D120" s="25" t="s">
        <v>553</v>
      </c>
      <c r="E120" s="25">
        <v>2.0200720925598598E+17</v>
      </c>
      <c r="F120" s="25" t="s">
        <v>182</v>
      </c>
      <c r="G120" s="25" t="s">
        <v>641</v>
      </c>
      <c r="H120" s="25">
        <v>1427110</v>
      </c>
      <c r="J120" s="25" t="s">
        <v>180</v>
      </c>
      <c r="K120" s="25" t="s">
        <v>179</v>
      </c>
      <c r="N120" s="25" t="s">
        <v>371</v>
      </c>
      <c r="O120" s="25" t="s">
        <v>297</v>
      </c>
      <c r="Q120" s="25" t="s">
        <v>296</v>
      </c>
      <c r="R120" s="25" t="s">
        <v>370</v>
      </c>
      <c r="T120" s="25" t="s">
        <v>294</v>
      </c>
      <c r="V120" s="25" t="s">
        <v>369</v>
      </c>
      <c r="X120" s="25" t="s">
        <v>368</v>
      </c>
      <c r="Y120" s="25" t="s">
        <v>367</v>
      </c>
      <c r="Z120" s="25">
        <v>81004</v>
      </c>
      <c r="AA120" s="25" t="s">
        <v>366</v>
      </c>
      <c r="AB120" s="25" t="s">
        <v>365</v>
      </c>
      <c r="AF120" s="25" t="s">
        <v>364</v>
      </c>
      <c r="AI120" s="31">
        <v>44005</v>
      </c>
      <c r="AJ120" s="25">
        <v>3</v>
      </c>
      <c r="AK120" s="25">
        <v>48</v>
      </c>
      <c r="BK120" s="25" t="s">
        <v>50</v>
      </c>
      <c r="BL120" s="25" t="s">
        <v>167</v>
      </c>
      <c r="BM120" s="25" t="s">
        <v>166</v>
      </c>
      <c r="BN120" s="30">
        <v>44054.295580150465</v>
      </c>
      <c r="BR120" s="25" t="s">
        <v>165</v>
      </c>
      <c r="BS120" s="25">
        <v>4.0721202017922499E+18</v>
      </c>
      <c r="BT120" s="25" t="s">
        <v>164</v>
      </c>
      <c r="BU120" s="25" t="s">
        <v>362</v>
      </c>
      <c r="BV120" s="25">
        <v>2020</v>
      </c>
      <c r="BW120" s="25" t="s">
        <v>163</v>
      </c>
      <c r="BY120" s="25">
        <v>4.08102020181664E+18</v>
      </c>
      <c r="BZ120" s="25" t="s">
        <v>624</v>
      </c>
      <c r="CA120" s="25" t="s">
        <v>161</v>
      </c>
    </row>
    <row r="121" spans="1:79" hidden="1" x14ac:dyDescent="0.2">
      <c r="A121" s="25" t="s">
        <v>374</v>
      </c>
      <c r="B121" s="25" t="s">
        <v>287</v>
      </c>
      <c r="C121" s="25">
        <v>2020</v>
      </c>
      <c r="D121" s="25" t="s">
        <v>553</v>
      </c>
      <c r="E121" s="25">
        <v>2.0200720925598598E+17</v>
      </c>
      <c r="F121" s="25" t="s">
        <v>182</v>
      </c>
      <c r="G121" s="25" t="s">
        <v>640</v>
      </c>
      <c r="H121" s="25">
        <v>1427110</v>
      </c>
      <c r="J121" s="25" t="s">
        <v>180</v>
      </c>
      <c r="K121" s="25" t="s">
        <v>179</v>
      </c>
      <c r="N121" s="25" t="s">
        <v>371</v>
      </c>
      <c r="O121" s="25" t="s">
        <v>297</v>
      </c>
      <c r="Q121" s="25" t="s">
        <v>296</v>
      </c>
      <c r="R121" s="25" t="s">
        <v>370</v>
      </c>
      <c r="T121" s="25" t="s">
        <v>294</v>
      </c>
      <c r="V121" s="25" t="s">
        <v>369</v>
      </c>
      <c r="X121" s="25" t="s">
        <v>368</v>
      </c>
      <c r="Y121" s="25" t="s">
        <v>367</v>
      </c>
      <c r="Z121" s="25">
        <v>81004</v>
      </c>
      <c r="AA121" s="25" t="s">
        <v>366</v>
      </c>
      <c r="AB121" s="25" t="s">
        <v>365</v>
      </c>
      <c r="AF121" s="25" t="s">
        <v>364</v>
      </c>
      <c r="AI121" s="31">
        <v>43989</v>
      </c>
      <c r="AJ121" s="25">
        <v>5</v>
      </c>
      <c r="AK121" s="25">
        <v>48</v>
      </c>
      <c r="BK121" s="25" t="s">
        <v>50</v>
      </c>
      <c r="BL121" s="25" t="s">
        <v>167</v>
      </c>
      <c r="BM121" s="25" t="s">
        <v>166</v>
      </c>
      <c r="BN121" s="30">
        <v>44054.308094398148</v>
      </c>
      <c r="BR121" s="25" t="s">
        <v>165</v>
      </c>
      <c r="BS121" s="25">
        <v>4.0721202017922499E+18</v>
      </c>
      <c r="BT121" s="25" t="s">
        <v>164</v>
      </c>
      <c r="BU121" s="25" t="s">
        <v>362</v>
      </c>
      <c r="BV121" s="25">
        <v>2020</v>
      </c>
      <c r="BW121" s="25" t="s">
        <v>163</v>
      </c>
      <c r="BY121" s="25">
        <v>4.08102020181664E+18</v>
      </c>
      <c r="BZ121" s="25" t="s">
        <v>636</v>
      </c>
      <c r="CA121" s="25" t="s">
        <v>161</v>
      </c>
    </row>
    <row r="122" spans="1:79" hidden="1" x14ac:dyDescent="0.2">
      <c r="A122" s="25" t="s">
        <v>374</v>
      </c>
      <c r="B122" s="25" t="s">
        <v>287</v>
      </c>
      <c r="C122" s="25">
        <v>2020</v>
      </c>
      <c r="D122" s="25" t="s">
        <v>553</v>
      </c>
      <c r="E122" s="25">
        <v>2.0200720925598598E+17</v>
      </c>
      <c r="F122" s="25" t="s">
        <v>182</v>
      </c>
      <c r="G122" s="25" t="s">
        <v>639</v>
      </c>
      <c r="H122" s="25">
        <v>1427110</v>
      </c>
      <c r="J122" s="25" t="s">
        <v>180</v>
      </c>
      <c r="K122" s="25" t="s">
        <v>179</v>
      </c>
      <c r="L122" s="25" t="s">
        <v>580</v>
      </c>
      <c r="N122" s="25" t="s">
        <v>371</v>
      </c>
      <c r="O122" s="25" t="s">
        <v>297</v>
      </c>
      <c r="Q122" s="25" t="s">
        <v>296</v>
      </c>
      <c r="R122" s="25" t="s">
        <v>370</v>
      </c>
      <c r="T122" s="25" t="s">
        <v>294</v>
      </c>
      <c r="V122" s="25" t="s">
        <v>369</v>
      </c>
      <c r="X122" s="25" t="s">
        <v>368</v>
      </c>
      <c r="Y122" s="25" t="s">
        <v>367</v>
      </c>
      <c r="Z122" s="25">
        <v>81004</v>
      </c>
      <c r="AA122" s="25" t="s">
        <v>366</v>
      </c>
      <c r="AB122" s="25" t="s">
        <v>365</v>
      </c>
      <c r="AC122" s="25" t="s">
        <v>580</v>
      </c>
      <c r="AD122" s="25" t="s">
        <v>383</v>
      </c>
      <c r="AE122" s="25" t="s">
        <v>382</v>
      </c>
      <c r="AF122" s="25" t="s">
        <v>377</v>
      </c>
      <c r="AI122" s="31">
        <v>43989</v>
      </c>
      <c r="AJ122" s="25">
        <v>50</v>
      </c>
      <c r="AK122" s="25">
        <v>700</v>
      </c>
      <c r="AL122" s="25" t="s">
        <v>625</v>
      </c>
      <c r="BG122" s="25" t="s">
        <v>28</v>
      </c>
      <c r="BI122" s="25" t="s">
        <v>168</v>
      </c>
      <c r="BK122" s="25" t="s">
        <v>50</v>
      </c>
      <c r="BL122" s="25" t="s">
        <v>167</v>
      </c>
      <c r="BM122" s="25" t="s">
        <v>166</v>
      </c>
      <c r="BN122" s="30">
        <v>44054.308094398148</v>
      </c>
      <c r="BR122" s="25" t="s">
        <v>165</v>
      </c>
      <c r="BS122" s="25">
        <v>4.0721202017922499E+18</v>
      </c>
      <c r="BT122" s="25" t="s">
        <v>164</v>
      </c>
      <c r="BU122" s="25" t="s">
        <v>386</v>
      </c>
      <c r="BV122" s="25">
        <v>2020</v>
      </c>
      <c r="BW122" s="25" t="s">
        <v>163</v>
      </c>
      <c r="BY122" s="25">
        <v>4.08102020181664E+18</v>
      </c>
      <c r="BZ122" s="25" t="s">
        <v>636</v>
      </c>
      <c r="CA122" s="25" t="s">
        <v>161</v>
      </c>
    </row>
    <row r="123" spans="1:79" hidden="1" x14ac:dyDescent="0.2">
      <c r="A123" s="25" t="s">
        <v>374</v>
      </c>
      <c r="B123" s="25" t="s">
        <v>287</v>
      </c>
      <c r="C123" s="25">
        <v>2020</v>
      </c>
      <c r="D123" s="25" t="s">
        <v>553</v>
      </c>
      <c r="E123" s="25">
        <v>2.0200720925598598E+17</v>
      </c>
      <c r="F123" s="25" t="s">
        <v>182</v>
      </c>
      <c r="G123" s="25" t="s">
        <v>638</v>
      </c>
      <c r="H123" s="25">
        <v>1427110</v>
      </c>
      <c r="J123" s="25" t="s">
        <v>180</v>
      </c>
      <c r="K123" s="25" t="s">
        <v>179</v>
      </c>
      <c r="N123" s="25" t="s">
        <v>371</v>
      </c>
      <c r="O123" s="25" t="s">
        <v>297</v>
      </c>
      <c r="Q123" s="25" t="s">
        <v>296</v>
      </c>
      <c r="R123" s="25" t="s">
        <v>370</v>
      </c>
      <c r="T123" s="25" t="s">
        <v>294</v>
      </c>
      <c r="V123" s="25" t="s">
        <v>369</v>
      </c>
      <c r="X123" s="25" t="s">
        <v>368</v>
      </c>
      <c r="Y123" s="25" t="s">
        <v>367</v>
      </c>
      <c r="Z123" s="25">
        <v>81004</v>
      </c>
      <c r="AA123" s="25" t="s">
        <v>366</v>
      </c>
      <c r="AB123" s="25" t="s">
        <v>365</v>
      </c>
      <c r="AF123" s="25" t="s">
        <v>364</v>
      </c>
      <c r="AI123" s="31">
        <v>43999</v>
      </c>
      <c r="AJ123" s="25">
        <v>3</v>
      </c>
      <c r="AK123" s="25">
        <v>48</v>
      </c>
      <c r="BK123" s="25" t="s">
        <v>50</v>
      </c>
      <c r="BL123" s="25" t="s">
        <v>167</v>
      </c>
      <c r="BM123" s="25" t="s">
        <v>166</v>
      </c>
      <c r="BN123" s="30">
        <v>44054.308094398148</v>
      </c>
      <c r="BR123" s="25" t="s">
        <v>165</v>
      </c>
      <c r="BS123" s="25">
        <v>4.0721202017922499E+18</v>
      </c>
      <c r="BT123" s="25" t="s">
        <v>164</v>
      </c>
      <c r="BU123" s="25" t="s">
        <v>362</v>
      </c>
      <c r="BV123" s="25">
        <v>2020</v>
      </c>
      <c r="BW123" s="25" t="s">
        <v>163</v>
      </c>
      <c r="BY123" s="25">
        <v>4.08102020181664E+18</v>
      </c>
      <c r="BZ123" s="25" t="s">
        <v>627</v>
      </c>
      <c r="CA123" s="25" t="s">
        <v>161</v>
      </c>
    </row>
    <row r="124" spans="1:79" hidden="1" x14ac:dyDescent="0.2">
      <c r="A124" s="25" t="s">
        <v>374</v>
      </c>
      <c r="B124" s="25" t="s">
        <v>287</v>
      </c>
      <c r="C124" s="25">
        <v>2020</v>
      </c>
      <c r="D124" s="25" t="s">
        <v>553</v>
      </c>
      <c r="E124" s="25">
        <v>2.0200720925598598E+17</v>
      </c>
      <c r="F124" s="25" t="s">
        <v>182</v>
      </c>
      <c r="G124" s="25" t="s">
        <v>637</v>
      </c>
      <c r="H124" s="25">
        <v>1427110</v>
      </c>
      <c r="J124" s="25" t="s">
        <v>180</v>
      </c>
      <c r="K124" s="25" t="s">
        <v>179</v>
      </c>
      <c r="L124" s="25" t="s">
        <v>580</v>
      </c>
      <c r="N124" s="25" t="s">
        <v>371</v>
      </c>
      <c r="O124" s="25" t="s">
        <v>297</v>
      </c>
      <c r="Q124" s="25" t="s">
        <v>296</v>
      </c>
      <c r="R124" s="25" t="s">
        <v>370</v>
      </c>
      <c r="T124" s="25" t="s">
        <v>294</v>
      </c>
      <c r="V124" s="25" t="s">
        <v>369</v>
      </c>
      <c r="X124" s="25" t="s">
        <v>368</v>
      </c>
      <c r="Y124" s="25" t="s">
        <v>367</v>
      </c>
      <c r="Z124" s="25">
        <v>81004</v>
      </c>
      <c r="AA124" s="25" t="s">
        <v>366</v>
      </c>
      <c r="AB124" s="25" t="s">
        <v>365</v>
      </c>
      <c r="AC124" s="25" t="s">
        <v>580</v>
      </c>
      <c r="AD124" s="25" t="s">
        <v>383</v>
      </c>
      <c r="AE124" s="25" t="s">
        <v>382</v>
      </c>
      <c r="AF124" s="25" t="s">
        <v>377</v>
      </c>
      <c r="AI124" s="31">
        <v>43996</v>
      </c>
      <c r="AJ124" s="25">
        <v>50</v>
      </c>
      <c r="AK124" s="25">
        <v>700</v>
      </c>
      <c r="AL124" s="25" t="s">
        <v>625</v>
      </c>
      <c r="BG124" s="25" t="s">
        <v>28</v>
      </c>
      <c r="BI124" s="25" t="s">
        <v>168</v>
      </c>
      <c r="BK124" s="25" t="s">
        <v>50</v>
      </c>
      <c r="BL124" s="25" t="s">
        <v>167</v>
      </c>
      <c r="BM124" s="25" t="s">
        <v>166</v>
      </c>
      <c r="BN124" s="30">
        <v>44054.311352476849</v>
      </c>
      <c r="BR124" s="25" t="s">
        <v>165</v>
      </c>
      <c r="BS124" s="25">
        <v>4.0721202017922499E+18</v>
      </c>
      <c r="BT124" s="25" t="s">
        <v>164</v>
      </c>
      <c r="BU124" s="25" t="s">
        <v>386</v>
      </c>
      <c r="BV124" s="25">
        <v>2020</v>
      </c>
      <c r="BW124" s="25" t="s">
        <v>163</v>
      </c>
      <c r="BY124" s="25">
        <v>4.08102020181664E+18</v>
      </c>
      <c r="BZ124" s="25" t="s">
        <v>636</v>
      </c>
      <c r="CA124" s="25" t="s">
        <v>161</v>
      </c>
    </row>
    <row r="125" spans="1:79" hidden="1" x14ac:dyDescent="0.2">
      <c r="A125" s="25" t="s">
        <v>374</v>
      </c>
      <c r="B125" s="25" t="s">
        <v>287</v>
      </c>
      <c r="C125" s="25">
        <v>2020</v>
      </c>
      <c r="D125" s="25" t="s">
        <v>553</v>
      </c>
      <c r="E125" s="25">
        <v>2.0200720925598598E+17</v>
      </c>
      <c r="F125" s="25" t="s">
        <v>182</v>
      </c>
      <c r="G125" s="25" t="s">
        <v>635</v>
      </c>
      <c r="H125" s="25">
        <v>1427110</v>
      </c>
      <c r="J125" s="25" t="s">
        <v>180</v>
      </c>
      <c r="K125" s="25" t="s">
        <v>179</v>
      </c>
      <c r="N125" s="25" t="s">
        <v>339</v>
      </c>
      <c r="O125" s="25" t="s">
        <v>297</v>
      </c>
      <c r="Q125" s="25" t="s">
        <v>296</v>
      </c>
      <c r="R125" s="25" t="s">
        <v>307</v>
      </c>
      <c r="T125" s="25" t="s">
        <v>294</v>
      </c>
      <c r="V125" s="25" t="s">
        <v>634</v>
      </c>
      <c r="X125" s="25" t="s">
        <v>633</v>
      </c>
      <c r="Y125" s="25" t="s">
        <v>52</v>
      </c>
      <c r="Z125" s="25">
        <v>12095</v>
      </c>
      <c r="AA125" s="25" t="s">
        <v>632</v>
      </c>
      <c r="AB125" s="25" t="s">
        <v>631</v>
      </c>
      <c r="AF125" s="25" t="s">
        <v>377</v>
      </c>
      <c r="AI125" s="31">
        <v>43996</v>
      </c>
      <c r="AJ125" s="25">
        <v>100</v>
      </c>
      <c r="AK125" s="25">
        <v>100</v>
      </c>
      <c r="BK125" s="25" t="s">
        <v>50</v>
      </c>
      <c r="BL125" s="25" t="s">
        <v>167</v>
      </c>
      <c r="BM125" s="25" t="s">
        <v>166</v>
      </c>
      <c r="BN125" s="30">
        <v>44054.311352476849</v>
      </c>
      <c r="BR125" s="25" t="s">
        <v>165</v>
      </c>
      <c r="BS125" s="25">
        <v>4.0721202017922499E+18</v>
      </c>
      <c r="BT125" s="25" t="s">
        <v>164</v>
      </c>
      <c r="BU125" s="25" t="s">
        <v>400</v>
      </c>
      <c r="BV125" s="25">
        <v>2020</v>
      </c>
      <c r="BW125" s="25" t="s">
        <v>163</v>
      </c>
      <c r="BY125" s="25">
        <v>4.08102020181664E+18</v>
      </c>
      <c r="BZ125" s="25" t="s">
        <v>630</v>
      </c>
      <c r="CA125" s="25" t="s">
        <v>161</v>
      </c>
    </row>
    <row r="126" spans="1:79" hidden="1" x14ac:dyDescent="0.2">
      <c r="A126" s="25" t="s">
        <v>374</v>
      </c>
      <c r="B126" s="25" t="s">
        <v>287</v>
      </c>
      <c r="C126" s="25">
        <v>2020</v>
      </c>
      <c r="D126" s="25" t="s">
        <v>553</v>
      </c>
      <c r="E126" s="25">
        <v>2.0200720925598598E+17</v>
      </c>
      <c r="F126" s="25" t="s">
        <v>182</v>
      </c>
      <c r="G126" s="25" t="s">
        <v>629</v>
      </c>
      <c r="H126" s="25">
        <v>1427110</v>
      </c>
      <c r="J126" s="25" t="s">
        <v>180</v>
      </c>
      <c r="K126" s="25" t="s">
        <v>179</v>
      </c>
      <c r="N126" s="25" t="s">
        <v>371</v>
      </c>
      <c r="O126" s="25" t="s">
        <v>297</v>
      </c>
      <c r="Q126" s="25" t="s">
        <v>296</v>
      </c>
      <c r="R126" s="25" t="s">
        <v>370</v>
      </c>
      <c r="T126" s="25" t="s">
        <v>294</v>
      </c>
      <c r="V126" s="25" t="s">
        <v>369</v>
      </c>
      <c r="X126" s="25" t="s">
        <v>368</v>
      </c>
      <c r="Y126" s="25" t="s">
        <v>367</v>
      </c>
      <c r="Z126" s="25">
        <v>81004</v>
      </c>
      <c r="AA126" s="25" t="s">
        <v>366</v>
      </c>
      <c r="AB126" s="25" t="s">
        <v>365</v>
      </c>
      <c r="AF126" s="25" t="s">
        <v>364</v>
      </c>
      <c r="AI126" s="31">
        <v>44003</v>
      </c>
      <c r="AJ126" s="25">
        <v>5</v>
      </c>
      <c r="AK126" s="25">
        <v>48</v>
      </c>
      <c r="BK126" s="25" t="s">
        <v>50</v>
      </c>
      <c r="BL126" s="25" t="s">
        <v>167</v>
      </c>
      <c r="BM126" s="25" t="s">
        <v>166</v>
      </c>
      <c r="BN126" s="30">
        <v>44054.34099060185</v>
      </c>
      <c r="BR126" s="25" t="s">
        <v>165</v>
      </c>
      <c r="BS126" s="25">
        <v>4.0721202017922499E+18</v>
      </c>
      <c r="BT126" s="25" t="s">
        <v>164</v>
      </c>
      <c r="BU126" s="25" t="s">
        <v>362</v>
      </c>
      <c r="BV126" s="25">
        <v>2020</v>
      </c>
      <c r="BW126" s="25" t="s">
        <v>163</v>
      </c>
      <c r="BY126" s="25">
        <v>4.08102020181664E+18</v>
      </c>
      <c r="BZ126" s="25" t="s">
        <v>624</v>
      </c>
      <c r="CA126" s="25" t="s">
        <v>161</v>
      </c>
    </row>
    <row r="127" spans="1:79" hidden="1" x14ac:dyDescent="0.2">
      <c r="A127" s="25" t="s">
        <v>374</v>
      </c>
      <c r="B127" s="25" t="s">
        <v>287</v>
      </c>
      <c r="C127" s="25">
        <v>2020</v>
      </c>
      <c r="D127" s="25" t="s">
        <v>553</v>
      </c>
      <c r="E127" s="25">
        <v>2.0200720925598598E+17</v>
      </c>
      <c r="F127" s="25" t="s">
        <v>182</v>
      </c>
      <c r="G127" s="25" t="s">
        <v>628</v>
      </c>
      <c r="H127" s="25">
        <v>1427110</v>
      </c>
      <c r="J127" s="25" t="s">
        <v>180</v>
      </c>
      <c r="K127" s="25" t="s">
        <v>179</v>
      </c>
      <c r="N127" s="25" t="s">
        <v>371</v>
      </c>
      <c r="O127" s="25" t="s">
        <v>297</v>
      </c>
      <c r="Q127" s="25" t="s">
        <v>296</v>
      </c>
      <c r="R127" s="25" t="s">
        <v>370</v>
      </c>
      <c r="T127" s="25" t="s">
        <v>294</v>
      </c>
      <c r="V127" s="25" t="s">
        <v>369</v>
      </c>
      <c r="X127" s="25" t="s">
        <v>368</v>
      </c>
      <c r="Y127" s="25" t="s">
        <v>367</v>
      </c>
      <c r="Z127" s="25">
        <v>81004</v>
      </c>
      <c r="AA127" s="25" t="s">
        <v>366</v>
      </c>
      <c r="AB127" s="25" t="s">
        <v>365</v>
      </c>
      <c r="AF127" s="25" t="s">
        <v>364</v>
      </c>
      <c r="AI127" s="31">
        <v>43996</v>
      </c>
      <c r="AJ127" s="25">
        <v>5</v>
      </c>
      <c r="AK127" s="25">
        <v>48</v>
      </c>
      <c r="BK127" s="25" t="s">
        <v>50</v>
      </c>
      <c r="BL127" s="25" t="s">
        <v>167</v>
      </c>
      <c r="BM127" s="25" t="s">
        <v>166</v>
      </c>
      <c r="BN127" s="30">
        <v>44054.354650555557</v>
      </c>
      <c r="BR127" s="25" t="s">
        <v>165</v>
      </c>
      <c r="BS127" s="25">
        <v>4.0721202017922499E+18</v>
      </c>
      <c r="BT127" s="25" t="s">
        <v>164</v>
      </c>
      <c r="BU127" s="25" t="s">
        <v>362</v>
      </c>
      <c r="BV127" s="25">
        <v>2020</v>
      </c>
      <c r="BW127" s="25" t="s">
        <v>163</v>
      </c>
      <c r="BY127" s="25">
        <v>4.08102020181664E+18</v>
      </c>
      <c r="BZ127" s="25" t="s">
        <v>627</v>
      </c>
      <c r="CA127" s="25" t="s">
        <v>161</v>
      </c>
    </row>
    <row r="128" spans="1:79" hidden="1" x14ac:dyDescent="0.2">
      <c r="A128" s="25" t="s">
        <v>374</v>
      </c>
      <c r="B128" s="25" t="s">
        <v>287</v>
      </c>
      <c r="C128" s="25">
        <v>2020</v>
      </c>
      <c r="D128" s="25" t="s">
        <v>553</v>
      </c>
      <c r="E128" s="25">
        <v>2.0200720925598598E+17</v>
      </c>
      <c r="F128" s="25" t="s">
        <v>182</v>
      </c>
      <c r="G128" s="25" t="s">
        <v>626</v>
      </c>
      <c r="H128" s="25">
        <v>1427110</v>
      </c>
      <c r="J128" s="25" t="s">
        <v>180</v>
      </c>
      <c r="K128" s="25" t="s">
        <v>179</v>
      </c>
      <c r="L128" s="25" t="s">
        <v>580</v>
      </c>
      <c r="N128" s="25" t="s">
        <v>371</v>
      </c>
      <c r="O128" s="25" t="s">
        <v>297</v>
      </c>
      <c r="Q128" s="25" t="s">
        <v>296</v>
      </c>
      <c r="R128" s="25" t="s">
        <v>370</v>
      </c>
      <c r="T128" s="25" t="s">
        <v>294</v>
      </c>
      <c r="V128" s="25" t="s">
        <v>369</v>
      </c>
      <c r="X128" s="25" t="s">
        <v>368</v>
      </c>
      <c r="Y128" s="25" t="s">
        <v>367</v>
      </c>
      <c r="Z128" s="25">
        <v>81004</v>
      </c>
      <c r="AA128" s="25" t="s">
        <v>366</v>
      </c>
      <c r="AB128" s="25" t="s">
        <v>365</v>
      </c>
      <c r="AC128" s="25" t="s">
        <v>580</v>
      </c>
      <c r="AD128" s="25" t="s">
        <v>383</v>
      </c>
      <c r="AE128" s="25" t="s">
        <v>382</v>
      </c>
      <c r="AF128" s="25" t="s">
        <v>377</v>
      </c>
      <c r="AI128" s="31">
        <v>44003</v>
      </c>
      <c r="AJ128" s="25">
        <v>50</v>
      </c>
      <c r="AK128" s="25">
        <v>700</v>
      </c>
      <c r="AL128" s="25" t="s">
        <v>625</v>
      </c>
      <c r="BG128" s="25" t="s">
        <v>28</v>
      </c>
      <c r="BI128" s="25" t="s">
        <v>168</v>
      </c>
      <c r="BK128" s="25" t="s">
        <v>50</v>
      </c>
      <c r="BL128" s="25" t="s">
        <v>167</v>
      </c>
      <c r="BM128" s="25" t="s">
        <v>166</v>
      </c>
      <c r="BN128" s="30">
        <v>44054.356714965281</v>
      </c>
      <c r="BR128" s="25" t="s">
        <v>165</v>
      </c>
      <c r="BS128" s="25">
        <v>4.0721202017922499E+18</v>
      </c>
      <c r="BT128" s="25" t="s">
        <v>164</v>
      </c>
      <c r="BU128" s="25" t="s">
        <v>386</v>
      </c>
      <c r="BV128" s="25">
        <v>2020</v>
      </c>
      <c r="BW128" s="25" t="s">
        <v>163</v>
      </c>
      <c r="BY128" s="25">
        <v>4.08102020181664E+18</v>
      </c>
      <c r="BZ128" s="25" t="s">
        <v>624</v>
      </c>
      <c r="CA128" s="25" t="s">
        <v>161</v>
      </c>
    </row>
    <row r="129" spans="1:79" hidden="1" x14ac:dyDescent="0.2">
      <c r="A129" s="25" t="s">
        <v>374</v>
      </c>
      <c r="B129" s="25" t="s">
        <v>287</v>
      </c>
      <c r="C129" s="25">
        <v>2020</v>
      </c>
      <c r="D129" s="25" t="s">
        <v>553</v>
      </c>
      <c r="E129" s="25">
        <v>2.0200720925598598E+17</v>
      </c>
      <c r="F129" s="25" t="s">
        <v>182</v>
      </c>
      <c r="G129" s="25" t="s">
        <v>623</v>
      </c>
      <c r="H129" s="25">
        <v>1427110</v>
      </c>
      <c r="J129" s="25" t="s">
        <v>180</v>
      </c>
      <c r="K129" s="25" t="s">
        <v>179</v>
      </c>
      <c r="N129" s="25" t="s">
        <v>397</v>
      </c>
      <c r="O129" s="25" t="s">
        <v>297</v>
      </c>
      <c r="Q129" s="25" t="s">
        <v>296</v>
      </c>
      <c r="R129" s="25" t="s">
        <v>396</v>
      </c>
      <c r="T129" s="25" t="s">
        <v>294</v>
      </c>
      <c r="V129" s="25" t="s">
        <v>395</v>
      </c>
      <c r="X129" s="25" t="s">
        <v>394</v>
      </c>
      <c r="Y129" s="25" t="s">
        <v>31</v>
      </c>
      <c r="Z129" s="25">
        <v>98346</v>
      </c>
      <c r="AA129" s="25" t="s">
        <v>393</v>
      </c>
      <c r="AB129" s="25" t="s">
        <v>393</v>
      </c>
      <c r="AF129" s="25" t="s">
        <v>377</v>
      </c>
      <c r="AI129" s="31">
        <v>44002</v>
      </c>
      <c r="AJ129" s="25">
        <v>12.26</v>
      </c>
      <c r="AK129" s="25">
        <v>66.78</v>
      </c>
      <c r="BK129" s="25" t="s">
        <v>50</v>
      </c>
      <c r="BL129" s="25" t="s">
        <v>167</v>
      </c>
      <c r="BM129" s="25" t="s">
        <v>166</v>
      </c>
      <c r="BN129" s="30">
        <v>44054.356715138892</v>
      </c>
      <c r="BR129" s="25" t="s">
        <v>165</v>
      </c>
      <c r="BS129" s="25">
        <v>4.0721202017922499E+18</v>
      </c>
      <c r="BT129" s="25" t="s">
        <v>164</v>
      </c>
      <c r="BU129" s="25" t="s">
        <v>392</v>
      </c>
      <c r="BV129" s="25">
        <v>2020</v>
      </c>
      <c r="BW129" s="25" t="s">
        <v>163</v>
      </c>
      <c r="BY129" s="25">
        <v>4.08102020181664E+18</v>
      </c>
      <c r="BZ129" s="25" t="s">
        <v>622</v>
      </c>
      <c r="CA129" s="25" t="s">
        <v>161</v>
      </c>
    </row>
    <row r="130" spans="1:79" hidden="1" x14ac:dyDescent="0.2">
      <c r="A130" s="25" t="s">
        <v>384</v>
      </c>
      <c r="B130" s="25" t="s">
        <v>285</v>
      </c>
      <c r="C130" s="25">
        <v>2020</v>
      </c>
      <c r="D130" s="25" t="s">
        <v>407</v>
      </c>
      <c r="E130" s="25">
        <v>2.02007159245084E+17</v>
      </c>
      <c r="F130" s="25" t="s">
        <v>182</v>
      </c>
      <c r="G130" s="25" t="s">
        <v>621</v>
      </c>
      <c r="H130" s="25">
        <v>1423838</v>
      </c>
      <c r="J130" s="25" t="s">
        <v>180</v>
      </c>
      <c r="K130" s="25" t="s">
        <v>179</v>
      </c>
      <c r="L130" s="25" t="s">
        <v>374</v>
      </c>
      <c r="N130" s="25" t="s">
        <v>516</v>
      </c>
      <c r="O130" s="25" t="s">
        <v>75</v>
      </c>
      <c r="Q130" s="25" t="s">
        <v>28</v>
      </c>
      <c r="R130" s="25" t="s">
        <v>295</v>
      </c>
      <c r="S130" s="25" t="s">
        <v>515</v>
      </c>
      <c r="T130" s="25" t="s">
        <v>294</v>
      </c>
      <c r="V130" s="25" t="s">
        <v>388</v>
      </c>
      <c r="X130" s="25" t="s">
        <v>368</v>
      </c>
      <c r="Y130" s="25" t="s">
        <v>367</v>
      </c>
      <c r="Z130" s="25">
        <v>810049787</v>
      </c>
      <c r="AA130" s="25" t="s">
        <v>620</v>
      </c>
      <c r="AB130" s="25" t="s">
        <v>365</v>
      </c>
      <c r="AC130" s="25" t="s">
        <v>374</v>
      </c>
      <c r="AD130" s="25" t="s">
        <v>345</v>
      </c>
      <c r="AE130" s="25" t="s">
        <v>344</v>
      </c>
      <c r="AI130" s="31">
        <v>43999</v>
      </c>
      <c r="AJ130" s="25">
        <v>250</v>
      </c>
      <c r="AK130" s="25">
        <v>250</v>
      </c>
      <c r="BG130" s="25" t="s">
        <v>446</v>
      </c>
      <c r="BI130" s="25" t="s">
        <v>168</v>
      </c>
      <c r="BJ130" s="25">
        <v>2020</v>
      </c>
      <c r="BK130" s="25" t="s">
        <v>50</v>
      </c>
      <c r="BL130" s="25" t="s">
        <v>167</v>
      </c>
      <c r="BM130" s="25" t="s">
        <v>166</v>
      </c>
      <c r="BN130" s="30">
        <v>44056.149580300924</v>
      </c>
      <c r="BP130" s="25" t="s">
        <v>619</v>
      </c>
      <c r="BQ130" s="25" t="s">
        <v>419</v>
      </c>
      <c r="BR130" s="25" t="s">
        <v>513</v>
      </c>
      <c r="BS130" s="25">
        <v>4.0715202017906002E+18</v>
      </c>
      <c r="BT130" s="25" t="s">
        <v>164</v>
      </c>
      <c r="BU130" s="25" t="s">
        <v>512</v>
      </c>
      <c r="BV130" s="25">
        <v>2020</v>
      </c>
      <c r="BW130" s="25" t="s">
        <v>163</v>
      </c>
      <c r="BY130" s="25">
        <v>4.0813202018281498E+18</v>
      </c>
      <c r="BZ130" s="25" t="s">
        <v>618</v>
      </c>
      <c r="CA130" s="25" t="s">
        <v>161</v>
      </c>
    </row>
    <row r="131" spans="1:79" hidden="1" x14ac:dyDescent="0.2">
      <c r="A131" s="25" t="s">
        <v>301</v>
      </c>
      <c r="B131" s="25" t="s">
        <v>277</v>
      </c>
      <c r="C131" s="25">
        <v>2020</v>
      </c>
      <c r="D131" s="25" t="s">
        <v>341</v>
      </c>
      <c r="E131" s="25">
        <v>2.0210125940735398E+17</v>
      </c>
      <c r="F131" s="25" t="s">
        <v>182</v>
      </c>
      <c r="G131" s="25" t="s">
        <v>617</v>
      </c>
      <c r="H131" s="25">
        <v>1490496</v>
      </c>
      <c r="J131" s="25" t="s">
        <v>180</v>
      </c>
      <c r="K131" s="25" t="s">
        <v>179</v>
      </c>
      <c r="N131" s="25" t="s">
        <v>339</v>
      </c>
      <c r="O131" s="25" t="s">
        <v>297</v>
      </c>
      <c r="Q131" s="25" t="s">
        <v>296</v>
      </c>
      <c r="R131" s="25" t="s">
        <v>307</v>
      </c>
      <c r="T131" s="25" t="s">
        <v>294</v>
      </c>
      <c r="V131" s="25" t="s">
        <v>338</v>
      </c>
      <c r="X131" s="25" t="s">
        <v>337</v>
      </c>
      <c r="Y131" s="25" t="s">
        <v>172</v>
      </c>
      <c r="Z131" s="25">
        <v>926606244</v>
      </c>
      <c r="AA131" s="25" t="s">
        <v>290</v>
      </c>
      <c r="AB131" s="25" t="s">
        <v>290</v>
      </c>
      <c r="AF131" s="25" t="s">
        <v>429</v>
      </c>
      <c r="AI131" s="31">
        <v>44068</v>
      </c>
      <c r="AJ131" s="25">
        <v>25</v>
      </c>
      <c r="AK131" s="25">
        <v>105</v>
      </c>
      <c r="BK131" s="25" t="s">
        <v>50</v>
      </c>
      <c r="BL131" s="25" t="s">
        <v>167</v>
      </c>
      <c r="BM131" s="25" t="s">
        <v>166</v>
      </c>
      <c r="BN131" s="30">
        <v>44252.58872068287</v>
      </c>
      <c r="BR131" s="25" t="s">
        <v>165</v>
      </c>
      <c r="BS131" s="25">
        <v>4.0125202121377597E+18</v>
      </c>
      <c r="BT131" s="25" t="s">
        <v>164</v>
      </c>
      <c r="BV131" s="25">
        <v>2020</v>
      </c>
      <c r="BW131" s="25" t="s">
        <v>163</v>
      </c>
      <c r="BY131" s="25">
        <v>4.0224202111768499E+18</v>
      </c>
      <c r="BZ131" s="25" t="s">
        <v>616</v>
      </c>
      <c r="CA131" s="25" t="s">
        <v>161</v>
      </c>
    </row>
    <row r="132" spans="1:79" hidden="1" x14ac:dyDescent="0.2">
      <c r="A132" s="25" t="s">
        <v>301</v>
      </c>
      <c r="B132" s="25" t="s">
        <v>277</v>
      </c>
      <c r="C132" s="25">
        <v>2019</v>
      </c>
      <c r="D132" s="25" t="s">
        <v>422</v>
      </c>
      <c r="E132" s="25">
        <v>2.0210107939492998E+17</v>
      </c>
      <c r="F132" s="25" t="s">
        <v>182</v>
      </c>
      <c r="G132" s="25" t="s">
        <v>615</v>
      </c>
      <c r="H132" s="25">
        <v>1485974</v>
      </c>
      <c r="J132" s="25" t="s">
        <v>180</v>
      </c>
      <c r="K132" s="25" t="s">
        <v>179</v>
      </c>
      <c r="N132" s="25" t="s">
        <v>339</v>
      </c>
      <c r="O132" s="25" t="s">
        <v>297</v>
      </c>
      <c r="Q132" s="25" t="s">
        <v>296</v>
      </c>
      <c r="R132" s="25" t="s">
        <v>307</v>
      </c>
      <c r="T132" s="25" t="s">
        <v>294</v>
      </c>
      <c r="V132" s="25" t="s">
        <v>338</v>
      </c>
      <c r="X132" s="25" t="s">
        <v>337</v>
      </c>
      <c r="Y132" s="25" t="s">
        <v>172</v>
      </c>
      <c r="Z132" s="25">
        <v>926606244</v>
      </c>
      <c r="AA132" s="25" t="s">
        <v>290</v>
      </c>
      <c r="AB132" s="25" t="s">
        <v>290</v>
      </c>
      <c r="AF132" s="25" t="s">
        <v>313</v>
      </c>
      <c r="AI132" s="31">
        <v>43772</v>
      </c>
      <c r="AJ132" s="25">
        <v>50</v>
      </c>
      <c r="AK132" s="25">
        <v>50</v>
      </c>
      <c r="BK132" s="25" t="s">
        <v>50</v>
      </c>
      <c r="BL132" s="25" t="s">
        <v>167</v>
      </c>
      <c r="BM132" s="25" t="s">
        <v>166</v>
      </c>
      <c r="BN132" s="30">
        <v>44237.517353449075</v>
      </c>
      <c r="BR132" s="25" t="s">
        <v>165</v>
      </c>
      <c r="BS132" s="25">
        <v>4.0111202120681999E+18</v>
      </c>
      <c r="BT132" s="25" t="s">
        <v>164</v>
      </c>
      <c r="BV132" s="25">
        <v>2020</v>
      </c>
      <c r="BW132" s="25" t="s">
        <v>163</v>
      </c>
      <c r="BY132" s="25">
        <v>4.0209202111256699E+18</v>
      </c>
      <c r="BZ132" s="25" t="s">
        <v>614</v>
      </c>
      <c r="CA132" s="25" t="s">
        <v>161</v>
      </c>
    </row>
    <row r="133" spans="1:79" hidden="1" x14ac:dyDescent="0.2">
      <c r="A133" s="25" t="s">
        <v>301</v>
      </c>
      <c r="B133" s="25" t="s">
        <v>277</v>
      </c>
      <c r="C133" s="25">
        <v>2019</v>
      </c>
      <c r="D133" s="25" t="s">
        <v>422</v>
      </c>
      <c r="E133" s="25">
        <v>2.02101079394972E+17</v>
      </c>
      <c r="F133" s="25" t="s">
        <v>182</v>
      </c>
      <c r="G133" s="25" t="s">
        <v>613</v>
      </c>
      <c r="H133" s="25">
        <v>1485974</v>
      </c>
      <c r="J133" s="25" t="s">
        <v>180</v>
      </c>
      <c r="K133" s="25" t="s">
        <v>179</v>
      </c>
      <c r="N133" s="25" t="s">
        <v>339</v>
      </c>
      <c r="O133" s="25" t="s">
        <v>297</v>
      </c>
      <c r="Q133" s="25" t="s">
        <v>296</v>
      </c>
      <c r="R133" s="25" t="s">
        <v>307</v>
      </c>
      <c r="T133" s="25" t="s">
        <v>294</v>
      </c>
      <c r="V133" s="25" t="s">
        <v>338</v>
      </c>
      <c r="X133" s="25" t="s">
        <v>337</v>
      </c>
      <c r="Y133" s="25" t="s">
        <v>172</v>
      </c>
      <c r="Z133" s="25">
        <v>926606244</v>
      </c>
      <c r="AA133" s="25" t="s">
        <v>290</v>
      </c>
      <c r="AB133" s="25" t="s">
        <v>290</v>
      </c>
      <c r="AF133" s="25" t="s">
        <v>303</v>
      </c>
      <c r="AI133" s="31">
        <v>43782</v>
      </c>
      <c r="AJ133" s="25">
        <v>20</v>
      </c>
      <c r="AK133" s="25">
        <v>70</v>
      </c>
      <c r="BK133" s="25" t="s">
        <v>50</v>
      </c>
      <c r="BL133" s="25" t="s">
        <v>167</v>
      </c>
      <c r="BM133" s="25" t="s">
        <v>166</v>
      </c>
      <c r="BN133" s="30">
        <v>44237.520535405092</v>
      </c>
      <c r="BR133" s="25" t="s">
        <v>165</v>
      </c>
      <c r="BS133" s="25">
        <v>4.0111202120681999E+18</v>
      </c>
      <c r="BT133" s="25" t="s">
        <v>164</v>
      </c>
      <c r="BV133" s="25">
        <v>2020</v>
      </c>
      <c r="BW133" s="25" t="s">
        <v>163</v>
      </c>
      <c r="BY133" s="25">
        <v>4.0209202111258102E+18</v>
      </c>
      <c r="BZ133" s="25" t="s">
        <v>612</v>
      </c>
      <c r="CA133" s="25" t="s">
        <v>161</v>
      </c>
    </row>
    <row r="134" spans="1:79" x14ac:dyDescent="0.2">
      <c r="A134" s="25" t="s">
        <v>192</v>
      </c>
      <c r="B134" s="25" t="s">
        <v>157</v>
      </c>
      <c r="C134" s="25">
        <v>2020</v>
      </c>
      <c r="D134" s="25" t="s">
        <v>373</v>
      </c>
      <c r="E134" s="25">
        <v>2.0200918926743299E+17</v>
      </c>
      <c r="F134" s="25" t="s">
        <v>182</v>
      </c>
      <c r="G134" s="25" t="s">
        <v>611</v>
      </c>
      <c r="H134" s="25">
        <v>1439641</v>
      </c>
      <c r="J134" s="25" t="s">
        <v>180</v>
      </c>
      <c r="K134" s="25" t="s">
        <v>179</v>
      </c>
      <c r="N134" s="25" t="s">
        <v>543</v>
      </c>
      <c r="O134" s="25" t="s">
        <v>66</v>
      </c>
      <c r="P134" s="25" t="s">
        <v>177</v>
      </c>
      <c r="Q134" s="25" t="s">
        <v>34</v>
      </c>
      <c r="R134" s="25" t="s">
        <v>295</v>
      </c>
      <c r="S134" s="25" t="s">
        <v>0</v>
      </c>
      <c r="T134" s="25" t="s">
        <v>294</v>
      </c>
      <c r="V134" s="25" t="s">
        <v>542</v>
      </c>
      <c r="W134" s="25" t="s">
        <v>541</v>
      </c>
      <c r="X134" s="25" t="s">
        <v>540</v>
      </c>
      <c r="Y134" s="25" t="s">
        <v>349</v>
      </c>
      <c r="Z134" s="25">
        <v>33131</v>
      </c>
      <c r="AA134" s="25" t="s">
        <v>539</v>
      </c>
      <c r="AB134" s="25" t="s">
        <v>187</v>
      </c>
      <c r="AD134" s="25">
        <v>15</v>
      </c>
      <c r="AE134" s="25" t="s">
        <v>169</v>
      </c>
      <c r="AI134" s="31">
        <v>44050</v>
      </c>
      <c r="AJ134" s="25">
        <v>192.3</v>
      </c>
      <c r="AK134" s="25">
        <v>3076.8</v>
      </c>
      <c r="BG134" s="25" t="s">
        <v>28</v>
      </c>
      <c r="BI134" s="25" t="s">
        <v>168</v>
      </c>
      <c r="BK134" s="25" t="s">
        <v>50</v>
      </c>
      <c r="BL134" s="25" t="s">
        <v>167</v>
      </c>
      <c r="BM134" s="25" t="s">
        <v>166</v>
      </c>
      <c r="BN134" s="30">
        <v>44097.160206296299</v>
      </c>
      <c r="BR134" s="25" t="s">
        <v>165</v>
      </c>
      <c r="BS134" s="25">
        <v>4.0919202018490399E+18</v>
      </c>
      <c r="BT134" s="25" t="s">
        <v>164</v>
      </c>
      <c r="BV134" s="25">
        <v>2020</v>
      </c>
      <c r="BW134" s="25" t="s">
        <v>163</v>
      </c>
      <c r="BY134" s="25">
        <v>4.0923202018493199E+18</v>
      </c>
      <c r="BZ134" s="25" t="s">
        <v>609</v>
      </c>
      <c r="CA134" s="25" t="s">
        <v>161</v>
      </c>
    </row>
    <row r="135" spans="1:79" x14ac:dyDescent="0.2">
      <c r="A135" s="25" t="s">
        <v>192</v>
      </c>
      <c r="B135" s="25" t="s">
        <v>157</v>
      </c>
      <c r="C135" s="25">
        <v>2020</v>
      </c>
      <c r="D135" s="25" t="s">
        <v>373</v>
      </c>
      <c r="E135" s="25">
        <v>2.0200918926743299E+17</v>
      </c>
      <c r="F135" s="25" t="s">
        <v>182</v>
      </c>
      <c r="G135" s="25" t="s">
        <v>610</v>
      </c>
      <c r="H135" s="25">
        <v>1439641</v>
      </c>
      <c r="J135" s="25" t="s">
        <v>180</v>
      </c>
      <c r="K135" s="25" t="s">
        <v>179</v>
      </c>
      <c r="N135" s="25" t="s">
        <v>543</v>
      </c>
      <c r="O135" s="25" t="s">
        <v>66</v>
      </c>
      <c r="P135" s="25" t="s">
        <v>177</v>
      </c>
      <c r="Q135" s="25" t="s">
        <v>34</v>
      </c>
      <c r="R135" s="25" t="s">
        <v>295</v>
      </c>
      <c r="S135" s="25" t="s">
        <v>0</v>
      </c>
      <c r="T135" s="25" t="s">
        <v>294</v>
      </c>
      <c r="V135" s="25" t="s">
        <v>542</v>
      </c>
      <c r="W135" s="25" t="s">
        <v>541</v>
      </c>
      <c r="X135" s="25" t="s">
        <v>540</v>
      </c>
      <c r="Y135" s="25" t="s">
        <v>349</v>
      </c>
      <c r="Z135" s="25">
        <v>33131</v>
      </c>
      <c r="AA135" s="25" t="s">
        <v>539</v>
      </c>
      <c r="AB135" s="25" t="s">
        <v>187</v>
      </c>
      <c r="AD135" s="25">
        <v>15</v>
      </c>
      <c r="AE135" s="25" t="s">
        <v>169</v>
      </c>
      <c r="AI135" s="31">
        <v>44064</v>
      </c>
      <c r="AJ135" s="25">
        <v>192.3</v>
      </c>
      <c r="AK135" s="25">
        <v>3269.1</v>
      </c>
      <c r="BG135" s="25" t="s">
        <v>28</v>
      </c>
      <c r="BI135" s="25" t="s">
        <v>168</v>
      </c>
      <c r="BK135" s="25" t="s">
        <v>50</v>
      </c>
      <c r="BL135" s="25" t="s">
        <v>167</v>
      </c>
      <c r="BM135" s="25" t="s">
        <v>166</v>
      </c>
      <c r="BN135" s="30">
        <v>44097.160206296299</v>
      </c>
      <c r="BR135" s="25" t="s">
        <v>165</v>
      </c>
      <c r="BS135" s="25">
        <v>4.0919202018490399E+18</v>
      </c>
      <c r="BT135" s="25" t="s">
        <v>164</v>
      </c>
      <c r="BV135" s="25">
        <v>2020</v>
      </c>
      <c r="BW135" s="25" t="s">
        <v>163</v>
      </c>
      <c r="BY135" s="25">
        <v>4.0923202018493199E+18</v>
      </c>
      <c r="BZ135" s="25" t="s">
        <v>609</v>
      </c>
      <c r="CA135" s="25" t="s">
        <v>161</v>
      </c>
    </row>
    <row r="136" spans="1:79" hidden="1" x14ac:dyDescent="0.2">
      <c r="A136" s="25" t="s">
        <v>346</v>
      </c>
      <c r="B136" s="25" t="s">
        <v>281</v>
      </c>
      <c r="C136" s="25">
        <v>2020</v>
      </c>
      <c r="D136" s="25" t="s">
        <v>300</v>
      </c>
      <c r="E136" s="25">
        <v>2.0210421944517699E+17</v>
      </c>
      <c r="F136" s="25" t="s">
        <v>450</v>
      </c>
      <c r="G136" s="25" t="s">
        <v>608</v>
      </c>
      <c r="H136" s="25">
        <v>1514152</v>
      </c>
      <c r="J136" s="25" t="s">
        <v>180</v>
      </c>
      <c r="K136" s="25" t="s">
        <v>179</v>
      </c>
      <c r="N136" s="25" t="s">
        <v>339</v>
      </c>
      <c r="O136" s="25" t="s">
        <v>28</v>
      </c>
      <c r="Q136" s="25" t="s">
        <v>28</v>
      </c>
      <c r="R136" s="25" t="s">
        <v>307</v>
      </c>
      <c r="T136" s="25" t="s">
        <v>294</v>
      </c>
      <c r="V136" s="25" t="s">
        <v>359</v>
      </c>
      <c r="X136" s="25" t="s">
        <v>358</v>
      </c>
      <c r="Y136" s="25" t="s">
        <v>172</v>
      </c>
      <c r="Z136" s="25">
        <v>93619</v>
      </c>
      <c r="AA136" s="25" t="s">
        <v>290</v>
      </c>
      <c r="AB136" s="25" t="s">
        <v>290</v>
      </c>
      <c r="AF136" s="25" t="s">
        <v>607</v>
      </c>
      <c r="AI136" s="31">
        <v>44139</v>
      </c>
      <c r="AJ136" s="25">
        <v>100</v>
      </c>
      <c r="AK136" s="25">
        <v>100</v>
      </c>
      <c r="BG136" s="25" t="s">
        <v>501</v>
      </c>
      <c r="BI136" s="25" t="s">
        <v>500</v>
      </c>
      <c r="BJ136" s="25">
        <v>2020</v>
      </c>
      <c r="BK136" s="25" t="s">
        <v>50</v>
      </c>
      <c r="BL136" s="25" t="s">
        <v>167</v>
      </c>
      <c r="BM136" s="25" t="s">
        <v>166</v>
      </c>
      <c r="BN136" s="30">
        <v>44322.158575624999</v>
      </c>
      <c r="BR136" s="25" t="s">
        <v>445</v>
      </c>
      <c r="BS136" s="25">
        <v>4.0423202112787599E+18</v>
      </c>
      <c r="BT136" s="25" t="s">
        <v>164</v>
      </c>
      <c r="BV136" s="25">
        <v>2020</v>
      </c>
      <c r="BW136" s="25" t="s">
        <v>163</v>
      </c>
      <c r="BY136" s="25">
        <v>4.0506202112856699E+18</v>
      </c>
      <c r="BZ136" s="25" t="s">
        <v>606</v>
      </c>
      <c r="CA136" s="25" t="s">
        <v>161</v>
      </c>
    </row>
    <row r="137" spans="1:79" hidden="1" x14ac:dyDescent="0.2">
      <c r="A137" s="25" t="s">
        <v>346</v>
      </c>
      <c r="B137" s="25" t="s">
        <v>281</v>
      </c>
      <c r="C137" s="25">
        <v>2020</v>
      </c>
      <c r="D137" s="25" t="s">
        <v>300</v>
      </c>
      <c r="E137" s="25">
        <v>2.0210421944517699E+17</v>
      </c>
      <c r="F137" s="25" t="s">
        <v>450</v>
      </c>
      <c r="G137" s="25" t="s">
        <v>605</v>
      </c>
      <c r="H137" s="25">
        <v>1514152</v>
      </c>
      <c r="J137" s="25" t="s">
        <v>180</v>
      </c>
      <c r="K137" s="25" t="s">
        <v>179</v>
      </c>
      <c r="N137" s="25" t="s">
        <v>339</v>
      </c>
      <c r="O137" s="25" t="s">
        <v>28</v>
      </c>
      <c r="Q137" s="25" t="s">
        <v>28</v>
      </c>
      <c r="R137" s="25" t="s">
        <v>307</v>
      </c>
      <c r="T137" s="25" t="s">
        <v>294</v>
      </c>
      <c r="V137" s="25" t="s">
        <v>359</v>
      </c>
      <c r="X137" s="25" t="s">
        <v>358</v>
      </c>
      <c r="Y137" s="25" t="s">
        <v>172</v>
      </c>
      <c r="Z137" s="25">
        <v>93619</v>
      </c>
      <c r="AA137" s="25" t="s">
        <v>290</v>
      </c>
      <c r="AB137" s="25" t="s">
        <v>290</v>
      </c>
      <c r="AD137" s="25">
        <v>15</v>
      </c>
      <c r="AE137" s="25" t="s">
        <v>169</v>
      </c>
      <c r="AF137" s="25" t="s">
        <v>563</v>
      </c>
      <c r="AG137" s="25" t="s">
        <v>533</v>
      </c>
      <c r="AI137" s="31">
        <v>44139</v>
      </c>
      <c r="AJ137" s="25">
        <v>-50</v>
      </c>
      <c r="AK137" s="25">
        <v>50</v>
      </c>
      <c r="BG137" s="25" t="s">
        <v>501</v>
      </c>
      <c r="BI137" s="25" t="s">
        <v>500</v>
      </c>
      <c r="BJ137" s="25">
        <v>2020</v>
      </c>
      <c r="BK137" s="25" t="s">
        <v>50</v>
      </c>
      <c r="BL137" s="25" t="s">
        <v>167</v>
      </c>
      <c r="BM137" s="25" t="s">
        <v>166</v>
      </c>
      <c r="BN137" s="30">
        <v>44322.158575624999</v>
      </c>
      <c r="BR137" s="25" t="s">
        <v>445</v>
      </c>
      <c r="BS137" s="25">
        <v>4.0423202112787599E+18</v>
      </c>
      <c r="BT137" s="25" t="s">
        <v>164</v>
      </c>
      <c r="BV137" s="25">
        <v>2020</v>
      </c>
      <c r="BW137" s="25" t="s">
        <v>163</v>
      </c>
      <c r="BY137" s="25">
        <v>4.0506202112856699E+18</v>
      </c>
      <c r="BZ137" s="25" t="s">
        <v>604</v>
      </c>
      <c r="CA137" s="25" t="s">
        <v>161</v>
      </c>
    </row>
    <row r="138" spans="1:79" hidden="1" x14ac:dyDescent="0.2">
      <c r="A138" s="25" t="s">
        <v>434</v>
      </c>
      <c r="B138" s="25" t="s">
        <v>286</v>
      </c>
      <c r="C138" s="25">
        <v>2020</v>
      </c>
      <c r="D138" s="25" t="s">
        <v>300</v>
      </c>
      <c r="E138" s="25">
        <v>2.0201203934102202E+17</v>
      </c>
      <c r="F138" s="25" t="s">
        <v>182</v>
      </c>
      <c r="G138" s="25" t="s">
        <v>603</v>
      </c>
      <c r="H138" s="25">
        <v>1480717</v>
      </c>
      <c r="J138" s="25" t="s">
        <v>180</v>
      </c>
      <c r="K138" s="25" t="s">
        <v>179</v>
      </c>
      <c r="L138" s="25" t="s">
        <v>374</v>
      </c>
      <c r="N138" s="25" t="s">
        <v>371</v>
      </c>
      <c r="O138" s="25" t="s">
        <v>75</v>
      </c>
      <c r="Q138" s="25" t="s">
        <v>28</v>
      </c>
      <c r="R138" s="25" t="s">
        <v>370</v>
      </c>
      <c r="T138" s="25" t="s">
        <v>294</v>
      </c>
      <c r="V138" s="25" t="s">
        <v>388</v>
      </c>
      <c r="X138" s="25" t="s">
        <v>368</v>
      </c>
      <c r="Y138" s="25" t="s">
        <v>367</v>
      </c>
      <c r="Z138" s="25">
        <v>810049787</v>
      </c>
      <c r="AA138" s="25" t="s">
        <v>366</v>
      </c>
      <c r="AB138" s="25" t="s">
        <v>365</v>
      </c>
      <c r="AC138" s="25" t="s">
        <v>374</v>
      </c>
      <c r="AD138" s="25" t="s">
        <v>345</v>
      </c>
      <c r="AE138" s="25" t="s">
        <v>344</v>
      </c>
      <c r="AI138" s="31">
        <v>44136</v>
      </c>
      <c r="AJ138" s="25">
        <v>50</v>
      </c>
      <c r="AK138" s="25">
        <v>400</v>
      </c>
      <c r="BG138" s="25" t="s">
        <v>501</v>
      </c>
      <c r="BI138" s="25" t="s">
        <v>500</v>
      </c>
      <c r="BJ138" s="25">
        <v>2020</v>
      </c>
      <c r="BK138" s="25" t="s">
        <v>50</v>
      </c>
      <c r="BL138" s="25" t="s">
        <v>167</v>
      </c>
      <c r="BM138" s="25" t="s">
        <v>166</v>
      </c>
      <c r="BN138" s="30">
        <v>44178.153628900465</v>
      </c>
      <c r="BP138" s="25" t="s">
        <v>602</v>
      </c>
      <c r="BQ138" s="25" t="s">
        <v>419</v>
      </c>
      <c r="BR138" s="25" t="s">
        <v>513</v>
      </c>
      <c r="BS138" s="25">
        <v>4.1205202019644401E+18</v>
      </c>
      <c r="BT138" s="25" t="s">
        <v>164</v>
      </c>
      <c r="BU138" s="25" t="s">
        <v>512</v>
      </c>
      <c r="BV138" s="25">
        <v>2020</v>
      </c>
      <c r="BW138" s="25" t="s">
        <v>163</v>
      </c>
      <c r="BY138" s="25">
        <v>4.1213202019738798E+18</v>
      </c>
      <c r="BZ138" s="25" t="s">
        <v>601</v>
      </c>
      <c r="CA138" s="25" t="s">
        <v>161</v>
      </c>
    </row>
    <row r="139" spans="1:79" hidden="1" x14ac:dyDescent="0.2">
      <c r="A139" s="25" t="s">
        <v>346</v>
      </c>
      <c r="B139" s="25" t="s">
        <v>281</v>
      </c>
      <c r="C139" s="25">
        <v>2020</v>
      </c>
      <c r="D139" s="25" t="s">
        <v>300</v>
      </c>
      <c r="E139" s="25">
        <v>2.0210421944533699E+17</v>
      </c>
      <c r="F139" s="25">
        <v>21</v>
      </c>
      <c r="G139" s="25" t="s">
        <v>600</v>
      </c>
      <c r="H139" s="25">
        <v>1514152</v>
      </c>
      <c r="J139" s="25" t="s">
        <v>180</v>
      </c>
      <c r="K139" s="25" t="s">
        <v>179</v>
      </c>
      <c r="N139" s="25" t="s">
        <v>339</v>
      </c>
      <c r="O139" s="25" t="s">
        <v>28</v>
      </c>
      <c r="Q139" s="25" t="s">
        <v>28</v>
      </c>
      <c r="R139" s="25" t="s">
        <v>307</v>
      </c>
      <c r="T139" s="25" t="s">
        <v>294</v>
      </c>
      <c r="V139" s="25" t="s">
        <v>359</v>
      </c>
      <c r="X139" s="25" t="s">
        <v>358</v>
      </c>
      <c r="Y139" s="25" t="s">
        <v>172</v>
      </c>
      <c r="Z139" s="25">
        <v>93619</v>
      </c>
      <c r="AA139" s="25" t="s">
        <v>290</v>
      </c>
      <c r="AB139" s="25" t="s">
        <v>290</v>
      </c>
      <c r="AD139" s="25">
        <v>15</v>
      </c>
      <c r="AE139" s="25" t="s">
        <v>169</v>
      </c>
      <c r="AF139" s="25" t="s">
        <v>599</v>
      </c>
      <c r="AG139" s="25" t="s">
        <v>533</v>
      </c>
      <c r="AI139" s="31">
        <v>44139</v>
      </c>
      <c r="AJ139" s="25">
        <v>50</v>
      </c>
      <c r="AK139" s="25">
        <v>100</v>
      </c>
      <c r="BG139" s="25" t="s">
        <v>598</v>
      </c>
      <c r="BH139" s="25" t="s">
        <v>597</v>
      </c>
      <c r="BI139" s="25" t="s">
        <v>597</v>
      </c>
      <c r="BJ139" s="25">
        <v>2020</v>
      </c>
      <c r="BK139" s="25" t="s">
        <v>50</v>
      </c>
      <c r="BL139" s="25" t="s">
        <v>167</v>
      </c>
      <c r="BM139" s="25" t="s">
        <v>166</v>
      </c>
      <c r="BN139" s="30">
        <v>44322.16277505787</v>
      </c>
      <c r="BR139" s="25" t="s">
        <v>445</v>
      </c>
      <c r="BS139" s="25">
        <v>4.0423202112787599E+18</v>
      </c>
      <c r="BT139" s="25" t="s">
        <v>164</v>
      </c>
      <c r="BV139" s="25">
        <v>2020</v>
      </c>
      <c r="BW139" s="25" t="s">
        <v>163</v>
      </c>
      <c r="BY139" s="25">
        <v>4.0506202112861501E+18</v>
      </c>
      <c r="BZ139" s="25" t="s">
        <v>596</v>
      </c>
      <c r="CA139" s="25" t="s">
        <v>595</v>
      </c>
    </row>
    <row r="140" spans="1:79" hidden="1" x14ac:dyDescent="0.2">
      <c r="A140" s="25" t="s">
        <v>409</v>
      </c>
      <c r="B140" s="25" t="s">
        <v>278</v>
      </c>
      <c r="C140" s="25">
        <v>2020</v>
      </c>
      <c r="D140" s="25" t="s">
        <v>300</v>
      </c>
      <c r="E140" s="25">
        <v>2.0210218942841501E+17</v>
      </c>
      <c r="F140" s="25" t="s">
        <v>182</v>
      </c>
      <c r="G140" s="25" t="s">
        <v>594</v>
      </c>
      <c r="H140" s="25">
        <v>1500723</v>
      </c>
      <c r="J140" s="25" t="s">
        <v>180</v>
      </c>
      <c r="K140" s="25" t="s">
        <v>179</v>
      </c>
      <c r="N140" s="25" t="s">
        <v>339</v>
      </c>
      <c r="O140" s="25" t="s">
        <v>0</v>
      </c>
      <c r="Q140" s="25" t="s">
        <v>60</v>
      </c>
      <c r="R140" s="25" t="s">
        <v>307</v>
      </c>
      <c r="T140" s="25" t="s">
        <v>294</v>
      </c>
      <c r="V140" s="25" t="s">
        <v>359</v>
      </c>
      <c r="X140" s="25" t="s">
        <v>358</v>
      </c>
      <c r="Y140" s="25" t="s">
        <v>172</v>
      </c>
      <c r="Z140" s="25">
        <v>93619</v>
      </c>
      <c r="AA140" s="25" t="s">
        <v>290</v>
      </c>
      <c r="AB140" s="25" t="s">
        <v>290</v>
      </c>
      <c r="AF140" s="25" t="s">
        <v>593</v>
      </c>
      <c r="AI140" s="31">
        <v>44144</v>
      </c>
      <c r="AJ140" s="25">
        <v>100</v>
      </c>
      <c r="AK140" s="25">
        <v>100</v>
      </c>
      <c r="BK140" s="25" t="s">
        <v>50</v>
      </c>
      <c r="BL140" s="25" t="s">
        <v>167</v>
      </c>
      <c r="BM140" s="25" t="s">
        <v>166</v>
      </c>
      <c r="BN140" s="30">
        <v>44258.583873599535</v>
      </c>
      <c r="BR140" s="25" t="s">
        <v>165</v>
      </c>
      <c r="BS140" s="25">
        <v>4.0219202111582602E+18</v>
      </c>
      <c r="BT140" s="25" t="s">
        <v>164</v>
      </c>
      <c r="BV140" s="25">
        <v>2020</v>
      </c>
      <c r="BW140" s="25" t="s">
        <v>163</v>
      </c>
      <c r="BY140" s="25">
        <v>4.0302202111907502E+18</v>
      </c>
      <c r="BZ140" s="25" t="s">
        <v>592</v>
      </c>
      <c r="CA140" s="25" t="s">
        <v>161</v>
      </c>
    </row>
    <row r="141" spans="1:79" hidden="1" x14ac:dyDescent="0.2">
      <c r="A141" s="25" t="s">
        <v>301</v>
      </c>
      <c r="B141" s="25" t="s">
        <v>277</v>
      </c>
      <c r="C141" s="25">
        <v>2020</v>
      </c>
      <c r="D141" s="25" t="s">
        <v>422</v>
      </c>
      <c r="E141" s="25">
        <v>2.0210129941417299E+17</v>
      </c>
      <c r="F141" s="25" t="s">
        <v>182</v>
      </c>
      <c r="G141" s="25" t="s">
        <v>591</v>
      </c>
      <c r="H141" s="25">
        <v>1494216</v>
      </c>
      <c r="J141" s="25" t="s">
        <v>180</v>
      </c>
      <c r="K141" s="25" t="s">
        <v>179</v>
      </c>
      <c r="L141" s="25" t="s">
        <v>357</v>
      </c>
      <c r="N141" s="25" t="s">
        <v>339</v>
      </c>
      <c r="O141" s="25" t="s">
        <v>297</v>
      </c>
      <c r="Q141" s="25" t="s">
        <v>296</v>
      </c>
      <c r="R141" s="25" t="s">
        <v>307</v>
      </c>
      <c r="T141" s="25" t="s">
        <v>294</v>
      </c>
      <c r="V141" s="25" t="s">
        <v>359</v>
      </c>
      <c r="X141" s="25" t="s">
        <v>358</v>
      </c>
      <c r="Y141" s="25" t="s">
        <v>172</v>
      </c>
      <c r="Z141" s="25">
        <v>936198745</v>
      </c>
      <c r="AA141" s="25" t="s">
        <v>290</v>
      </c>
      <c r="AB141" s="25" t="s">
        <v>290</v>
      </c>
      <c r="AC141" s="25" t="s">
        <v>357</v>
      </c>
      <c r="AD141" s="25" t="s">
        <v>345</v>
      </c>
      <c r="AE141" s="25" t="s">
        <v>344</v>
      </c>
      <c r="AF141" s="25" t="s">
        <v>356</v>
      </c>
      <c r="AI141" s="31">
        <v>44161</v>
      </c>
      <c r="AJ141" s="25">
        <v>100</v>
      </c>
      <c r="AK141" s="25">
        <v>1500</v>
      </c>
      <c r="BK141" s="25" t="s">
        <v>50</v>
      </c>
      <c r="BL141" s="25" t="s">
        <v>167</v>
      </c>
      <c r="BM141" s="25" t="s">
        <v>166</v>
      </c>
      <c r="BN141" s="30">
        <v>44265.176927881941</v>
      </c>
      <c r="BR141" s="25" t="s">
        <v>165</v>
      </c>
      <c r="BS141" s="25">
        <v>4.0131202121392901E+18</v>
      </c>
      <c r="BT141" s="25" t="s">
        <v>164</v>
      </c>
      <c r="BV141" s="25">
        <v>2020</v>
      </c>
      <c r="BW141" s="25" t="s">
        <v>163</v>
      </c>
      <c r="BY141" s="25">
        <v>4.0309202112377298E+18</v>
      </c>
      <c r="BZ141" s="25" t="s">
        <v>590</v>
      </c>
      <c r="CA141" s="25" t="s">
        <v>161</v>
      </c>
    </row>
    <row r="142" spans="1:79" hidden="1" x14ac:dyDescent="0.2">
      <c r="A142" s="25" t="s">
        <v>301</v>
      </c>
      <c r="B142" s="25" t="s">
        <v>277</v>
      </c>
      <c r="C142" s="25">
        <v>2020</v>
      </c>
      <c r="D142" s="25" t="s">
        <v>589</v>
      </c>
      <c r="E142" s="25">
        <v>2.0210107939635398E+17</v>
      </c>
      <c r="F142" s="25" t="s">
        <v>182</v>
      </c>
      <c r="G142" s="25" t="s">
        <v>588</v>
      </c>
      <c r="H142" s="25">
        <v>1485991</v>
      </c>
      <c r="J142" s="25" t="s">
        <v>180</v>
      </c>
      <c r="K142" s="25" t="s">
        <v>179</v>
      </c>
      <c r="N142" s="25" t="s">
        <v>339</v>
      </c>
      <c r="O142" s="25" t="s">
        <v>297</v>
      </c>
      <c r="Q142" s="25" t="s">
        <v>296</v>
      </c>
      <c r="R142" s="25" t="s">
        <v>307</v>
      </c>
      <c r="T142" s="25" t="s">
        <v>294</v>
      </c>
      <c r="V142" s="25" t="s">
        <v>359</v>
      </c>
      <c r="X142" s="25" t="s">
        <v>358</v>
      </c>
      <c r="Y142" s="25" t="s">
        <v>172</v>
      </c>
      <c r="Z142" s="25">
        <v>936198745</v>
      </c>
      <c r="AA142" s="25" t="s">
        <v>411</v>
      </c>
      <c r="AB142" s="25" t="s">
        <v>410</v>
      </c>
      <c r="AF142" s="25" t="s">
        <v>303</v>
      </c>
      <c r="AI142" s="31">
        <v>43858</v>
      </c>
      <c r="AJ142" s="25">
        <v>100</v>
      </c>
      <c r="AK142" s="25">
        <v>100</v>
      </c>
      <c r="BK142" s="25" t="s">
        <v>50</v>
      </c>
      <c r="BL142" s="25" t="s">
        <v>167</v>
      </c>
      <c r="BM142" s="25" t="s">
        <v>166</v>
      </c>
      <c r="BN142" s="30">
        <v>44239.182283368056</v>
      </c>
      <c r="BR142" s="25" t="s">
        <v>165</v>
      </c>
      <c r="BS142" s="25">
        <v>4.0111202120681999E+18</v>
      </c>
      <c r="BT142" s="25" t="s">
        <v>164</v>
      </c>
      <c r="BV142" s="25">
        <v>2020</v>
      </c>
      <c r="BW142" s="25" t="s">
        <v>163</v>
      </c>
      <c r="BY142" s="25">
        <v>4.0211202111351501E+18</v>
      </c>
      <c r="BZ142" s="25" t="s">
        <v>587</v>
      </c>
      <c r="CA142" s="25" t="s">
        <v>161</v>
      </c>
    </row>
    <row r="143" spans="1:79" x14ac:dyDescent="0.2">
      <c r="A143" s="25" t="s">
        <v>192</v>
      </c>
      <c r="B143" s="25" t="s">
        <v>157</v>
      </c>
      <c r="C143" s="25">
        <v>2020</v>
      </c>
      <c r="D143" s="25" t="s">
        <v>494</v>
      </c>
      <c r="E143" s="25">
        <v>2.0201020929738499E+17</v>
      </c>
      <c r="F143" s="25" t="s">
        <v>182</v>
      </c>
      <c r="G143" s="25" t="s">
        <v>586</v>
      </c>
      <c r="H143" s="25">
        <v>1457354</v>
      </c>
      <c r="J143" s="25" t="s">
        <v>180</v>
      </c>
      <c r="K143" s="25" t="s">
        <v>179</v>
      </c>
      <c r="N143" s="25" t="s">
        <v>543</v>
      </c>
      <c r="O143" s="25" t="s">
        <v>66</v>
      </c>
      <c r="P143" s="25" t="s">
        <v>177</v>
      </c>
      <c r="Q143" s="25" t="s">
        <v>34</v>
      </c>
      <c r="R143" s="25" t="s">
        <v>295</v>
      </c>
      <c r="S143" s="25" t="s">
        <v>0</v>
      </c>
      <c r="T143" s="25" t="s">
        <v>294</v>
      </c>
      <c r="V143" s="25" t="s">
        <v>542</v>
      </c>
      <c r="W143" s="25" t="s">
        <v>541</v>
      </c>
      <c r="X143" s="25" t="s">
        <v>540</v>
      </c>
      <c r="Y143" s="25" t="s">
        <v>349</v>
      </c>
      <c r="Z143" s="25">
        <v>33131</v>
      </c>
      <c r="AA143" s="25" t="s">
        <v>539</v>
      </c>
      <c r="AB143" s="25" t="s">
        <v>187</v>
      </c>
      <c r="AD143" s="25">
        <v>15</v>
      </c>
      <c r="AE143" s="25" t="s">
        <v>169</v>
      </c>
      <c r="AI143" s="31">
        <v>44078</v>
      </c>
      <c r="AJ143" s="25">
        <v>192.3</v>
      </c>
      <c r="AK143" s="25">
        <v>3461.4</v>
      </c>
      <c r="BG143" s="25" t="s">
        <v>28</v>
      </c>
      <c r="BI143" s="25" t="s">
        <v>168</v>
      </c>
      <c r="BK143" s="25" t="s">
        <v>50</v>
      </c>
      <c r="BL143" s="25" t="s">
        <v>167</v>
      </c>
      <c r="BM143" s="25" t="s">
        <v>166</v>
      </c>
      <c r="BN143" s="30">
        <v>44167.158315856483</v>
      </c>
      <c r="BR143" s="25" t="s">
        <v>165</v>
      </c>
      <c r="BS143" s="25">
        <v>4.1021202018822298E+18</v>
      </c>
      <c r="BT143" s="25" t="s">
        <v>164</v>
      </c>
      <c r="BV143" s="25">
        <v>2020</v>
      </c>
      <c r="BW143" s="25" t="s">
        <v>163</v>
      </c>
      <c r="BY143" s="25">
        <v>4.1202202019629199E+18</v>
      </c>
      <c r="BZ143" s="25" t="s">
        <v>584</v>
      </c>
      <c r="CA143" s="25" t="s">
        <v>161</v>
      </c>
    </row>
    <row r="144" spans="1:79" x14ac:dyDescent="0.2">
      <c r="A144" s="25" t="s">
        <v>192</v>
      </c>
      <c r="B144" s="25" t="s">
        <v>157</v>
      </c>
      <c r="C144" s="25">
        <v>2020</v>
      </c>
      <c r="D144" s="25" t="s">
        <v>494</v>
      </c>
      <c r="E144" s="25">
        <v>2.0201020929738499E+17</v>
      </c>
      <c r="F144" s="25" t="s">
        <v>182</v>
      </c>
      <c r="G144" s="25" t="s">
        <v>585</v>
      </c>
      <c r="H144" s="25">
        <v>1457354</v>
      </c>
      <c r="J144" s="25" t="s">
        <v>180</v>
      </c>
      <c r="K144" s="25" t="s">
        <v>179</v>
      </c>
      <c r="N144" s="25" t="s">
        <v>543</v>
      </c>
      <c r="O144" s="25" t="s">
        <v>66</v>
      </c>
      <c r="P144" s="25" t="s">
        <v>177</v>
      </c>
      <c r="Q144" s="25" t="s">
        <v>34</v>
      </c>
      <c r="R144" s="25" t="s">
        <v>295</v>
      </c>
      <c r="S144" s="25" t="s">
        <v>0</v>
      </c>
      <c r="T144" s="25" t="s">
        <v>294</v>
      </c>
      <c r="V144" s="25" t="s">
        <v>542</v>
      </c>
      <c r="W144" s="25" t="s">
        <v>541</v>
      </c>
      <c r="X144" s="25" t="s">
        <v>540</v>
      </c>
      <c r="Y144" s="25" t="s">
        <v>349</v>
      </c>
      <c r="Z144" s="25">
        <v>33131</v>
      </c>
      <c r="AA144" s="25" t="s">
        <v>539</v>
      </c>
      <c r="AB144" s="25" t="s">
        <v>187</v>
      </c>
      <c r="AD144" s="25">
        <v>15</v>
      </c>
      <c r="AE144" s="25" t="s">
        <v>169</v>
      </c>
      <c r="AI144" s="31">
        <v>44092</v>
      </c>
      <c r="AJ144" s="25">
        <v>192.3</v>
      </c>
      <c r="AK144" s="25">
        <v>3653.7</v>
      </c>
      <c r="BG144" s="25" t="s">
        <v>28</v>
      </c>
      <c r="BI144" s="25" t="s">
        <v>168</v>
      </c>
      <c r="BK144" s="25" t="s">
        <v>50</v>
      </c>
      <c r="BL144" s="25" t="s">
        <v>167</v>
      </c>
      <c r="BM144" s="25" t="s">
        <v>166</v>
      </c>
      <c r="BN144" s="30">
        <v>44167.158315856483</v>
      </c>
      <c r="BR144" s="25" t="s">
        <v>165</v>
      </c>
      <c r="BS144" s="25">
        <v>4.1021202018822298E+18</v>
      </c>
      <c r="BT144" s="25" t="s">
        <v>164</v>
      </c>
      <c r="BV144" s="25">
        <v>2020</v>
      </c>
      <c r="BW144" s="25" t="s">
        <v>163</v>
      </c>
      <c r="BY144" s="25">
        <v>4.1202202019629199E+18</v>
      </c>
      <c r="BZ144" s="25" t="s">
        <v>584</v>
      </c>
      <c r="CA144" s="25" t="s">
        <v>161</v>
      </c>
    </row>
    <row r="145" spans="1:79" hidden="1" x14ac:dyDescent="0.2">
      <c r="A145" s="25" t="s">
        <v>580</v>
      </c>
      <c r="B145" s="25" t="s">
        <v>283</v>
      </c>
      <c r="C145" s="25">
        <v>2020</v>
      </c>
      <c r="D145" s="25" t="s">
        <v>407</v>
      </c>
      <c r="E145" s="25">
        <v>2.0201014928588198E+17</v>
      </c>
      <c r="F145" s="25" t="s">
        <v>182</v>
      </c>
      <c r="G145" s="25">
        <v>4751508</v>
      </c>
      <c r="H145" s="25">
        <v>1448543</v>
      </c>
      <c r="J145" s="25" t="s">
        <v>180</v>
      </c>
      <c r="K145" s="25" t="s">
        <v>179</v>
      </c>
      <c r="L145" s="25" t="s">
        <v>374</v>
      </c>
      <c r="N145" s="25" t="s">
        <v>371</v>
      </c>
      <c r="O145" s="25" t="s">
        <v>75</v>
      </c>
      <c r="Q145" s="25" t="s">
        <v>28</v>
      </c>
      <c r="R145" s="25" t="s">
        <v>370</v>
      </c>
      <c r="T145" s="25" t="s">
        <v>294</v>
      </c>
      <c r="V145" s="25" t="s">
        <v>388</v>
      </c>
      <c r="X145" s="25" t="s">
        <v>368</v>
      </c>
      <c r="Y145" s="25" t="s">
        <v>367</v>
      </c>
      <c r="Z145" s="25">
        <v>810049787</v>
      </c>
      <c r="AA145" s="25" t="s">
        <v>366</v>
      </c>
      <c r="AB145" s="25" t="s">
        <v>365</v>
      </c>
      <c r="AC145" s="25" t="s">
        <v>374</v>
      </c>
      <c r="AD145" s="25" t="s">
        <v>345</v>
      </c>
      <c r="AE145" s="25" t="s">
        <v>344</v>
      </c>
      <c r="AI145" s="31">
        <v>43989</v>
      </c>
      <c r="AJ145" s="25">
        <v>50</v>
      </c>
      <c r="AK145" s="25">
        <v>600</v>
      </c>
      <c r="BG145" s="25" t="s">
        <v>446</v>
      </c>
      <c r="BI145" s="25" t="s">
        <v>168</v>
      </c>
      <c r="BJ145" s="25">
        <v>2020</v>
      </c>
      <c r="BK145" s="25" t="s">
        <v>50</v>
      </c>
      <c r="BL145" s="25" t="s">
        <v>167</v>
      </c>
      <c r="BM145" s="25" t="s">
        <v>166</v>
      </c>
      <c r="BN145" s="30">
        <v>44146.185543101848</v>
      </c>
      <c r="BP145" s="25" t="s">
        <v>583</v>
      </c>
      <c r="BQ145" s="25" t="s">
        <v>419</v>
      </c>
      <c r="BR145" s="25" t="s">
        <v>513</v>
      </c>
      <c r="BS145" s="25">
        <v>4.1015202018575498E+18</v>
      </c>
      <c r="BT145" s="25" t="s">
        <v>164</v>
      </c>
      <c r="BU145" s="25" t="s">
        <v>512</v>
      </c>
      <c r="BV145" s="25">
        <v>2020</v>
      </c>
      <c r="BW145" s="25" t="s">
        <v>163</v>
      </c>
      <c r="BY145" s="25">
        <v>4.1110202018934799E+18</v>
      </c>
      <c r="BZ145" s="25" t="s">
        <v>581</v>
      </c>
      <c r="CA145" s="25" t="s">
        <v>161</v>
      </c>
    </row>
    <row r="146" spans="1:79" hidden="1" x14ac:dyDescent="0.2">
      <c r="A146" s="25" t="s">
        <v>580</v>
      </c>
      <c r="B146" s="25" t="s">
        <v>283</v>
      </c>
      <c r="C146" s="25">
        <v>2020</v>
      </c>
      <c r="D146" s="25" t="s">
        <v>407</v>
      </c>
      <c r="E146" s="25">
        <v>2.0201014928588198E+17</v>
      </c>
      <c r="F146" s="25" t="s">
        <v>182</v>
      </c>
      <c r="G146" s="25">
        <v>4878932</v>
      </c>
      <c r="H146" s="25">
        <v>1448543</v>
      </c>
      <c r="J146" s="25" t="s">
        <v>180</v>
      </c>
      <c r="K146" s="25" t="s">
        <v>179</v>
      </c>
      <c r="L146" s="25" t="s">
        <v>374</v>
      </c>
      <c r="N146" s="25" t="s">
        <v>371</v>
      </c>
      <c r="O146" s="25" t="s">
        <v>75</v>
      </c>
      <c r="Q146" s="25" t="s">
        <v>28</v>
      </c>
      <c r="R146" s="25" t="s">
        <v>370</v>
      </c>
      <c r="T146" s="25" t="s">
        <v>294</v>
      </c>
      <c r="V146" s="25" t="s">
        <v>388</v>
      </c>
      <c r="X146" s="25" t="s">
        <v>368</v>
      </c>
      <c r="Y146" s="25" t="s">
        <v>367</v>
      </c>
      <c r="Z146" s="25">
        <v>810049787</v>
      </c>
      <c r="AA146" s="25" t="s">
        <v>366</v>
      </c>
      <c r="AB146" s="25" t="s">
        <v>365</v>
      </c>
      <c r="AC146" s="25" t="s">
        <v>374</v>
      </c>
      <c r="AD146" s="25" t="s">
        <v>345</v>
      </c>
      <c r="AE146" s="25" t="s">
        <v>344</v>
      </c>
      <c r="AI146" s="31">
        <v>43996</v>
      </c>
      <c r="AJ146" s="25">
        <v>50</v>
      </c>
      <c r="AK146" s="25">
        <v>650</v>
      </c>
      <c r="BG146" s="25" t="s">
        <v>446</v>
      </c>
      <c r="BI146" s="25" t="s">
        <v>168</v>
      </c>
      <c r="BJ146" s="25">
        <v>2020</v>
      </c>
      <c r="BK146" s="25" t="s">
        <v>50</v>
      </c>
      <c r="BL146" s="25" t="s">
        <v>167</v>
      </c>
      <c r="BM146" s="25" t="s">
        <v>166</v>
      </c>
      <c r="BN146" s="30">
        <v>44146.185543101848</v>
      </c>
      <c r="BP146" s="25" t="s">
        <v>582</v>
      </c>
      <c r="BQ146" s="25" t="s">
        <v>419</v>
      </c>
      <c r="BR146" s="25" t="s">
        <v>513</v>
      </c>
      <c r="BS146" s="25">
        <v>4.1015202018575498E+18</v>
      </c>
      <c r="BT146" s="25" t="s">
        <v>164</v>
      </c>
      <c r="BU146" s="25" t="s">
        <v>512</v>
      </c>
      <c r="BV146" s="25">
        <v>2020</v>
      </c>
      <c r="BW146" s="25" t="s">
        <v>163</v>
      </c>
      <c r="BY146" s="25">
        <v>4.1110202018934799E+18</v>
      </c>
      <c r="BZ146" s="25" t="s">
        <v>581</v>
      </c>
      <c r="CA146" s="25" t="s">
        <v>161</v>
      </c>
    </row>
    <row r="147" spans="1:79" hidden="1" x14ac:dyDescent="0.2">
      <c r="A147" s="25" t="s">
        <v>580</v>
      </c>
      <c r="B147" s="25" t="s">
        <v>283</v>
      </c>
      <c r="C147" s="25">
        <v>2020</v>
      </c>
      <c r="D147" s="25" t="s">
        <v>407</v>
      </c>
      <c r="E147" s="25">
        <v>2.0201014928588198E+17</v>
      </c>
      <c r="F147" s="25" t="s">
        <v>182</v>
      </c>
      <c r="G147" s="25">
        <v>5023876</v>
      </c>
      <c r="H147" s="25">
        <v>1448543</v>
      </c>
      <c r="J147" s="25" t="s">
        <v>180</v>
      </c>
      <c r="K147" s="25" t="s">
        <v>179</v>
      </c>
      <c r="L147" s="25" t="s">
        <v>374</v>
      </c>
      <c r="N147" s="25" t="s">
        <v>371</v>
      </c>
      <c r="O147" s="25" t="s">
        <v>75</v>
      </c>
      <c r="Q147" s="25" t="s">
        <v>28</v>
      </c>
      <c r="R147" s="25" t="s">
        <v>370</v>
      </c>
      <c r="T147" s="25" t="s">
        <v>294</v>
      </c>
      <c r="V147" s="25" t="s">
        <v>388</v>
      </c>
      <c r="X147" s="25" t="s">
        <v>368</v>
      </c>
      <c r="Y147" s="25" t="s">
        <v>367</v>
      </c>
      <c r="Z147" s="25">
        <v>810049787</v>
      </c>
      <c r="AA147" s="25" t="s">
        <v>366</v>
      </c>
      <c r="AB147" s="25" t="s">
        <v>365</v>
      </c>
      <c r="AC147" s="25" t="s">
        <v>374</v>
      </c>
      <c r="AD147" s="25" t="s">
        <v>345</v>
      </c>
      <c r="AE147" s="25" t="s">
        <v>344</v>
      </c>
      <c r="AI147" s="31">
        <v>44003</v>
      </c>
      <c r="AJ147" s="25">
        <v>50</v>
      </c>
      <c r="AK147" s="25">
        <v>700</v>
      </c>
      <c r="BG147" s="25" t="s">
        <v>446</v>
      </c>
      <c r="BI147" s="25" t="s">
        <v>168</v>
      </c>
      <c r="BJ147" s="25">
        <v>2020</v>
      </c>
      <c r="BK147" s="25" t="s">
        <v>50</v>
      </c>
      <c r="BL147" s="25" t="s">
        <v>167</v>
      </c>
      <c r="BM147" s="25" t="s">
        <v>166</v>
      </c>
      <c r="BN147" s="30">
        <v>44146.185543101848</v>
      </c>
      <c r="BP147" s="25" t="s">
        <v>579</v>
      </c>
      <c r="BQ147" s="25" t="s">
        <v>419</v>
      </c>
      <c r="BR147" s="25" t="s">
        <v>513</v>
      </c>
      <c r="BS147" s="25">
        <v>4.1015202018575498E+18</v>
      </c>
      <c r="BT147" s="25" t="s">
        <v>164</v>
      </c>
      <c r="BU147" s="25" t="s">
        <v>512</v>
      </c>
      <c r="BV147" s="25">
        <v>2020</v>
      </c>
      <c r="BW147" s="25" t="s">
        <v>163</v>
      </c>
      <c r="BY147" s="25">
        <v>4.1110202018934799E+18</v>
      </c>
      <c r="BZ147" s="25" t="s">
        <v>578</v>
      </c>
      <c r="CA147" s="25" t="s">
        <v>161</v>
      </c>
    </row>
    <row r="148" spans="1:79" x14ac:dyDescent="0.2">
      <c r="A148" s="25" t="s">
        <v>192</v>
      </c>
      <c r="B148" s="25" t="s">
        <v>157</v>
      </c>
      <c r="C148" s="25">
        <v>2020</v>
      </c>
      <c r="D148" s="25" t="s">
        <v>422</v>
      </c>
      <c r="E148" s="25">
        <v>2.02101299418056E+17</v>
      </c>
      <c r="F148" s="25" t="s">
        <v>182</v>
      </c>
      <c r="G148" s="25" t="s">
        <v>577</v>
      </c>
      <c r="H148" s="25">
        <v>1494727</v>
      </c>
      <c r="J148" s="25" t="s">
        <v>180</v>
      </c>
      <c r="K148" s="25" t="s">
        <v>179</v>
      </c>
      <c r="N148" s="25" t="s">
        <v>543</v>
      </c>
      <c r="O148" s="25" t="s">
        <v>66</v>
      </c>
      <c r="P148" s="25" t="s">
        <v>177</v>
      </c>
      <c r="Q148" s="25" t="s">
        <v>34</v>
      </c>
      <c r="R148" s="25" t="s">
        <v>295</v>
      </c>
      <c r="S148" s="25" t="s">
        <v>0</v>
      </c>
      <c r="T148" s="25" t="s">
        <v>294</v>
      </c>
      <c r="V148" s="25" t="s">
        <v>542</v>
      </c>
      <c r="W148" s="25" t="s">
        <v>541</v>
      </c>
      <c r="X148" s="25" t="s">
        <v>540</v>
      </c>
      <c r="Y148" s="25" t="s">
        <v>349</v>
      </c>
      <c r="Z148" s="25">
        <v>33131</v>
      </c>
      <c r="AA148" s="25" t="s">
        <v>539</v>
      </c>
      <c r="AB148" s="25" t="s">
        <v>187</v>
      </c>
      <c r="AD148" s="25">
        <v>15</v>
      </c>
      <c r="AE148" s="25" t="s">
        <v>169</v>
      </c>
      <c r="AI148" s="31">
        <v>44162</v>
      </c>
      <c r="AJ148" s="25">
        <v>192.3</v>
      </c>
      <c r="AK148" s="25">
        <v>4615.2</v>
      </c>
      <c r="BG148" s="25" t="s">
        <v>28</v>
      </c>
      <c r="BI148" s="25" t="s">
        <v>168</v>
      </c>
      <c r="BK148" s="25" t="s">
        <v>50</v>
      </c>
      <c r="BL148" s="25" t="s">
        <v>167</v>
      </c>
      <c r="BM148" s="25" t="s">
        <v>166</v>
      </c>
      <c r="BN148" s="30">
        <v>44230.156113564815</v>
      </c>
      <c r="BR148" s="25" t="s">
        <v>165</v>
      </c>
      <c r="BS148" s="25">
        <v>4.01302021213907E+18</v>
      </c>
      <c r="BT148" s="25" t="s">
        <v>164</v>
      </c>
      <c r="BV148" s="25">
        <v>2020</v>
      </c>
      <c r="BW148" s="25" t="s">
        <v>163</v>
      </c>
      <c r="BY148" s="25">
        <v>4.0203202121404099E+18</v>
      </c>
      <c r="BZ148" s="25" t="s">
        <v>576</v>
      </c>
      <c r="CA148" s="25" t="s">
        <v>161</v>
      </c>
    </row>
    <row r="149" spans="1:79" x14ac:dyDescent="0.2">
      <c r="A149" s="25" t="s">
        <v>192</v>
      </c>
      <c r="B149" s="25" t="s">
        <v>157</v>
      </c>
      <c r="C149" s="25">
        <v>2020</v>
      </c>
      <c r="D149" s="25" t="s">
        <v>422</v>
      </c>
      <c r="E149" s="25">
        <v>2.02101299418056E+17</v>
      </c>
      <c r="F149" s="25" t="s">
        <v>182</v>
      </c>
      <c r="G149" s="25" t="s">
        <v>575</v>
      </c>
      <c r="H149" s="25">
        <v>1494727</v>
      </c>
      <c r="J149" s="25" t="s">
        <v>180</v>
      </c>
      <c r="K149" s="25" t="s">
        <v>179</v>
      </c>
      <c r="N149" s="25" t="s">
        <v>543</v>
      </c>
      <c r="O149" s="25" t="s">
        <v>66</v>
      </c>
      <c r="P149" s="25" t="s">
        <v>177</v>
      </c>
      <c r="Q149" s="25" t="s">
        <v>34</v>
      </c>
      <c r="R149" s="25" t="s">
        <v>295</v>
      </c>
      <c r="S149" s="25" t="s">
        <v>0</v>
      </c>
      <c r="T149" s="25" t="s">
        <v>294</v>
      </c>
      <c r="V149" s="25" t="s">
        <v>542</v>
      </c>
      <c r="W149" s="25" t="s">
        <v>541</v>
      </c>
      <c r="X149" s="25" t="s">
        <v>540</v>
      </c>
      <c r="Y149" s="25" t="s">
        <v>349</v>
      </c>
      <c r="Z149" s="25">
        <v>33131</v>
      </c>
      <c r="AA149" s="25" t="s">
        <v>539</v>
      </c>
      <c r="AB149" s="25" t="s">
        <v>187</v>
      </c>
      <c r="AD149" s="25">
        <v>15</v>
      </c>
      <c r="AE149" s="25" t="s">
        <v>169</v>
      </c>
      <c r="AI149" s="31">
        <v>44176</v>
      </c>
      <c r="AJ149" s="25">
        <v>192.3</v>
      </c>
      <c r="AK149" s="25">
        <v>4807.5</v>
      </c>
      <c r="BG149" s="25" t="s">
        <v>28</v>
      </c>
      <c r="BI149" s="25" t="s">
        <v>168</v>
      </c>
      <c r="BK149" s="25" t="s">
        <v>50</v>
      </c>
      <c r="BL149" s="25" t="s">
        <v>167</v>
      </c>
      <c r="BM149" s="25" t="s">
        <v>166</v>
      </c>
      <c r="BN149" s="30">
        <v>44230.156113564815</v>
      </c>
      <c r="BR149" s="25" t="s">
        <v>165</v>
      </c>
      <c r="BS149" s="25">
        <v>4.01302021213907E+18</v>
      </c>
      <c r="BT149" s="25" t="s">
        <v>164</v>
      </c>
      <c r="BV149" s="25">
        <v>2020</v>
      </c>
      <c r="BW149" s="25" t="s">
        <v>163</v>
      </c>
      <c r="BY149" s="25">
        <v>4.0203202121404099E+18</v>
      </c>
      <c r="BZ149" s="25" t="s">
        <v>573</v>
      </c>
      <c r="CA149" s="25" t="s">
        <v>161</v>
      </c>
    </row>
    <row r="150" spans="1:79" x14ac:dyDescent="0.2">
      <c r="A150" s="25" t="s">
        <v>192</v>
      </c>
      <c r="B150" s="25" t="s">
        <v>157</v>
      </c>
      <c r="C150" s="25">
        <v>2020</v>
      </c>
      <c r="D150" s="25" t="s">
        <v>422</v>
      </c>
      <c r="E150" s="25">
        <v>2.02101299418056E+17</v>
      </c>
      <c r="F150" s="25" t="s">
        <v>182</v>
      </c>
      <c r="G150" s="25" t="s">
        <v>574</v>
      </c>
      <c r="H150" s="25">
        <v>1494727</v>
      </c>
      <c r="J150" s="25" t="s">
        <v>180</v>
      </c>
      <c r="K150" s="25" t="s">
        <v>179</v>
      </c>
      <c r="N150" s="25" t="s">
        <v>543</v>
      </c>
      <c r="O150" s="25" t="s">
        <v>66</v>
      </c>
      <c r="P150" s="25" t="s">
        <v>177</v>
      </c>
      <c r="Q150" s="25" t="s">
        <v>34</v>
      </c>
      <c r="R150" s="25" t="s">
        <v>295</v>
      </c>
      <c r="S150" s="25" t="s">
        <v>0</v>
      </c>
      <c r="T150" s="25" t="s">
        <v>294</v>
      </c>
      <c r="V150" s="25" t="s">
        <v>542</v>
      </c>
      <c r="W150" s="25" t="s">
        <v>541</v>
      </c>
      <c r="X150" s="25" t="s">
        <v>540</v>
      </c>
      <c r="Y150" s="25" t="s">
        <v>349</v>
      </c>
      <c r="Z150" s="25">
        <v>33131</v>
      </c>
      <c r="AA150" s="25" t="s">
        <v>539</v>
      </c>
      <c r="AB150" s="25" t="s">
        <v>187</v>
      </c>
      <c r="AD150" s="25">
        <v>15</v>
      </c>
      <c r="AE150" s="25" t="s">
        <v>169</v>
      </c>
      <c r="AI150" s="31">
        <v>44189</v>
      </c>
      <c r="AJ150" s="25">
        <v>192.3</v>
      </c>
      <c r="AK150" s="25">
        <v>4999.8</v>
      </c>
      <c r="BG150" s="25" t="s">
        <v>28</v>
      </c>
      <c r="BI150" s="25" t="s">
        <v>168</v>
      </c>
      <c r="BK150" s="25" t="s">
        <v>50</v>
      </c>
      <c r="BL150" s="25" t="s">
        <v>167</v>
      </c>
      <c r="BM150" s="25" t="s">
        <v>166</v>
      </c>
      <c r="BN150" s="30">
        <v>44230.156113576391</v>
      </c>
      <c r="BR150" s="25" t="s">
        <v>165</v>
      </c>
      <c r="BS150" s="25">
        <v>4.01302021213907E+18</v>
      </c>
      <c r="BT150" s="25" t="s">
        <v>164</v>
      </c>
      <c r="BV150" s="25">
        <v>2020</v>
      </c>
      <c r="BW150" s="25" t="s">
        <v>163</v>
      </c>
      <c r="BY150" s="25">
        <v>4.0203202121404099E+18</v>
      </c>
      <c r="BZ150" s="25" t="s">
        <v>573</v>
      </c>
      <c r="CA150" s="25" t="s">
        <v>161</v>
      </c>
    </row>
    <row r="151" spans="1:79" hidden="1" x14ac:dyDescent="0.2">
      <c r="A151" s="25" t="s">
        <v>374</v>
      </c>
      <c r="B151" s="25" t="s">
        <v>287</v>
      </c>
      <c r="C151" s="25">
        <v>2020</v>
      </c>
      <c r="D151" s="25" t="s">
        <v>487</v>
      </c>
      <c r="E151" s="25">
        <v>2.0201217938828602E+17</v>
      </c>
      <c r="F151" s="25" t="s">
        <v>182</v>
      </c>
      <c r="G151" s="25" t="s">
        <v>572</v>
      </c>
      <c r="H151" s="25">
        <v>1483193</v>
      </c>
      <c r="J151" s="25" t="s">
        <v>180</v>
      </c>
      <c r="K151" s="25" t="s">
        <v>179</v>
      </c>
      <c r="L151" s="25" t="s">
        <v>434</v>
      </c>
      <c r="N151" s="25" t="s">
        <v>371</v>
      </c>
      <c r="O151" s="25" t="s">
        <v>297</v>
      </c>
      <c r="Q151" s="25" t="s">
        <v>296</v>
      </c>
      <c r="R151" s="25" t="s">
        <v>370</v>
      </c>
      <c r="T151" s="25" t="s">
        <v>294</v>
      </c>
      <c r="V151" s="25" t="s">
        <v>369</v>
      </c>
      <c r="X151" s="25" t="s">
        <v>368</v>
      </c>
      <c r="Y151" s="25" t="s">
        <v>367</v>
      </c>
      <c r="Z151" s="25">
        <v>81004</v>
      </c>
      <c r="AA151" s="25" t="s">
        <v>366</v>
      </c>
      <c r="AB151" s="25" t="s">
        <v>365</v>
      </c>
      <c r="AC151" s="25" t="s">
        <v>434</v>
      </c>
      <c r="AD151" s="25" t="s">
        <v>383</v>
      </c>
      <c r="AE151" s="25" t="s">
        <v>382</v>
      </c>
      <c r="AF151" s="25" t="s">
        <v>377</v>
      </c>
      <c r="AI151" s="31">
        <v>44113</v>
      </c>
      <c r="AJ151" s="25">
        <v>100</v>
      </c>
      <c r="AK151" s="25">
        <v>350</v>
      </c>
      <c r="AL151" s="25" t="s">
        <v>433</v>
      </c>
      <c r="BF151" s="25" t="s">
        <v>363</v>
      </c>
      <c r="BK151" s="25" t="s">
        <v>50</v>
      </c>
      <c r="BL151" s="25" t="s">
        <v>167</v>
      </c>
      <c r="BM151" s="25" t="s">
        <v>166</v>
      </c>
      <c r="BN151" s="30">
        <v>44231.425906585646</v>
      </c>
      <c r="BR151" s="25" t="s">
        <v>165</v>
      </c>
      <c r="BS151" s="25">
        <v>4.1219202019782098E+18</v>
      </c>
      <c r="BT151" s="25" t="s">
        <v>164</v>
      </c>
      <c r="BU151" s="25" t="s">
        <v>432</v>
      </c>
      <c r="BV151" s="25">
        <v>2020</v>
      </c>
      <c r="BW151" s="25" t="s">
        <v>163</v>
      </c>
      <c r="BY151" s="25">
        <v>4.0203202120131599E+18</v>
      </c>
      <c r="BZ151" s="25" t="s">
        <v>570</v>
      </c>
      <c r="CA151" s="25" t="s">
        <v>161</v>
      </c>
    </row>
    <row r="152" spans="1:79" hidden="1" x14ac:dyDescent="0.2">
      <c r="A152" s="25" t="s">
        <v>374</v>
      </c>
      <c r="B152" s="25" t="s">
        <v>287</v>
      </c>
      <c r="C152" s="25">
        <v>2020</v>
      </c>
      <c r="D152" s="25" t="s">
        <v>487</v>
      </c>
      <c r="E152" s="25">
        <v>2.0201217938828602E+17</v>
      </c>
      <c r="F152" s="25" t="s">
        <v>182</v>
      </c>
      <c r="G152" s="25" t="s">
        <v>571</v>
      </c>
      <c r="H152" s="25">
        <v>1483193</v>
      </c>
      <c r="J152" s="25" t="s">
        <v>180</v>
      </c>
      <c r="K152" s="25" t="s">
        <v>179</v>
      </c>
      <c r="N152" s="25" t="s">
        <v>371</v>
      </c>
      <c r="O152" s="25" t="s">
        <v>297</v>
      </c>
      <c r="Q152" s="25" t="s">
        <v>296</v>
      </c>
      <c r="R152" s="25" t="s">
        <v>370</v>
      </c>
      <c r="T152" s="25" t="s">
        <v>294</v>
      </c>
      <c r="V152" s="25" t="s">
        <v>369</v>
      </c>
      <c r="X152" s="25" t="s">
        <v>368</v>
      </c>
      <c r="Y152" s="25" t="s">
        <v>367</v>
      </c>
      <c r="Z152" s="25">
        <v>81004</v>
      </c>
      <c r="AA152" s="25" t="s">
        <v>366</v>
      </c>
      <c r="AB152" s="25" t="s">
        <v>365</v>
      </c>
      <c r="AF152" s="25" t="s">
        <v>364</v>
      </c>
      <c r="AI152" s="31">
        <v>44113</v>
      </c>
      <c r="AJ152" s="25">
        <v>5</v>
      </c>
      <c r="AK152" s="25">
        <v>62</v>
      </c>
      <c r="BF152" s="25" t="s">
        <v>363</v>
      </c>
      <c r="BK152" s="25" t="s">
        <v>50</v>
      </c>
      <c r="BL152" s="25" t="s">
        <v>167</v>
      </c>
      <c r="BM152" s="25" t="s">
        <v>166</v>
      </c>
      <c r="BN152" s="30">
        <v>44231.426016817131</v>
      </c>
      <c r="BR152" s="25" t="s">
        <v>165</v>
      </c>
      <c r="BS152" s="25">
        <v>4.1219202019782098E+18</v>
      </c>
      <c r="BT152" s="25" t="s">
        <v>164</v>
      </c>
      <c r="BU152" s="25" t="s">
        <v>362</v>
      </c>
      <c r="BV152" s="25">
        <v>2020</v>
      </c>
      <c r="BW152" s="25" t="s">
        <v>163</v>
      </c>
      <c r="BY152" s="25">
        <v>4.0203202120131599E+18</v>
      </c>
      <c r="BZ152" s="25" t="s">
        <v>570</v>
      </c>
      <c r="CA152" s="25" t="s">
        <v>161</v>
      </c>
    </row>
    <row r="153" spans="1:79" hidden="1" x14ac:dyDescent="0.2">
      <c r="A153" s="25" t="s">
        <v>346</v>
      </c>
      <c r="B153" s="25" t="s">
        <v>281</v>
      </c>
      <c r="C153" s="25">
        <v>2020</v>
      </c>
      <c r="D153" s="25" t="s">
        <v>373</v>
      </c>
      <c r="E153" s="25">
        <v>2.0210420944488301E+17</v>
      </c>
      <c r="F153" s="25" t="s">
        <v>450</v>
      </c>
      <c r="G153" s="25" t="s">
        <v>569</v>
      </c>
      <c r="H153" s="25">
        <v>1513941</v>
      </c>
      <c r="J153" s="25" t="s">
        <v>180</v>
      </c>
      <c r="K153" s="25" t="s">
        <v>179</v>
      </c>
      <c r="N153" s="25" t="s">
        <v>339</v>
      </c>
      <c r="O153" s="25" t="s">
        <v>28</v>
      </c>
      <c r="Q153" s="25" t="s">
        <v>28</v>
      </c>
      <c r="R153" s="25" t="s">
        <v>307</v>
      </c>
      <c r="T153" s="25" t="s">
        <v>294</v>
      </c>
      <c r="V153" s="25" t="s">
        <v>351</v>
      </c>
      <c r="X153" s="25" t="s">
        <v>350</v>
      </c>
      <c r="Y153" s="25" t="s">
        <v>349</v>
      </c>
      <c r="Z153" s="25">
        <v>32068</v>
      </c>
      <c r="AA153" s="25" t="s">
        <v>348</v>
      </c>
      <c r="AB153" s="25" t="s">
        <v>347</v>
      </c>
      <c r="AF153" s="25" t="s">
        <v>568</v>
      </c>
      <c r="AI153" s="31">
        <v>44059</v>
      </c>
      <c r="AJ153" s="25">
        <v>42</v>
      </c>
      <c r="AK153" s="25">
        <v>42</v>
      </c>
      <c r="BG153" s="25" t="s">
        <v>446</v>
      </c>
      <c r="BI153" s="25" t="s">
        <v>168</v>
      </c>
      <c r="BJ153" s="25">
        <v>2020</v>
      </c>
      <c r="BK153" s="25" t="s">
        <v>50</v>
      </c>
      <c r="BL153" s="25" t="s">
        <v>167</v>
      </c>
      <c r="BM153" s="25" t="s">
        <v>166</v>
      </c>
      <c r="BN153" s="30">
        <v>44336.162591157408</v>
      </c>
      <c r="BR153" s="25" t="s">
        <v>445</v>
      </c>
      <c r="BS153" s="25">
        <v>4.0423202112787599E+18</v>
      </c>
      <c r="BT153" s="25" t="s">
        <v>164</v>
      </c>
      <c r="BV153" s="25">
        <v>2020</v>
      </c>
      <c r="BW153" s="25" t="s">
        <v>163</v>
      </c>
      <c r="BY153" s="25">
        <v>4.05202021129566E+18</v>
      </c>
      <c r="BZ153" s="25" t="s">
        <v>565</v>
      </c>
      <c r="CA153" s="25" t="s">
        <v>161</v>
      </c>
    </row>
    <row r="154" spans="1:79" hidden="1" x14ac:dyDescent="0.2">
      <c r="A154" s="25" t="s">
        <v>346</v>
      </c>
      <c r="B154" s="25" t="s">
        <v>281</v>
      </c>
      <c r="C154" s="25">
        <v>2020</v>
      </c>
      <c r="D154" s="25" t="s">
        <v>373</v>
      </c>
      <c r="E154" s="25">
        <v>2.0210420944488301E+17</v>
      </c>
      <c r="F154" s="25" t="s">
        <v>450</v>
      </c>
      <c r="G154" s="25" t="s">
        <v>567</v>
      </c>
      <c r="H154" s="25">
        <v>1513941</v>
      </c>
      <c r="J154" s="25" t="s">
        <v>180</v>
      </c>
      <c r="K154" s="25" t="s">
        <v>179</v>
      </c>
      <c r="N154" s="25" t="s">
        <v>448</v>
      </c>
      <c r="O154" s="25" t="s">
        <v>28</v>
      </c>
      <c r="Q154" s="25" t="s">
        <v>28</v>
      </c>
      <c r="R154" s="25" t="s">
        <v>566</v>
      </c>
      <c r="T154" s="25" t="s">
        <v>294</v>
      </c>
      <c r="V154" s="25" t="s">
        <v>338</v>
      </c>
      <c r="X154" s="25" t="s">
        <v>337</v>
      </c>
      <c r="Y154" s="25" t="s">
        <v>172</v>
      </c>
      <c r="Z154" s="25">
        <v>92660</v>
      </c>
      <c r="AA154" s="25" t="s">
        <v>290</v>
      </c>
      <c r="AB154" s="25" t="s">
        <v>290</v>
      </c>
      <c r="AI154" s="31">
        <v>44050</v>
      </c>
      <c r="AJ154" s="25">
        <v>25</v>
      </c>
      <c r="AK154" s="25">
        <v>25</v>
      </c>
      <c r="BG154" s="25" t="s">
        <v>446</v>
      </c>
      <c r="BI154" s="25" t="s">
        <v>168</v>
      </c>
      <c r="BJ154" s="25">
        <v>2020</v>
      </c>
      <c r="BK154" s="25" t="s">
        <v>50</v>
      </c>
      <c r="BL154" s="25" t="s">
        <v>167</v>
      </c>
      <c r="BM154" s="25" t="s">
        <v>166</v>
      </c>
      <c r="BN154" s="30">
        <v>44336.162591157408</v>
      </c>
      <c r="BR154" s="25" t="s">
        <v>445</v>
      </c>
      <c r="BS154" s="25">
        <v>4.0423202112787599E+18</v>
      </c>
      <c r="BT154" s="25" t="s">
        <v>164</v>
      </c>
      <c r="BV154" s="25">
        <v>2020</v>
      </c>
      <c r="BW154" s="25" t="s">
        <v>163</v>
      </c>
      <c r="BY154" s="25">
        <v>4.05202021129566E+18</v>
      </c>
      <c r="BZ154" s="25" t="s">
        <v>565</v>
      </c>
      <c r="CA154" s="25" t="s">
        <v>161</v>
      </c>
    </row>
    <row r="155" spans="1:79" hidden="1" x14ac:dyDescent="0.2">
      <c r="A155" s="25" t="s">
        <v>346</v>
      </c>
      <c r="B155" s="25" t="s">
        <v>281</v>
      </c>
      <c r="C155" s="25">
        <v>2020</v>
      </c>
      <c r="D155" s="25" t="s">
        <v>422</v>
      </c>
      <c r="E155" s="25">
        <v>2.02105209447092E+17</v>
      </c>
      <c r="F155" s="25" t="s">
        <v>450</v>
      </c>
      <c r="G155" s="25" t="s">
        <v>564</v>
      </c>
      <c r="H155" s="25">
        <v>1517562</v>
      </c>
      <c r="J155" s="25" t="s">
        <v>180</v>
      </c>
      <c r="K155" s="25" t="s">
        <v>179</v>
      </c>
      <c r="N155" s="25" t="s">
        <v>339</v>
      </c>
      <c r="O155" s="25" t="s">
        <v>28</v>
      </c>
      <c r="Q155" s="25" t="s">
        <v>28</v>
      </c>
      <c r="R155" s="25" t="s">
        <v>307</v>
      </c>
      <c r="T155" s="25" t="s">
        <v>294</v>
      </c>
      <c r="V155" s="25" t="s">
        <v>338</v>
      </c>
      <c r="X155" s="25" t="s">
        <v>337</v>
      </c>
      <c r="Y155" s="25" t="s">
        <v>172</v>
      </c>
      <c r="Z155" s="25">
        <v>92658</v>
      </c>
      <c r="AA155" s="25" t="s">
        <v>290</v>
      </c>
      <c r="AB155" s="25" t="s">
        <v>290</v>
      </c>
      <c r="AD155" s="25">
        <v>15</v>
      </c>
      <c r="AE155" s="25" t="s">
        <v>169</v>
      </c>
      <c r="AF155" s="25" t="s">
        <v>563</v>
      </c>
      <c r="AG155" s="25" t="s">
        <v>533</v>
      </c>
      <c r="AI155" s="31">
        <v>44172</v>
      </c>
      <c r="AJ155" s="25">
        <v>-12.5</v>
      </c>
      <c r="AK155" s="25">
        <v>0</v>
      </c>
      <c r="BG155" s="25" t="s">
        <v>501</v>
      </c>
      <c r="BI155" s="25" t="s">
        <v>500</v>
      </c>
      <c r="BJ155" s="25">
        <v>2020</v>
      </c>
      <c r="BK155" s="25" t="s">
        <v>50</v>
      </c>
      <c r="BL155" s="25" t="s">
        <v>167</v>
      </c>
      <c r="BM155" s="25" t="s">
        <v>166</v>
      </c>
      <c r="BN155" s="30">
        <v>44344.152677523147</v>
      </c>
      <c r="BR155" s="25" t="s">
        <v>445</v>
      </c>
      <c r="BS155" s="25">
        <v>4.05212021129677E+18</v>
      </c>
      <c r="BT155" s="25" t="s">
        <v>164</v>
      </c>
      <c r="BV155" s="25">
        <v>2020</v>
      </c>
      <c r="BW155" s="25" t="s">
        <v>163</v>
      </c>
      <c r="BY155" s="25">
        <v>4.05282021129762E+18</v>
      </c>
      <c r="BZ155" s="25" t="s">
        <v>562</v>
      </c>
      <c r="CA155" s="25" t="s">
        <v>161</v>
      </c>
    </row>
    <row r="156" spans="1:79" hidden="1" x14ac:dyDescent="0.2">
      <c r="A156" s="25" t="s">
        <v>346</v>
      </c>
      <c r="B156" s="25" t="s">
        <v>281</v>
      </c>
      <c r="C156" s="25">
        <v>2020</v>
      </c>
      <c r="D156" s="25" t="s">
        <v>422</v>
      </c>
      <c r="E156" s="25">
        <v>2.02105209447092E+17</v>
      </c>
      <c r="F156" s="25" t="s">
        <v>450</v>
      </c>
      <c r="G156" s="25" t="s">
        <v>561</v>
      </c>
      <c r="H156" s="25">
        <v>1517562</v>
      </c>
      <c r="J156" s="25" t="s">
        <v>180</v>
      </c>
      <c r="K156" s="25" t="s">
        <v>179</v>
      </c>
      <c r="N156" s="25" t="s">
        <v>448</v>
      </c>
      <c r="O156" s="25" t="s">
        <v>28</v>
      </c>
      <c r="Q156" s="25" t="s">
        <v>28</v>
      </c>
      <c r="R156" s="25" t="s">
        <v>307</v>
      </c>
      <c r="S156" s="25" t="s">
        <v>447</v>
      </c>
      <c r="T156" s="25" t="s">
        <v>294</v>
      </c>
      <c r="V156" s="25" t="s">
        <v>338</v>
      </c>
      <c r="X156" s="25" t="s">
        <v>337</v>
      </c>
      <c r="Y156" s="25" t="s">
        <v>172</v>
      </c>
      <c r="Z156" s="25">
        <v>92658</v>
      </c>
      <c r="AA156" s="25" t="s">
        <v>290</v>
      </c>
      <c r="AB156" s="25" t="s">
        <v>290</v>
      </c>
      <c r="AF156" s="25" t="s">
        <v>560</v>
      </c>
      <c r="AI156" s="31">
        <v>44172</v>
      </c>
      <c r="AJ156" s="25">
        <v>25</v>
      </c>
      <c r="AK156" s="25">
        <v>25</v>
      </c>
      <c r="BG156" s="25" t="s">
        <v>501</v>
      </c>
      <c r="BI156" s="25" t="s">
        <v>500</v>
      </c>
      <c r="BJ156" s="25">
        <v>2020</v>
      </c>
      <c r="BK156" s="25" t="s">
        <v>50</v>
      </c>
      <c r="BL156" s="25" t="s">
        <v>167</v>
      </c>
      <c r="BM156" s="25" t="s">
        <v>166</v>
      </c>
      <c r="BN156" s="30">
        <v>44344.152677523147</v>
      </c>
      <c r="BR156" s="25" t="s">
        <v>445</v>
      </c>
      <c r="BS156" s="25">
        <v>4.05212021129677E+18</v>
      </c>
      <c r="BT156" s="25" t="s">
        <v>164</v>
      </c>
      <c r="BV156" s="25">
        <v>2020</v>
      </c>
      <c r="BW156" s="25" t="s">
        <v>163</v>
      </c>
      <c r="BY156" s="25">
        <v>4.05282021129762E+18</v>
      </c>
      <c r="BZ156" s="25" t="s">
        <v>559</v>
      </c>
      <c r="CA156" s="25" t="s">
        <v>161</v>
      </c>
    </row>
    <row r="157" spans="1:79" hidden="1" x14ac:dyDescent="0.2">
      <c r="A157" s="25" t="s">
        <v>346</v>
      </c>
      <c r="B157" s="25" t="s">
        <v>281</v>
      </c>
      <c r="C157" s="25">
        <v>2020</v>
      </c>
      <c r="D157" s="25" t="s">
        <v>553</v>
      </c>
      <c r="E157" s="25">
        <v>2.0210420944454099E+17</v>
      </c>
      <c r="F157" s="25">
        <v>18</v>
      </c>
      <c r="G157" s="25" t="s">
        <v>558</v>
      </c>
      <c r="H157" s="25">
        <v>1513938</v>
      </c>
      <c r="J157" s="25" t="s">
        <v>180</v>
      </c>
      <c r="K157" s="25" t="s">
        <v>179</v>
      </c>
      <c r="N157" s="25" t="s">
        <v>339</v>
      </c>
      <c r="O157" s="25" t="s">
        <v>28</v>
      </c>
      <c r="Q157" s="25" t="s">
        <v>28</v>
      </c>
      <c r="R157" s="25" t="s">
        <v>307</v>
      </c>
      <c r="T157" s="25" t="s">
        <v>294</v>
      </c>
      <c r="V157" s="25" t="s">
        <v>359</v>
      </c>
      <c r="X157" s="25" t="s">
        <v>358</v>
      </c>
      <c r="Y157" s="25" t="s">
        <v>172</v>
      </c>
      <c r="Z157" s="25">
        <v>93619</v>
      </c>
      <c r="AA157" s="25" t="s">
        <v>290</v>
      </c>
      <c r="AB157" s="25" t="s">
        <v>290</v>
      </c>
      <c r="AF157" s="25" t="s">
        <v>557</v>
      </c>
      <c r="AG157" s="25" t="s">
        <v>533</v>
      </c>
      <c r="AI157" s="31">
        <v>43953</v>
      </c>
      <c r="AJ157" s="25">
        <v>75</v>
      </c>
      <c r="AK157" s="25">
        <v>75</v>
      </c>
      <c r="BG157" s="25" t="s">
        <v>446</v>
      </c>
      <c r="BI157" s="25" t="s">
        <v>168</v>
      </c>
      <c r="BJ157" s="25">
        <v>2020</v>
      </c>
      <c r="BK157" s="25" t="s">
        <v>50</v>
      </c>
      <c r="BL157" s="25" t="s">
        <v>167</v>
      </c>
      <c r="BM157" s="25" t="s">
        <v>166</v>
      </c>
      <c r="BN157" s="30">
        <v>44315.158646249998</v>
      </c>
      <c r="BR157" s="25" t="s">
        <v>445</v>
      </c>
      <c r="BS157" s="25">
        <v>4.0423202112787599E+18</v>
      </c>
      <c r="BT157" s="25" t="s">
        <v>164</v>
      </c>
      <c r="BV157" s="25">
        <v>2020</v>
      </c>
      <c r="BW157" s="25" t="s">
        <v>163</v>
      </c>
      <c r="BY157" s="25">
        <v>4.0428202112822799E+18</v>
      </c>
      <c r="BZ157" s="25" t="s">
        <v>556</v>
      </c>
      <c r="CA157" s="25" t="s">
        <v>531</v>
      </c>
    </row>
    <row r="158" spans="1:79" hidden="1" x14ac:dyDescent="0.2">
      <c r="A158" s="25" t="s">
        <v>301</v>
      </c>
      <c r="B158" s="25" t="s">
        <v>277</v>
      </c>
      <c r="C158" s="25">
        <v>2020</v>
      </c>
      <c r="D158" s="25" t="s">
        <v>422</v>
      </c>
      <c r="E158" s="25">
        <v>2.02101299415464E+17</v>
      </c>
      <c r="F158" s="25" t="s">
        <v>182</v>
      </c>
      <c r="G158" s="25" t="s">
        <v>555</v>
      </c>
      <c r="H158" s="25">
        <v>1494216</v>
      </c>
      <c r="J158" s="25" t="s">
        <v>180</v>
      </c>
      <c r="K158" s="25" t="s">
        <v>179</v>
      </c>
      <c r="L158" s="25" t="s">
        <v>357</v>
      </c>
      <c r="N158" s="25" t="s">
        <v>339</v>
      </c>
      <c r="O158" s="25" t="s">
        <v>297</v>
      </c>
      <c r="Q158" s="25" t="s">
        <v>296</v>
      </c>
      <c r="R158" s="25" t="s">
        <v>307</v>
      </c>
      <c r="T158" s="25" t="s">
        <v>294</v>
      </c>
      <c r="V158" s="25" t="s">
        <v>359</v>
      </c>
      <c r="X158" s="25" t="s">
        <v>358</v>
      </c>
      <c r="Y158" s="25" t="s">
        <v>172</v>
      </c>
      <c r="Z158" s="25">
        <v>936198745</v>
      </c>
      <c r="AA158" s="25" t="s">
        <v>290</v>
      </c>
      <c r="AB158" s="25" t="s">
        <v>290</v>
      </c>
      <c r="AC158" s="25" t="s">
        <v>357</v>
      </c>
      <c r="AD158" s="25" t="s">
        <v>345</v>
      </c>
      <c r="AE158" s="25" t="s">
        <v>344</v>
      </c>
      <c r="AF158" s="25" t="s">
        <v>356</v>
      </c>
      <c r="AI158" s="31">
        <v>44191</v>
      </c>
      <c r="AJ158" s="25">
        <v>100</v>
      </c>
      <c r="AK158" s="25">
        <v>1600</v>
      </c>
      <c r="BK158" s="25" t="s">
        <v>50</v>
      </c>
      <c r="BL158" s="25" t="s">
        <v>167</v>
      </c>
      <c r="BM158" s="25" t="s">
        <v>166</v>
      </c>
      <c r="BN158" s="30">
        <v>44265.179776111108</v>
      </c>
      <c r="BR158" s="25" t="s">
        <v>165</v>
      </c>
      <c r="BS158" s="25">
        <v>4.0131202121392901E+18</v>
      </c>
      <c r="BT158" s="25" t="s">
        <v>164</v>
      </c>
      <c r="BV158" s="25">
        <v>2020</v>
      </c>
      <c r="BW158" s="25" t="s">
        <v>163</v>
      </c>
      <c r="BY158" s="25">
        <v>4.0309202112365501E+18</v>
      </c>
      <c r="BZ158" s="25" t="s">
        <v>554</v>
      </c>
      <c r="CA158" s="25" t="s">
        <v>161</v>
      </c>
    </row>
    <row r="159" spans="1:79" hidden="1" x14ac:dyDescent="0.2">
      <c r="A159" s="25" t="s">
        <v>346</v>
      </c>
      <c r="B159" s="25" t="s">
        <v>281</v>
      </c>
      <c r="C159" s="25">
        <v>2020</v>
      </c>
      <c r="D159" s="25" t="s">
        <v>553</v>
      </c>
      <c r="E159" s="25">
        <v>2.02104209444436E+17</v>
      </c>
      <c r="F159" s="25" t="s">
        <v>450</v>
      </c>
      <c r="G159" s="25" t="s">
        <v>552</v>
      </c>
      <c r="H159" s="25">
        <v>1513938</v>
      </c>
      <c r="J159" s="25" t="s">
        <v>180</v>
      </c>
      <c r="K159" s="25" t="s">
        <v>179</v>
      </c>
      <c r="N159" s="25" t="s">
        <v>339</v>
      </c>
      <c r="O159" s="25" t="s">
        <v>28</v>
      </c>
      <c r="Q159" s="25" t="s">
        <v>28</v>
      </c>
      <c r="R159" s="25" t="s">
        <v>307</v>
      </c>
      <c r="T159" s="25" t="s">
        <v>294</v>
      </c>
      <c r="V159" s="25" t="s">
        <v>359</v>
      </c>
      <c r="X159" s="25" t="s">
        <v>358</v>
      </c>
      <c r="Y159" s="25" t="s">
        <v>172</v>
      </c>
      <c r="Z159" s="25">
        <v>93619</v>
      </c>
      <c r="AA159" s="25" t="s">
        <v>290</v>
      </c>
      <c r="AB159" s="25" t="s">
        <v>290</v>
      </c>
      <c r="AF159" s="25" t="s">
        <v>551</v>
      </c>
      <c r="AI159" s="31">
        <v>43998</v>
      </c>
      <c r="AJ159" s="25">
        <v>100</v>
      </c>
      <c r="AK159" s="25">
        <v>175</v>
      </c>
      <c r="BG159" s="25" t="s">
        <v>446</v>
      </c>
      <c r="BI159" s="25" t="s">
        <v>168</v>
      </c>
      <c r="BJ159" s="25">
        <v>2020</v>
      </c>
      <c r="BK159" s="25" t="s">
        <v>50</v>
      </c>
      <c r="BL159" s="25" t="s">
        <v>167</v>
      </c>
      <c r="BM159" s="25" t="s">
        <v>166</v>
      </c>
      <c r="BN159" s="30">
        <v>44315.159279629632</v>
      </c>
      <c r="BR159" s="25" t="s">
        <v>445</v>
      </c>
      <c r="BS159" s="25">
        <v>4.0423202112787599E+18</v>
      </c>
      <c r="BT159" s="25" t="s">
        <v>164</v>
      </c>
      <c r="BV159" s="25">
        <v>2020</v>
      </c>
      <c r="BW159" s="25" t="s">
        <v>163</v>
      </c>
      <c r="BY159" s="25">
        <v>4.0428202112819599E+18</v>
      </c>
      <c r="BZ159" s="25" t="s">
        <v>550</v>
      </c>
      <c r="CA159" s="25" t="s">
        <v>161</v>
      </c>
    </row>
    <row r="160" spans="1:79" x14ac:dyDescent="0.2">
      <c r="A160" s="25" t="s">
        <v>192</v>
      </c>
      <c r="B160" s="25" t="s">
        <v>157</v>
      </c>
      <c r="C160" s="25">
        <v>2020</v>
      </c>
      <c r="D160" s="25" t="s">
        <v>300</v>
      </c>
      <c r="E160" s="25">
        <v>2.0201202933742E+17</v>
      </c>
      <c r="F160" s="25" t="s">
        <v>182</v>
      </c>
      <c r="G160" s="25" t="s">
        <v>549</v>
      </c>
      <c r="H160" s="25">
        <v>1476245</v>
      </c>
      <c r="J160" s="25" t="s">
        <v>180</v>
      </c>
      <c r="K160" s="25" t="s">
        <v>179</v>
      </c>
      <c r="N160" s="25" t="s">
        <v>543</v>
      </c>
      <c r="O160" s="25" t="s">
        <v>66</v>
      </c>
      <c r="P160" s="25" t="s">
        <v>177</v>
      </c>
      <c r="Q160" s="25" t="s">
        <v>34</v>
      </c>
      <c r="R160" s="25" t="s">
        <v>295</v>
      </c>
      <c r="S160" s="25" t="s">
        <v>0</v>
      </c>
      <c r="T160" s="25" t="s">
        <v>294</v>
      </c>
      <c r="V160" s="25" t="s">
        <v>542</v>
      </c>
      <c r="W160" s="25" t="s">
        <v>541</v>
      </c>
      <c r="X160" s="25" t="s">
        <v>540</v>
      </c>
      <c r="Y160" s="25" t="s">
        <v>349</v>
      </c>
      <c r="Z160" s="25">
        <v>33131</v>
      </c>
      <c r="AA160" s="25" t="s">
        <v>539</v>
      </c>
      <c r="AB160" s="25" t="s">
        <v>187</v>
      </c>
      <c r="AD160" s="25">
        <v>15</v>
      </c>
      <c r="AE160" s="25" t="s">
        <v>169</v>
      </c>
      <c r="AI160" s="31">
        <v>44120</v>
      </c>
      <c r="AJ160" s="25">
        <v>192.3</v>
      </c>
      <c r="AK160" s="25">
        <v>4038.3</v>
      </c>
      <c r="BG160" s="25" t="s">
        <v>28</v>
      </c>
      <c r="BI160" s="25" t="s">
        <v>168</v>
      </c>
      <c r="BK160" s="25" t="s">
        <v>50</v>
      </c>
      <c r="BL160" s="25" t="s">
        <v>167</v>
      </c>
      <c r="BM160" s="25" t="s">
        <v>166</v>
      </c>
      <c r="BN160" s="30">
        <v>44185.152155810189</v>
      </c>
      <c r="BR160" s="25" t="s">
        <v>165</v>
      </c>
      <c r="BS160" s="25">
        <v>4.1203202019631401E+18</v>
      </c>
      <c r="BT160" s="25" t="s">
        <v>164</v>
      </c>
      <c r="BV160" s="25">
        <v>2020</v>
      </c>
      <c r="BW160" s="25" t="s">
        <v>163</v>
      </c>
      <c r="BY160" s="25">
        <v>4.1220202019807401E+18</v>
      </c>
      <c r="BZ160" s="25" t="s">
        <v>547</v>
      </c>
      <c r="CA160" s="25" t="s">
        <v>161</v>
      </c>
    </row>
    <row r="161" spans="1:79" x14ac:dyDescent="0.2">
      <c r="A161" s="25" t="s">
        <v>192</v>
      </c>
      <c r="B161" s="25" t="s">
        <v>157</v>
      </c>
      <c r="C161" s="25">
        <v>2020</v>
      </c>
      <c r="D161" s="25" t="s">
        <v>300</v>
      </c>
      <c r="E161" s="25">
        <v>2.0201202933742E+17</v>
      </c>
      <c r="F161" s="25" t="s">
        <v>182</v>
      </c>
      <c r="G161" s="25" t="s">
        <v>548</v>
      </c>
      <c r="H161" s="25">
        <v>1476245</v>
      </c>
      <c r="J161" s="25" t="s">
        <v>180</v>
      </c>
      <c r="K161" s="25" t="s">
        <v>179</v>
      </c>
      <c r="N161" s="25" t="s">
        <v>543</v>
      </c>
      <c r="O161" s="25" t="s">
        <v>66</v>
      </c>
      <c r="P161" s="25" t="s">
        <v>177</v>
      </c>
      <c r="Q161" s="25" t="s">
        <v>34</v>
      </c>
      <c r="R161" s="25" t="s">
        <v>295</v>
      </c>
      <c r="S161" s="25" t="s">
        <v>0</v>
      </c>
      <c r="T161" s="25" t="s">
        <v>294</v>
      </c>
      <c r="V161" s="25" t="s">
        <v>542</v>
      </c>
      <c r="W161" s="25" t="s">
        <v>541</v>
      </c>
      <c r="X161" s="25" t="s">
        <v>540</v>
      </c>
      <c r="Y161" s="25" t="s">
        <v>349</v>
      </c>
      <c r="Z161" s="25">
        <v>33131</v>
      </c>
      <c r="AA161" s="25" t="s">
        <v>539</v>
      </c>
      <c r="AB161" s="25" t="s">
        <v>187</v>
      </c>
      <c r="AD161" s="25">
        <v>15</v>
      </c>
      <c r="AE161" s="25" t="s">
        <v>169</v>
      </c>
      <c r="AI161" s="31">
        <v>44134</v>
      </c>
      <c r="AJ161" s="25">
        <v>192.3</v>
      </c>
      <c r="AK161" s="25">
        <v>4230.6000000000004</v>
      </c>
      <c r="BG161" s="25" t="s">
        <v>28</v>
      </c>
      <c r="BI161" s="25" t="s">
        <v>168</v>
      </c>
      <c r="BK161" s="25" t="s">
        <v>50</v>
      </c>
      <c r="BL161" s="25" t="s">
        <v>167</v>
      </c>
      <c r="BM161" s="25" t="s">
        <v>166</v>
      </c>
      <c r="BN161" s="30">
        <v>44185.152155810189</v>
      </c>
      <c r="BR161" s="25" t="s">
        <v>165</v>
      </c>
      <c r="BS161" s="25">
        <v>4.1203202019631401E+18</v>
      </c>
      <c r="BT161" s="25" t="s">
        <v>164</v>
      </c>
      <c r="BV161" s="25">
        <v>2020</v>
      </c>
      <c r="BW161" s="25" t="s">
        <v>163</v>
      </c>
      <c r="BY161" s="25">
        <v>4.1220202019807401E+18</v>
      </c>
      <c r="BZ161" s="25" t="s">
        <v>547</v>
      </c>
      <c r="CA161" s="25" t="s">
        <v>161</v>
      </c>
    </row>
    <row r="162" spans="1:79" x14ac:dyDescent="0.2">
      <c r="A162" s="25" t="s">
        <v>192</v>
      </c>
      <c r="B162" s="25" t="s">
        <v>157</v>
      </c>
      <c r="C162" s="25">
        <v>2020</v>
      </c>
      <c r="D162" s="25" t="s">
        <v>300</v>
      </c>
      <c r="E162" s="25">
        <v>2.0201202933742E+17</v>
      </c>
      <c r="F162" s="25" t="s">
        <v>182</v>
      </c>
      <c r="G162" s="25" t="s">
        <v>546</v>
      </c>
      <c r="H162" s="25">
        <v>1476245</v>
      </c>
      <c r="J162" s="25" t="s">
        <v>180</v>
      </c>
      <c r="K162" s="25" t="s">
        <v>179</v>
      </c>
      <c r="N162" s="25" t="s">
        <v>543</v>
      </c>
      <c r="O162" s="25" t="s">
        <v>66</v>
      </c>
      <c r="P162" s="25" t="s">
        <v>177</v>
      </c>
      <c r="Q162" s="25" t="s">
        <v>34</v>
      </c>
      <c r="R162" s="25" t="s">
        <v>295</v>
      </c>
      <c r="S162" s="25" t="s">
        <v>0</v>
      </c>
      <c r="T162" s="25" t="s">
        <v>294</v>
      </c>
      <c r="V162" s="25" t="s">
        <v>542</v>
      </c>
      <c r="W162" s="25" t="s">
        <v>541</v>
      </c>
      <c r="X162" s="25" t="s">
        <v>540</v>
      </c>
      <c r="Y162" s="25" t="s">
        <v>349</v>
      </c>
      <c r="Z162" s="25">
        <v>33131</v>
      </c>
      <c r="AA162" s="25" t="s">
        <v>539</v>
      </c>
      <c r="AB162" s="25" t="s">
        <v>187</v>
      </c>
      <c r="AD162" s="25">
        <v>15</v>
      </c>
      <c r="AE162" s="25" t="s">
        <v>169</v>
      </c>
      <c r="AI162" s="31">
        <v>44148</v>
      </c>
      <c r="AJ162" s="25">
        <v>192.3</v>
      </c>
      <c r="AK162" s="25">
        <v>4422.8999999999996</v>
      </c>
      <c r="BG162" s="25" t="s">
        <v>28</v>
      </c>
      <c r="BI162" s="25" t="s">
        <v>168</v>
      </c>
      <c r="BK162" s="25" t="s">
        <v>50</v>
      </c>
      <c r="BL162" s="25" t="s">
        <v>167</v>
      </c>
      <c r="BM162" s="25" t="s">
        <v>166</v>
      </c>
      <c r="BN162" s="30">
        <v>44185.152155810189</v>
      </c>
      <c r="BR162" s="25" t="s">
        <v>165</v>
      </c>
      <c r="BS162" s="25">
        <v>4.1203202019631401E+18</v>
      </c>
      <c r="BT162" s="25" t="s">
        <v>164</v>
      </c>
      <c r="BV162" s="25">
        <v>2020</v>
      </c>
      <c r="BW162" s="25" t="s">
        <v>163</v>
      </c>
      <c r="BY162" s="25">
        <v>4.1220202019807401E+18</v>
      </c>
      <c r="BZ162" s="25" t="s">
        <v>545</v>
      </c>
      <c r="CA162" s="25" t="s">
        <v>161</v>
      </c>
    </row>
    <row r="163" spans="1:79" x14ac:dyDescent="0.2">
      <c r="A163" s="25" t="s">
        <v>192</v>
      </c>
      <c r="B163" s="25" t="s">
        <v>157</v>
      </c>
      <c r="C163" s="25">
        <v>2020</v>
      </c>
      <c r="D163" s="25" t="s">
        <v>487</v>
      </c>
      <c r="E163" s="25">
        <v>2.0201022933302899E+17</v>
      </c>
      <c r="F163" s="25" t="s">
        <v>182</v>
      </c>
      <c r="G163" s="25" t="s">
        <v>544</v>
      </c>
      <c r="H163" s="25">
        <v>1462787</v>
      </c>
      <c r="J163" s="25" t="s">
        <v>180</v>
      </c>
      <c r="K163" s="25" t="s">
        <v>179</v>
      </c>
      <c r="N163" s="25" t="s">
        <v>543</v>
      </c>
      <c r="O163" s="25" t="s">
        <v>66</v>
      </c>
      <c r="P163" s="25" t="s">
        <v>177</v>
      </c>
      <c r="Q163" s="25" t="s">
        <v>34</v>
      </c>
      <c r="R163" s="25" t="s">
        <v>295</v>
      </c>
      <c r="S163" s="25" t="s">
        <v>0</v>
      </c>
      <c r="T163" s="25" t="s">
        <v>294</v>
      </c>
      <c r="V163" s="25" t="s">
        <v>542</v>
      </c>
      <c r="W163" s="25" t="s">
        <v>541</v>
      </c>
      <c r="X163" s="25" t="s">
        <v>540</v>
      </c>
      <c r="Y163" s="25" t="s">
        <v>349</v>
      </c>
      <c r="Z163" s="25">
        <v>33131</v>
      </c>
      <c r="AA163" s="25" t="s">
        <v>539</v>
      </c>
      <c r="AB163" s="25" t="s">
        <v>187</v>
      </c>
      <c r="AD163" s="25">
        <v>15</v>
      </c>
      <c r="AE163" s="25" t="s">
        <v>169</v>
      </c>
      <c r="AI163" s="31">
        <v>44106</v>
      </c>
      <c r="AJ163" s="25">
        <v>192.3</v>
      </c>
      <c r="AK163" s="25">
        <v>3846</v>
      </c>
      <c r="BG163" s="25" t="s">
        <v>28</v>
      </c>
      <c r="BI163" s="25" t="s">
        <v>168</v>
      </c>
      <c r="BK163" s="25" t="s">
        <v>50</v>
      </c>
      <c r="BL163" s="25" t="s">
        <v>167</v>
      </c>
      <c r="BM163" s="25" t="s">
        <v>166</v>
      </c>
      <c r="BN163" s="30">
        <v>44169.186674004632</v>
      </c>
      <c r="BR163" s="25" t="s">
        <v>165</v>
      </c>
      <c r="BS163" s="25">
        <v>4.1023202018827602E+18</v>
      </c>
      <c r="BT163" s="25" t="s">
        <v>164</v>
      </c>
      <c r="BV163" s="25">
        <v>2020</v>
      </c>
      <c r="BW163" s="25" t="s">
        <v>163</v>
      </c>
      <c r="BY163" s="25">
        <v>4.1204202019641702E+18</v>
      </c>
      <c r="BZ163" s="25" t="s">
        <v>538</v>
      </c>
      <c r="CA163" s="25" t="s">
        <v>161</v>
      </c>
    </row>
    <row r="164" spans="1:79" hidden="1" x14ac:dyDescent="0.2">
      <c r="A164" s="25" t="s">
        <v>301</v>
      </c>
      <c r="B164" s="25" t="s">
        <v>277</v>
      </c>
      <c r="C164" s="25">
        <v>2020</v>
      </c>
      <c r="D164" s="25" t="s">
        <v>407</v>
      </c>
      <c r="E164" s="25">
        <v>2.0210114940002301E+17</v>
      </c>
      <c r="F164" s="25" t="s">
        <v>182</v>
      </c>
      <c r="G164" s="25" t="s">
        <v>537</v>
      </c>
      <c r="H164" s="25">
        <v>1487725</v>
      </c>
      <c r="J164" s="25" t="s">
        <v>180</v>
      </c>
      <c r="K164" s="25" t="s">
        <v>179</v>
      </c>
      <c r="N164" s="25" t="s">
        <v>339</v>
      </c>
      <c r="O164" s="25" t="s">
        <v>297</v>
      </c>
      <c r="Q164" s="25" t="s">
        <v>296</v>
      </c>
      <c r="R164" s="25" t="s">
        <v>307</v>
      </c>
      <c r="T164" s="25" t="s">
        <v>294</v>
      </c>
      <c r="V164" s="25" t="s">
        <v>359</v>
      </c>
      <c r="X164" s="25" t="s">
        <v>358</v>
      </c>
      <c r="Y164" s="25" t="s">
        <v>172</v>
      </c>
      <c r="Z164" s="25">
        <v>936198745</v>
      </c>
      <c r="AA164" s="25" t="s">
        <v>411</v>
      </c>
      <c r="AB164" s="25" t="s">
        <v>410</v>
      </c>
      <c r="AF164" s="25" t="s">
        <v>313</v>
      </c>
      <c r="AI164" s="31">
        <v>43923</v>
      </c>
      <c r="AJ164" s="25">
        <v>100</v>
      </c>
      <c r="AK164" s="25">
        <v>200</v>
      </c>
      <c r="BK164" s="25" t="s">
        <v>50</v>
      </c>
      <c r="BL164" s="25" t="s">
        <v>167</v>
      </c>
      <c r="BM164" s="25" t="s">
        <v>166</v>
      </c>
      <c r="BN164" s="30">
        <v>44245.358836458334</v>
      </c>
      <c r="BR164" s="25" t="s">
        <v>165</v>
      </c>
      <c r="BS164" s="25">
        <v>4.0120202120938301E+18</v>
      </c>
      <c r="BT164" s="25" t="s">
        <v>164</v>
      </c>
      <c r="BV164" s="25">
        <v>2020</v>
      </c>
      <c r="BW164" s="25" t="s">
        <v>163</v>
      </c>
      <c r="BY164" s="25">
        <v>4.02172021114995E+18</v>
      </c>
      <c r="BZ164" s="25" t="s">
        <v>536</v>
      </c>
      <c r="CA164" s="25" t="s">
        <v>161</v>
      </c>
    </row>
    <row r="165" spans="1:79" hidden="1" x14ac:dyDescent="0.2">
      <c r="A165" s="25" t="s">
        <v>346</v>
      </c>
      <c r="B165" s="25" t="s">
        <v>281</v>
      </c>
      <c r="C165" s="25">
        <v>2020</v>
      </c>
      <c r="D165" s="25" t="s">
        <v>451</v>
      </c>
      <c r="E165" s="25">
        <v>2.0210420944473299E+17</v>
      </c>
      <c r="F165" s="25">
        <v>18</v>
      </c>
      <c r="G165" s="25" t="s">
        <v>535</v>
      </c>
      <c r="H165" s="25">
        <v>1513940</v>
      </c>
      <c r="J165" s="25" t="s">
        <v>180</v>
      </c>
      <c r="K165" s="25" t="s">
        <v>179</v>
      </c>
      <c r="N165" s="25" t="s">
        <v>448</v>
      </c>
      <c r="O165" s="25" t="s">
        <v>28</v>
      </c>
      <c r="Q165" s="25" t="s">
        <v>28</v>
      </c>
      <c r="R165" s="25" t="s">
        <v>307</v>
      </c>
      <c r="S165" s="25" t="s">
        <v>447</v>
      </c>
      <c r="T165" s="25" t="s">
        <v>294</v>
      </c>
      <c r="V165" s="25" t="s">
        <v>338</v>
      </c>
      <c r="X165" s="25" t="s">
        <v>337</v>
      </c>
      <c r="Y165" s="25" t="s">
        <v>172</v>
      </c>
      <c r="Z165" s="25">
        <v>92660</v>
      </c>
      <c r="AA165" s="25" t="s">
        <v>290</v>
      </c>
      <c r="AB165" s="25" t="s">
        <v>290</v>
      </c>
      <c r="AF165" s="25" t="s">
        <v>534</v>
      </c>
      <c r="AG165" s="25" t="s">
        <v>533</v>
      </c>
      <c r="AI165" s="31">
        <v>44016</v>
      </c>
      <c r="AJ165" s="25">
        <v>18.75</v>
      </c>
      <c r="AK165" s="25">
        <v>18.75</v>
      </c>
      <c r="BG165" s="25" t="s">
        <v>446</v>
      </c>
      <c r="BI165" s="25" t="s">
        <v>168</v>
      </c>
      <c r="BJ165" s="25">
        <v>2020</v>
      </c>
      <c r="BK165" s="25" t="s">
        <v>50</v>
      </c>
      <c r="BL165" s="25" t="s">
        <v>167</v>
      </c>
      <c r="BM165" s="25" t="s">
        <v>166</v>
      </c>
      <c r="BN165" s="30">
        <v>44315.163948067129</v>
      </c>
      <c r="BR165" s="25" t="s">
        <v>445</v>
      </c>
      <c r="BS165" s="25">
        <v>4.0423202112787599E+18</v>
      </c>
      <c r="BT165" s="25" t="s">
        <v>164</v>
      </c>
      <c r="BV165" s="25">
        <v>2020</v>
      </c>
      <c r="BW165" s="25" t="s">
        <v>163</v>
      </c>
      <c r="BY165" s="25">
        <v>4.04282021128354E+18</v>
      </c>
      <c r="BZ165" s="25" t="s">
        <v>532</v>
      </c>
      <c r="CA165" s="25" t="s">
        <v>531</v>
      </c>
    </row>
    <row r="166" spans="1:79" hidden="1" x14ac:dyDescent="0.2">
      <c r="A166" s="25" t="s">
        <v>357</v>
      </c>
      <c r="B166" s="25" t="s">
        <v>280</v>
      </c>
      <c r="C166" s="25">
        <v>2020</v>
      </c>
      <c r="D166" s="25" t="s">
        <v>422</v>
      </c>
      <c r="E166" s="25">
        <v>2.0210625945065299E+17</v>
      </c>
      <c r="F166" s="25" t="s">
        <v>182</v>
      </c>
      <c r="G166" s="25" t="s">
        <v>530</v>
      </c>
      <c r="H166" s="25">
        <v>1521562</v>
      </c>
      <c r="J166" s="25" t="s">
        <v>180</v>
      </c>
      <c r="K166" s="25" t="s">
        <v>179</v>
      </c>
      <c r="N166" s="25" t="s">
        <v>339</v>
      </c>
      <c r="O166" s="25" t="s">
        <v>26</v>
      </c>
      <c r="Q166" s="25" t="s">
        <v>296</v>
      </c>
      <c r="R166" s="25" t="s">
        <v>307</v>
      </c>
      <c r="T166" s="25" t="s">
        <v>294</v>
      </c>
      <c r="V166" s="25" t="s">
        <v>359</v>
      </c>
      <c r="X166" s="25" t="s">
        <v>358</v>
      </c>
      <c r="Y166" s="25" t="s">
        <v>172</v>
      </c>
      <c r="Z166" s="25">
        <v>936198745</v>
      </c>
      <c r="AA166" s="25" t="s">
        <v>290</v>
      </c>
      <c r="AB166" s="25" t="s">
        <v>290</v>
      </c>
      <c r="AD166" s="25" t="s">
        <v>345</v>
      </c>
      <c r="AE166" s="25" t="s">
        <v>344</v>
      </c>
      <c r="AF166" s="25" t="s">
        <v>169</v>
      </c>
      <c r="AI166" s="31">
        <v>44196</v>
      </c>
      <c r="AJ166" s="25">
        <v>100</v>
      </c>
      <c r="AK166" s="25">
        <v>675</v>
      </c>
      <c r="BG166" s="25" t="s">
        <v>28</v>
      </c>
      <c r="BI166" s="25" t="s">
        <v>168</v>
      </c>
      <c r="BK166" s="25" t="s">
        <v>50</v>
      </c>
      <c r="BL166" s="25" t="s">
        <v>167</v>
      </c>
      <c r="BM166" s="25" t="s">
        <v>166</v>
      </c>
      <c r="BN166" s="30">
        <v>44377.235101550927</v>
      </c>
      <c r="BP166" s="25" t="s">
        <v>529</v>
      </c>
      <c r="BQ166" s="25" t="s">
        <v>419</v>
      </c>
      <c r="BR166" s="25" t="s">
        <v>165</v>
      </c>
      <c r="BS166" s="25">
        <v>4.0626202113116902E+18</v>
      </c>
      <c r="BT166" s="25" t="s">
        <v>164</v>
      </c>
      <c r="BU166" s="25" t="s">
        <v>418</v>
      </c>
      <c r="BV166" s="25">
        <v>2020</v>
      </c>
      <c r="BW166" s="25" t="s">
        <v>163</v>
      </c>
      <c r="BY166" s="25">
        <v>4.0630202113181701E+18</v>
      </c>
      <c r="BZ166" s="25" t="s">
        <v>528</v>
      </c>
      <c r="CA166" s="25" t="s">
        <v>161</v>
      </c>
    </row>
    <row r="167" spans="1:79" hidden="1" x14ac:dyDescent="0.2">
      <c r="A167" s="25" t="s">
        <v>301</v>
      </c>
      <c r="B167" s="25" t="s">
        <v>277</v>
      </c>
      <c r="C167" s="25">
        <v>2020</v>
      </c>
      <c r="D167" s="25" t="s">
        <v>407</v>
      </c>
      <c r="E167" s="25">
        <v>2.0210114940032899E+17</v>
      </c>
      <c r="F167" s="25" t="s">
        <v>182</v>
      </c>
      <c r="G167" s="25" t="s">
        <v>527</v>
      </c>
      <c r="H167" s="25">
        <v>1487725</v>
      </c>
      <c r="J167" s="25" t="s">
        <v>180</v>
      </c>
      <c r="K167" s="25" t="s">
        <v>179</v>
      </c>
      <c r="N167" s="25" t="s">
        <v>298</v>
      </c>
      <c r="O167" s="25" t="s">
        <v>297</v>
      </c>
      <c r="Q167" s="25" t="s">
        <v>296</v>
      </c>
      <c r="R167" s="25" t="s">
        <v>295</v>
      </c>
      <c r="T167" s="25" t="s">
        <v>294</v>
      </c>
      <c r="V167" s="25" t="s">
        <v>526</v>
      </c>
      <c r="X167" s="25" t="s">
        <v>525</v>
      </c>
      <c r="Y167" s="25" t="s">
        <v>349</v>
      </c>
      <c r="Z167" s="25">
        <v>328146860</v>
      </c>
      <c r="AA167" s="25" t="s">
        <v>290</v>
      </c>
      <c r="AB167" s="25" t="s">
        <v>290</v>
      </c>
      <c r="AF167" s="25" t="s">
        <v>313</v>
      </c>
      <c r="AI167" s="31">
        <v>43944</v>
      </c>
      <c r="AJ167" s="25">
        <v>25</v>
      </c>
      <c r="AK167" s="25">
        <v>25</v>
      </c>
      <c r="BK167" s="25" t="s">
        <v>50</v>
      </c>
      <c r="BL167" s="25" t="s">
        <v>167</v>
      </c>
      <c r="BM167" s="25" t="s">
        <v>166</v>
      </c>
      <c r="BN167" s="30">
        <v>44245.360581921297</v>
      </c>
      <c r="BR167" s="25" t="s">
        <v>165</v>
      </c>
      <c r="BS167" s="25">
        <v>4.0120202120938301E+18</v>
      </c>
      <c r="BT167" s="25" t="s">
        <v>164</v>
      </c>
      <c r="BV167" s="25">
        <v>2020</v>
      </c>
      <c r="BW167" s="25" t="s">
        <v>163</v>
      </c>
      <c r="BY167" s="25">
        <v>4.02172021115185E+18</v>
      </c>
      <c r="BZ167" s="25" t="s">
        <v>524</v>
      </c>
      <c r="CA167" s="25" t="s">
        <v>161</v>
      </c>
    </row>
    <row r="168" spans="1:79" hidden="1" x14ac:dyDescent="0.2">
      <c r="A168" s="25" t="s">
        <v>301</v>
      </c>
      <c r="B168" s="25" t="s">
        <v>277</v>
      </c>
      <c r="C168" s="25">
        <v>2020</v>
      </c>
      <c r="D168" s="25" t="s">
        <v>407</v>
      </c>
      <c r="E168" s="25">
        <v>2.0210114940169101E+17</v>
      </c>
      <c r="F168" s="25" t="s">
        <v>182</v>
      </c>
      <c r="G168" s="25" t="s">
        <v>523</v>
      </c>
      <c r="H168" s="25">
        <v>1487725</v>
      </c>
      <c r="J168" s="25" t="s">
        <v>180</v>
      </c>
      <c r="K168" s="25" t="s">
        <v>179</v>
      </c>
      <c r="L168" s="25" t="s">
        <v>346</v>
      </c>
      <c r="N168" s="25" t="s">
        <v>339</v>
      </c>
      <c r="O168" s="25" t="s">
        <v>297</v>
      </c>
      <c r="Q168" s="25" t="s">
        <v>296</v>
      </c>
      <c r="R168" s="25" t="s">
        <v>307</v>
      </c>
      <c r="T168" s="25" t="s">
        <v>294</v>
      </c>
      <c r="V168" s="25" t="s">
        <v>359</v>
      </c>
      <c r="X168" s="25" t="s">
        <v>358</v>
      </c>
      <c r="Y168" s="25" t="s">
        <v>172</v>
      </c>
      <c r="Z168" s="25">
        <v>936198745</v>
      </c>
      <c r="AA168" s="25" t="s">
        <v>411</v>
      </c>
      <c r="AB168" s="25" t="s">
        <v>410</v>
      </c>
      <c r="AC168" s="25" t="s">
        <v>346</v>
      </c>
      <c r="AD168" s="25" t="s">
        <v>345</v>
      </c>
      <c r="AE168" s="25" t="s">
        <v>344</v>
      </c>
      <c r="AF168" s="25" t="s">
        <v>303</v>
      </c>
      <c r="AI168" s="31">
        <v>43998</v>
      </c>
      <c r="AJ168" s="25">
        <v>100</v>
      </c>
      <c r="AK168" s="25">
        <v>600</v>
      </c>
      <c r="AL168" s="25" t="s">
        <v>343</v>
      </c>
      <c r="BK168" s="25" t="s">
        <v>50</v>
      </c>
      <c r="BL168" s="25" t="s">
        <v>167</v>
      </c>
      <c r="BM168" s="25" t="s">
        <v>166</v>
      </c>
      <c r="BN168" s="30">
        <v>44245.363467719908</v>
      </c>
      <c r="BR168" s="25" t="s">
        <v>165</v>
      </c>
      <c r="BS168" s="25">
        <v>4.0120202120938301E+18</v>
      </c>
      <c r="BT168" s="25" t="s">
        <v>164</v>
      </c>
      <c r="BV168" s="25">
        <v>2020</v>
      </c>
      <c r="BW168" s="25" t="s">
        <v>163</v>
      </c>
      <c r="BY168" s="25">
        <v>4.02172021114991E+18</v>
      </c>
      <c r="BZ168" s="25" t="s">
        <v>522</v>
      </c>
      <c r="CA168" s="25" t="s">
        <v>161</v>
      </c>
    </row>
    <row r="169" spans="1:79" hidden="1" x14ac:dyDescent="0.2">
      <c r="A169" s="25" t="s">
        <v>374</v>
      </c>
      <c r="B169" s="25" t="s">
        <v>287</v>
      </c>
      <c r="C169" s="25">
        <v>2020</v>
      </c>
      <c r="D169" s="25" t="s">
        <v>300</v>
      </c>
      <c r="E169" s="25">
        <v>2.0201204935430099E+17</v>
      </c>
      <c r="F169" s="25" t="s">
        <v>182</v>
      </c>
      <c r="G169" s="25" t="s">
        <v>521</v>
      </c>
      <c r="H169" s="25">
        <v>1481637</v>
      </c>
      <c r="J169" s="25" t="s">
        <v>180</v>
      </c>
      <c r="K169" s="25" t="s">
        <v>179</v>
      </c>
      <c r="N169" s="25" t="s">
        <v>371</v>
      </c>
      <c r="O169" s="25" t="s">
        <v>297</v>
      </c>
      <c r="Q169" s="25" t="s">
        <v>296</v>
      </c>
      <c r="R169" s="25" t="s">
        <v>370</v>
      </c>
      <c r="T169" s="25" t="s">
        <v>294</v>
      </c>
      <c r="V169" s="25" t="s">
        <v>369</v>
      </c>
      <c r="X169" s="25" t="s">
        <v>368</v>
      </c>
      <c r="Y169" s="25" t="s">
        <v>367</v>
      </c>
      <c r="Z169" s="25">
        <v>81004</v>
      </c>
      <c r="AA169" s="25" t="s">
        <v>366</v>
      </c>
      <c r="AB169" s="25" t="s">
        <v>365</v>
      </c>
      <c r="AF169" s="25" t="s">
        <v>364</v>
      </c>
      <c r="AI169" s="31">
        <v>44133</v>
      </c>
      <c r="AJ169" s="25">
        <v>2</v>
      </c>
      <c r="AK169" s="25">
        <v>64</v>
      </c>
      <c r="BF169" s="25" t="s">
        <v>363</v>
      </c>
      <c r="BK169" s="25" t="s">
        <v>50</v>
      </c>
      <c r="BL169" s="25" t="s">
        <v>167</v>
      </c>
      <c r="BM169" s="25" t="s">
        <v>166</v>
      </c>
      <c r="BN169" s="30">
        <v>44201.547613946757</v>
      </c>
      <c r="BR169" s="25" t="s">
        <v>165</v>
      </c>
      <c r="BS169" s="25">
        <v>4.1205202019644498E+18</v>
      </c>
      <c r="BT169" s="25" t="s">
        <v>164</v>
      </c>
      <c r="BU169" s="25" t="s">
        <v>362</v>
      </c>
      <c r="BV169" s="25">
        <v>2020</v>
      </c>
      <c r="BW169" s="25" t="s">
        <v>163</v>
      </c>
      <c r="BY169" s="25">
        <v>4.0104202120008602E+18</v>
      </c>
      <c r="BZ169" s="25" t="s">
        <v>431</v>
      </c>
      <c r="CA169" s="25" t="s">
        <v>161</v>
      </c>
    </row>
    <row r="170" spans="1:79" hidden="1" x14ac:dyDescent="0.2">
      <c r="A170" s="25" t="s">
        <v>357</v>
      </c>
      <c r="B170" s="25" t="s">
        <v>280</v>
      </c>
      <c r="C170" s="25">
        <v>2020</v>
      </c>
      <c r="D170" s="25" t="s">
        <v>487</v>
      </c>
      <c r="E170" s="25">
        <v>2.0201022933312301E+17</v>
      </c>
      <c r="F170" s="25" t="s">
        <v>182</v>
      </c>
      <c r="G170" s="25" t="s">
        <v>520</v>
      </c>
      <c r="H170" s="25">
        <v>1462931</v>
      </c>
      <c r="J170" s="25" t="s">
        <v>180</v>
      </c>
      <c r="K170" s="25" t="s">
        <v>179</v>
      </c>
      <c r="L170" s="25" t="s">
        <v>301</v>
      </c>
      <c r="N170" s="25" t="s">
        <v>339</v>
      </c>
      <c r="O170" s="25" t="s">
        <v>26</v>
      </c>
      <c r="Q170" s="25" t="s">
        <v>296</v>
      </c>
      <c r="R170" s="25" t="s">
        <v>307</v>
      </c>
      <c r="T170" s="25" t="s">
        <v>294</v>
      </c>
      <c r="V170" s="25" t="s">
        <v>359</v>
      </c>
      <c r="X170" s="25" t="s">
        <v>358</v>
      </c>
      <c r="Y170" s="25" t="s">
        <v>172</v>
      </c>
      <c r="Z170" s="25">
        <v>936198745</v>
      </c>
      <c r="AA170" s="25" t="s">
        <v>290</v>
      </c>
      <c r="AB170" s="25" t="s">
        <v>290</v>
      </c>
      <c r="AC170" s="25" t="s">
        <v>301</v>
      </c>
      <c r="AD170" s="25" t="s">
        <v>345</v>
      </c>
      <c r="AE170" s="25" t="s">
        <v>344</v>
      </c>
      <c r="AF170" s="25" t="s">
        <v>169</v>
      </c>
      <c r="AI170" s="31">
        <v>44105</v>
      </c>
      <c r="AJ170" s="25">
        <v>100</v>
      </c>
      <c r="AK170" s="25">
        <v>375</v>
      </c>
      <c r="BG170" s="25" t="s">
        <v>28</v>
      </c>
      <c r="BI170" s="25" t="s">
        <v>168</v>
      </c>
      <c r="BK170" s="25" t="s">
        <v>50</v>
      </c>
      <c r="BL170" s="25" t="s">
        <v>167</v>
      </c>
      <c r="BM170" s="25" t="s">
        <v>166</v>
      </c>
      <c r="BN170" s="30">
        <v>44155.293210347219</v>
      </c>
      <c r="BP170" s="25" t="s">
        <v>519</v>
      </c>
      <c r="BQ170" s="25" t="s">
        <v>419</v>
      </c>
      <c r="BR170" s="25" t="s">
        <v>165</v>
      </c>
      <c r="BS170" s="25">
        <v>4.1023202018827602E+18</v>
      </c>
      <c r="BT170" s="25" t="s">
        <v>164</v>
      </c>
      <c r="BU170" s="25" t="s">
        <v>418</v>
      </c>
      <c r="BV170" s="25">
        <v>2020</v>
      </c>
      <c r="BW170" s="25" t="s">
        <v>163</v>
      </c>
      <c r="BY170" s="25">
        <v>4.1119202019591101E+18</v>
      </c>
      <c r="BZ170" s="25" t="s">
        <v>518</v>
      </c>
      <c r="CA170" s="25" t="s">
        <v>161</v>
      </c>
    </row>
    <row r="171" spans="1:79" hidden="1" x14ac:dyDescent="0.2">
      <c r="A171" s="25" t="s">
        <v>384</v>
      </c>
      <c r="B171" s="25" t="s">
        <v>285</v>
      </c>
      <c r="C171" s="25">
        <v>2020</v>
      </c>
      <c r="D171" s="25" t="s">
        <v>341</v>
      </c>
      <c r="E171" s="25">
        <v>2.0201015929507101E+17</v>
      </c>
      <c r="F171" s="25" t="s">
        <v>182</v>
      </c>
      <c r="G171" s="25" t="s">
        <v>517</v>
      </c>
      <c r="H171" s="25">
        <v>1451785</v>
      </c>
      <c r="J171" s="25" t="s">
        <v>180</v>
      </c>
      <c r="K171" s="25" t="s">
        <v>179</v>
      </c>
      <c r="L171" s="25" t="s">
        <v>374</v>
      </c>
      <c r="N171" s="25" t="s">
        <v>516</v>
      </c>
      <c r="O171" s="25" t="s">
        <v>75</v>
      </c>
      <c r="Q171" s="25" t="s">
        <v>28</v>
      </c>
      <c r="R171" s="25" t="s">
        <v>295</v>
      </c>
      <c r="S171" s="25" t="s">
        <v>515</v>
      </c>
      <c r="T171" s="25" t="s">
        <v>294</v>
      </c>
      <c r="V171" s="25" t="s">
        <v>388</v>
      </c>
      <c r="X171" s="25" t="s">
        <v>368</v>
      </c>
      <c r="Y171" s="25" t="s">
        <v>367</v>
      </c>
      <c r="Z171" s="25">
        <v>810049787</v>
      </c>
      <c r="AA171" s="25" t="s">
        <v>366</v>
      </c>
      <c r="AB171" s="25" t="s">
        <v>365</v>
      </c>
      <c r="AC171" s="25" t="s">
        <v>374</v>
      </c>
      <c r="AD171" s="25" t="s">
        <v>345</v>
      </c>
      <c r="AE171" s="25" t="s">
        <v>344</v>
      </c>
      <c r="AI171" s="31">
        <v>44073</v>
      </c>
      <c r="AJ171" s="25">
        <v>100</v>
      </c>
      <c r="AK171" s="25">
        <v>350</v>
      </c>
      <c r="BG171" s="25" t="s">
        <v>446</v>
      </c>
      <c r="BI171" s="25" t="s">
        <v>168</v>
      </c>
      <c r="BJ171" s="25">
        <v>2020</v>
      </c>
      <c r="BK171" s="25" t="s">
        <v>50</v>
      </c>
      <c r="BL171" s="25" t="s">
        <v>167</v>
      </c>
      <c r="BM171" s="25" t="s">
        <v>166</v>
      </c>
      <c r="BN171" s="30">
        <v>44155.29605730324</v>
      </c>
      <c r="BP171" s="25" t="s">
        <v>514</v>
      </c>
      <c r="BQ171" s="25" t="s">
        <v>419</v>
      </c>
      <c r="BR171" s="25" t="s">
        <v>513</v>
      </c>
      <c r="BS171" s="25">
        <v>4.1016202018576502E+18</v>
      </c>
      <c r="BT171" s="25" t="s">
        <v>164</v>
      </c>
      <c r="BU171" s="25" t="s">
        <v>512</v>
      </c>
      <c r="BV171" s="25">
        <v>2020</v>
      </c>
      <c r="BW171" s="25" t="s">
        <v>163</v>
      </c>
      <c r="BY171" s="25">
        <v>4.1119202019588803E+18</v>
      </c>
      <c r="BZ171" s="25" t="s">
        <v>511</v>
      </c>
      <c r="CA171" s="25" t="s">
        <v>161</v>
      </c>
    </row>
    <row r="172" spans="1:79" hidden="1" x14ac:dyDescent="0.2">
      <c r="A172" s="25" t="s">
        <v>374</v>
      </c>
      <c r="B172" s="25" t="s">
        <v>287</v>
      </c>
      <c r="C172" s="25">
        <v>2020</v>
      </c>
      <c r="D172" s="25" t="s">
        <v>300</v>
      </c>
      <c r="E172" s="25">
        <v>2.0201204935430099E+17</v>
      </c>
      <c r="F172" s="25" t="s">
        <v>182</v>
      </c>
      <c r="G172" s="25" t="s">
        <v>510</v>
      </c>
      <c r="H172" s="25">
        <v>1481637</v>
      </c>
      <c r="J172" s="25" t="s">
        <v>180</v>
      </c>
      <c r="K172" s="25" t="s">
        <v>179</v>
      </c>
      <c r="N172" s="25" t="s">
        <v>397</v>
      </c>
      <c r="O172" s="25" t="s">
        <v>297</v>
      </c>
      <c r="Q172" s="25" t="s">
        <v>296</v>
      </c>
      <c r="R172" s="25" t="s">
        <v>396</v>
      </c>
      <c r="T172" s="25" t="s">
        <v>294</v>
      </c>
      <c r="V172" s="25" t="s">
        <v>395</v>
      </c>
      <c r="X172" s="25" t="s">
        <v>394</v>
      </c>
      <c r="Y172" s="25" t="s">
        <v>31</v>
      </c>
      <c r="Z172" s="25">
        <v>98346</v>
      </c>
      <c r="AA172" s="25" t="s">
        <v>393</v>
      </c>
      <c r="AB172" s="25" t="s">
        <v>393</v>
      </c>
      <c r="AF172" s="25" t="s">
        <v>377</v>
      </c>
      <c r="AI172" s="31">
        <v>44124</v>
      </c>
      <c r="AJ172" s="25">
        <v>12.26</v>
      </c>
      <c r="AK172" s="25">
        <v>128.08000000000001</v>
      </c>
      <c r="BF172" s="25" t="s">
        <v>363</v>
      </c>
      <c r="BK172" s="25" t="s">
        <v>50</v>
      </c>
      <c r="BL172" s="25" t="s">
        <v>167</v>
      </c>
      <c r="BM172" s="25" t="s">
        <v>166</v>
      </c>
      <c r="BN172" s="30">
        <v>44201.576769664352</v>
      </c>
      <c r="BR172" s="25" t="s">
        <v>165</v>
      </c>
      <c r="BS172" s="25">
        <v>4.1205202019644498E+18</v>
      </c>
      <c r="BT172" s="25" t="s">
        <v>164</v>
      </c>
      <c r="BU172" s="25" t="s">
        <v>392</v>
      </c>
      <c r="BV172" s="25">
        <v>2020</v>
      </c>
      <c r="BW172" s="25" t="s">
        <v>163</v>
      </c>
      <c r="BY172" s="25">
        <v>4.0104202119924398E+18</v>
      </c>
      <c r="BZ172" s="25" t="s">
        <v>508</v>
      </c>
      <c r="CA172" s="25" t="s">
        <v>161</v>
      </c>
    </row>
    <row r="173" spans="1:79" hidden="1" x14ac:dyDescent="0.2">
      <c r="A173" s="25" t="s">
        <v>374</v>
      </c>
      <c r="B173" s="25" t="s">
        <v>287</v>
      </c>
      <c r="C173" s="25">
        <v>2020</v>
      </c>
      <c r="D173" s="25" t="s">
        <v>300</v>
      </c>
      <c r="E173" s="25">
        <v>2.0201204935430099E+17</v>
      </c>
      <c r="F173" s="25" t="s">
        <v>182</v>
      </c>
      <c r="G173" s="25" t="s">
        <v>509</v>
      </c>
      <c r="H173" s="25">
        <v>1481637</v>
      </c>
      <c r="J173" s="25" t="s">
        <v>180</v>
      </c>
      <c r="K173" s="25" t="s">
        <v>179</v>
      </c>
      <c r="N173" s="25" t="s">
        <v>397</v>
      </c>
      <c r="O173" s="25" t="s">
        <v>297</v>
      </c>
      <c r="Q173" s="25" t="s">
        <v>296</v>
      </c>
      <c r="R173" s="25" t="s">
        <v>396</v>
      </c>
      <c r="T173" s="25" t="s">
        <v>294</v>
      </c>
      <c r="V173" s="25" t="s">
        <v>395</v>
      </c>
      <c r="X173" s="25" t="s">
        <v>394</v>
      </c>
      <c r="Y173" s="25" t="s">
        <v>31</v>
      </c>
      <c r="Z173" s="25">
        <v>98346</v>
      </c>
      <c r="AA173" s="25" t="s">
        <v>393</v>
      </c>
      <c r="AB173" s="25" t="s">
        <v>393</v>
      </c>
      <c r="AF173" s="25" t="s">
        <v>377</v>
      </c>
      <c r="AI173" s="31">
        <v>44155</v>
      </c>
      <c r="AJ173" s="25">
        <v>12.26</v>
      </c>
      <c r="AK173" s="25">
        <v>128.08000000000001</v>
      </c>
      <c r="BF173" s="25" t="s">
        <v>363</v>
      </c>
      <c r="BK173" s="25" t="s">
        <v>50</v>
      </c>
      <c r="BL173" s="25" t="s">
        <v>167</v>
      </c>
      <c r="BM173" s="25" t="s">
        <v>166</v>
      </c>
      <c r="BN173" s="30">
        <v>44201.613022372687</v>
      </c>
      <c r="BR173" s="25" t="s">
        <v>165</v>
      </c>
      <c r="BS173" s="25">
        <v>4.1205202019644498E+18</v>
      </c>
      <c r="BT173" s="25" t="s">
        <v>164</v>
      </c>
      <c r="BU173" s="25" t="s">
        <v>392</v>
      </c>
      <c r="BV173" s="25">
        <v>2020</v>
      </c>
      <c r="BW173" s="25" t="s">
        <v>163</v>
      </c>
      <c r="BY173" s="25">
        <v>4.0104202120115901E+18</v>
      </c>
      <c r="BZ173" s="25" t="s">
        <v>508</v>
      </c>
      <c r="CA173" s="25" t="s">
        <v>161</v>
      </c>
    </row>
    <row r="174" spans="1:79" hidden="1" x14ac:dyDescent="0.2">
      <c r="A174" s="25" t="s">
        <v>301</v>
      </c>
      <c r="B174" s="25" t="s">
        <v>277</v>
      </c>
      <c r="C174" s="25">
        <v>2020</v>
      </c>
      <c r="D174" s="25" t="s">
        <v>341</v>
      </c>
      <c r="E174" s="25">
        <v>2.0210125940656701E+17</v>
      </c>
      <c r="F174" s="25" t="s">
        <v>182</v>
      </c>
      <c r="G174" s="25" t="s">
        <v>507</v>
      </c>
      <c r="H174" s="25">
        <v>1490496</v>
      </c>
      <c r="J174" s="25" t="s">
        <v>180</v>
      </c>
      <c r="K174" s="25" t="s">
        <v>179</v>
      </c>
      <c r="N174" s="25" t="s">
        <v>339</v>
      </c>
      <c r="O174" s="25" t="s">
        <v>297</v>
      </c>
      <c r="Q174" s="25" t="s">
        <v>296</v>
      </c>
      <c r="R174" s="25" t="s">
        <v>307</v>
      </c>
      <c r="T174" s="25" t="s">
        <v>294</v>
      </c>
      <c r="V174" s="25" t="s">
        <v>338</v>
      </c>
      <c r="X174" s="25" t="s">
        <v>337</v>
      </c>
      <c r="Y174" s="25" t="s">
        <v>172</v>
      </c>
      <c r="Z174" s="25">
        <v>926606244</v>
      </c>
      <c r="AA174" s="25" t="s">
        <v>290</v>
      </c>
      <c r="AB174" s="25" t="s">
        <v>290</v>
      </c>
      <c r="AF174" s="25" t="s">
        <v>506</v>
      </c>
      <c r="AI174" s="31">
        <v>44047</v>
      </c>
      <c r="AJ174" s="25">
        <v>10</v>
      </c>
      <c r="AK174" s="25">
        <v>35</v>
      </c>
      <c r="BK174" s="25" t="s">
        <v>50</v>
      </c>
      <c r="BL174" s="25" t="s">
        <v>167</v>
      </c>
      <c r="BM174" s="25" t="s">
        <v>166</v>
      </c>
      <c r="BN174" s="30">
        <v>44252.601235717593</v>
      </c>
      <c r="BR174" s="25" t="s">
        <v>165</v>
      </c>
      <c r="BS174" s="25">
        <v>4.0125202121377597E+18</v>
      </c>
      <c r="BT174" s="25" t="s">
        <v>164</v>
      </c>
      <c r="BV174" s="25">
        <v>2020</v>
      </c>
      <c r="BW174" s="25" t="s">
        <v>163</v>
      </c>
      <c r="BY174" s="25">
        <v>4.02242021117907E+18</v>
      </c>
      <c r="BZ174" s="25" t="s">
        <v>505</v>
      </c>
      <c r="CA174" s="25" t="s">
        <v>161</v>
      </c>
    </row>
    <row r="175" spans="1:79" hidden="1" x14ac:dyDescent="0.2">
      <c r="A175" s="25" t="s">
        <v>301</v>
      </c>
      <c r="B175" s="25" t="s">
        <v>277</v>
      </c>
      <c r="C175" s="25">
        <v>2020</v>
      </c>
      <c r="D175" s="25" t="s">
        <v>407</v>
      </c>
      <c r="E175" s="25">
        <v>2.0210114940125101E+17</v>
      </c>
      <c r="F175" s="25" t="s">
        <v>182</v>
      </c>
      <c r="G175" s="25" t="s">
        <v>504</v>
      </c>
      <c r="H175" s="25">
        <v>1487725</v>
      </c>
      <c r="J175" s="25" t="s">
        <v>180</v>
      </c>
      <c r="K175" s="25" t="s">
        <v>179</v>
      </c>
      <c r="L175" s="25" t="s">
        <v>409</v>
      </c>
      <c r="N175" s="25" t="s">
        <v>339</v>
      </c>
      <c r="O175" s="25" t="s">
        <v>297</v>
      </c>
      <c r="Q175" s="25" t="s">
        <v>296</v>
      </c>
      <c r="R175" s="25" t="s">
        <v>307</v>
      </c>
      <c r="T175" s="25" t="s">
        <v>294</v>
      </c>
      <c r="V175" s="25" t="s">
        <v>359</v>
      </c>
      <c r="X175" s="25" t="s">
        <v>358</v>
      </c>
      <c r="Y175" s="25" t="s">
        <v>172</v>
      </c>
      <c r="Z175" s="25">
        <v>936198745</v>
      </c>
      <c r="AA175" s="25" t="s">
        <v>411</v>
      </c>
      <c r="AB175" s="25" t="s">
        <v>410</v>
      </c>
      <c r="AC175" s="25" t="s">
        <v>409</v>
      </c>
      <c r="AD175" s="25" t="s">
        <v>345</v>
      </c>
      <c r="AE175" s="25" t="s">
        <v>344</v>
      </c>
      <c r="AF175" s="25" t="s">
        <v>313</v>
      </c>
      <c r="AI175" s="31">
        <v>43984</v>
      </c>
      <c r="AJ175" s="25">
        <v>100</v>
      </c>
      <c r="AK175" s="25">
        <v>500</v>
      </c>
      <c r="BK175" s="25" t="s">
        <v>50</v>
      </c>
      <c r="BL175" s="25" t="s">
        <v>167</v>
      </c>
      <c r="BM175" s="25" t="s">
        <v>166</v>
      </c>
      <c r="BN175" s="30">
        <v>44245.365240763887</v>
      </c>
      <c r="BR175" s="25" t="s">
        <v>165</v>
      </c>
      <c r="BS175" s="25">
        <v>4.0120202120938301E+18</v>
      </c>
      <c r="BT175" s="25" t="s">
        <v>164</v>
      </c>
      <c r="BV175" s="25">
        <v>2020</v>
      </c>
      <c r="BW175" s="25" t="s">
        <v>163</v>
      </c>
      <c r="BY175" s="25">
        <v>4.0217202111499699E+18</v>
      </c>
      <c r="BZ175" s="25" t="s">
        <v>503</v>
      </c>
      <c r="CA175" s="25" t="s">
        <v>161</v>
      </c>
    </row>
    <row r="176" spans="1:79" hidden="1" x14ac:dyDescent="0.2">
      <c r="A176" s="25" t="s">
        <v>346</v>
      </c>
      <c r="B176" s="25" t="s">
        <v>281</v>
      </c>
      <c r="C176" s="25">
        <v>2020</v>
      </c>
      <c r="D176" s="25" t="s">
        <v>494</v>
      </c>
      <c r="E176" s="25">
        <v>2.02102169428064E+17</v>
      </c>
      <c r="F176" s="25" t="s">
        <v>450</v>
      </c>
      <c r="G176" s="25" t="s">
        <v>502</v>
      </c>
      <c r="H176" s="25">
        <v>1500233</v>
      </c>
      <c r="J176" s="25" t="s">
        <v>180</v>
      </c>
      <c r="K176" s="25" t="s">
        <v>179</v>
      </c>
      <c r="N176" s="25" t="s">
        <v>448</v>
      </c>
      <c r="O176" s="25" t="s">
        <v>28</v>
      </c>
      <c r="Q176" s="25" t="s">
        <v>28</v>
      </c>
      <c r="R176" s="25" t="s">
        <v>307</v>
      </c>
      <c r="S176" s="25" t="s">
        <v>447</v>
      </c>
      <c r="T176" s="25" t="s">
        <v>294</v>
      </c>
      <c r="V176" s="25" t="s">
        <v>338</v>
      </c>
      <c r="X176" s="25" t="s">
        <v>337</v>
      </c>
      <c r="Y176" s="25" t="s">
        <v>172</v>
      </c>
      <c r="Z176" s="25">
        <v>92660</v>
      </c>
      <c r="AA176" s="25" t="s">
        <v>290</v>
      </c>
      <c r="AB176" s="25" t="s">
        <v>290</v>
      </c>
      <c r="AI176" s="31">
        <v>44081</v>
      </c>
      <c r="AJ176" s="25">
        <v>25</v>
      </c>
      <c r="AK176" s="25">
        <v>25</v>
      </c>
      <c r="BG176" s="25" t="s">
        <v>501</v>
      </c>
      <c r="BI176" s="25" t="s">
        <v>500</v>
      </c>
      <c r="BJ176" s="25">
        <v>2020</v>
      </c>
      <c r="BK176" s="25" t="s">
        <v>50</v>
      </c>
      <c r="BL176" s="25" t="s">
        <v>167</v>
      </c>
      <c r="BM176" s="25" t="s">
        <v>166</v>
      </c>
      <c r="BN176" s="30">
        <v>44245.365574467593</v>
      </c>
      <c r="BR176" s="25" t="s">
        <v>445</v>
      </c>
      <c r="BS176" s="25">
        <v>4.0217202111558902E+18</v>
      </c>
      <c r="BT176" s="25" t="s">
        <v>164</v>
      </c>
      <c r="BV176" s="25">
        <v>2020</v>
      </c>
      <c r="BW176" s="25" t="s">
        <v>163</v>
      </c>
      <c r="BY176" s="25">
        <v>4.02172021115682E+18</v>
      </c>
      <c r="BZ176" s="25" t="s">
        <v>499</v>
      </c>
      <c r="CA176" s="25" t="s">
        <v>161</v>
      </c>
    </row>
    <row r="177" spans="1:79" hidden="1" x14ac:dyDescent="0.2">
      <c r="A177" s="25" t="s">
        <v>301</v>
      </c>
      <c r="B177" s="25" t="s">
        <v>277</v>
      </c>
      <c r="C177" s="25">
        <v>2020</v>
      </c>
      <c r="D177" s="25" t="s">
        <v>341</v>
      </c>
      <c r="E177" s="25">
        <v>2.0210125940726301E+17</v>
      </c>
      <c r="F177" s="25" t="s">
        <v>182</v>
      </c>
      <c r="G177" s="25" t="s">
        <v>498</v>
      </c>
      <c r="H177" s="25">
        <v>1490496</v>
      </c>
      <c r="J177" s="25" t="s">
        <v>180</v>
      </c>
      <c r="K177" s="25" t="s">
        <v>179</v>
      </c>
      <c r="N177" s="25" t="s">
        <v>339</v>
      </c>
      <c r="O177" s="25" t="s">
        <v>297</v>
      </c>
      <c r="Q177" s="25" t="s">
        <v>296</v>
      </c>
      <c r="R177" s="25" t="s">
        <v>307</v>
      </c>
      <c r="T177" s="25" t="s">
        <v>294</v>
      </c>
      <c r="V177" s="25" t="s">
        <v>338</v>
      </c>
      <c r="X177" s="25" t="s">
        <v>337</v>
      </c>
      <c r="Y177" s="25" t="s">
        <v>172</v>
      </c>
      <c r="Z177" s="25">
        <v>926606244</v>
      </c>
      <c r="AA177" s="25" t="s">
        <v>290</v>
      </c>
      <c r="AB177" s="25" t="s">
        <v>290</v>
      </c>
      <c r="AF177" s="25" t="s">
        <v>497</v>
      </c>
      <c r="AI177" s="31">
        <v>44066</v>
      </c>
      <c r="AJ177" s="25">
        <v>10</v>
      </c>
      <c r="AK177" s="25">
        <v>80</v>
      </c>
      <c r="BK177" s="25" t="s">
        <v>50</v>
      </c>
      <c r="BL177" s="25" t="s">
        <v>167</v>
      </c>
      <c r="BM177" s="25" t="s">
        <v>166</v>
      </c>
      <c r="BN177" s="30">
        <v>44252.605355717591</v>
      </c>
      <c r="BR177" s="25" t="s">
        <v>165</v>
      </c>
      <c r="BS177" s="25">
        <v>4.0125202121377597E+18</v>
      </c>
      <c r="BT177" s="25" t="s">
        <v>164</v>
      </c>
      <c r="BV177" s="25">
        <v>2020</v>
      </c>
      <c r="BW177" s="25" t="s">
        <v>163</v>
      </c>
      <c r="BY177" s="25">
        <v>4.0224202111813801E+18</v>
      </c>
      <c r="BZ177" s="25" t="s">
        <v>496</v>
      </c>
      <c r="CA177" s="25" t="s">
        <v>161</v>
      </c>
    </row>
    <row r="178" spans="1:79" hidden="1" x14ac:dyDescent="0.2">
      <c r="A178" s="25" t="s">
        <v>374</v>
      </c>
      <c r="B178" s="25" t="s">
        <v>287</v>
      </c>
      <c r="C178" s="25">
        <v>2020</v>
      </c>
      <c r="D178" s="25" t="s">
        <v>494</v>
      </c>
      <c r="E178" s="25">
        <v>2.0201214937640899E+17</v>
      </c>
      <c r="F178" s="25" t="s">
        <v>182</v>
      </c>
      <c r="G178" s="25" t="s">
        <v>495</v>
      </c>
      <c r="H178" s="25">
        <v>1482832</v>
      </c>
      <c r="J178" s="25" t="s">
        <v>180</v>
      </c>
      <c r="K178" s="25" t="s">
        <v>179</v>
      </c>
      <c r="N178" s="25" t="s">
        <v>371</v>
      </c>
      <c r="O178" s="25" t="s">
        <v>297</v>
      </c>
      <c r="Q178" s="25" t="s">
        <v>296</v>
      </c>
      <c r="R178" s="25" t="s">
        <v>370</v>
      </c>
      <c r="T178" s="25" t="s">
        <v>294</v>
      </c>
      <c r="V178" s="25" t="s">
        <v>369</v>
      </c>
      <c r="X178" s="25" t="s">
        <v>368</v>
      </c>
      <c r="Y178" s="25" t="s">
        <v>367</v>
      </c>
      <c r="Z178" s="25">
        <v>81004</v>
      </c>
      <c r="AA178" s="25" t="s">
        <v>366</v>
      </c>
      <c r="AB178" s="25" t="s">
        <v>365</v>
      </c>
      <c r="AF178" s="25" t="s">
        <v>364</v>
      </c>
      <c r="AI178" s="31">
        <v>44082</v>
      </c>
      <c r="AJ178" s="25">
        <v>2</v>
      </c>
      <c r="AK178" s="25">
        <v>57</v>
      </c>
      <c r="BF178" s="25" t="s">
        <v>363</v>
      </c>
      <c r="BK178" s="25" t="s">
        <v>50</v>
      </c>
      <c r="BL178" s="25" t="s">
        <v>167</v>
      </c>
      <c r="BM178" s="25" t="s">
        <v>166</v>
      </c>
      <c r="BN178" s="30">
        <v>44218.742045231484</v>
      </c>
      <c r="BR178" s="25" t="s">
        <v>165</v>
      </c>
      <c r="BS178" s="25">
        <v>4.1216202019742802E+18</v>
      </c>
      <c r="BT178" s="25" t="s">
        <v>164</v>
      </c>
      <c r="BU178" s="25" t="s">
        <v>362</v>
      </c>
      <c r="BV178" s="25">
        <v>2020</v>
      </c>
      <c r="BW178" s="25" t="s">
        <v>163</v>
      </c>
      <c r="BY178" s="25">
        <v>4.0121202121010299E+18</v>
      </c>
      <c r="BZ178" s="25" t="s">
        <v>491</v>
      </c>
      <c r="CA178" s="25" t="s">
        <v>161</v>
      </c>
    </row>
    <row r="179" spans="1:79" hidden="1" x14ac:dyDescent="0.2">
      <c r="A179" s="25" t="s">
        <v>374</v>
      </c>
      <c r="B179" s="25" t="s">
        <v>287</v>
      </c>
      <c r="C179" s="25">
        <v>2020</v>
      </c>
      <c r="D179" s="25" t="s">
        <v>494</v>
      </c>
      <c r="E179" s="25">
        <v>2.0201214937640899E+17</v>
      </c>
      <c r="F179" s="25" t="s">
        <v>182</v>
      </c>
      <c r="G179" s="25" t="s">
        <v>493</v>
      </c>
      <c r="H179" s="25">
        <v>1482832</v>
      </c>
      <c r="J179" s="25" t="s">
        <v>180</v>
      </c>
      <c r="K179" s="25" t="s">
        <v>179</v>
      </c>
      <c r="N179" s="25" t="s">
        <v>371</v>
      </c>
      <c r="O179" s="25" t="s">
        <v>297</v>
      </c>
      <c r="Q179" s="25" t="s">
        <v>296</v>
      </c>
      <c r="R179" s="25" t="s">
        <v>370</v>
      </c>
      <c r="T179" s="25" t="s">
        <v>294</v>
      </c>
      <c r="V179" s="25" t="s">
        <v>369</v>
      </c>
      <c r="X179" s="25" t="s">
        <v>368</v>
      </c>
      <c r="Y179" s="25" t="s">
        <v>367</v>
      </c>
      <c r="Z179" s="25">
        <v>81004</v>
      </c>
      <c r="AA179" s="25" t="s">
        <v>366</v>
      </c>
      <c r="AB179" s="25" t="s">
        <v>365</v>
      </c>
      <c r="AF179" s="25" t="s">
        <v>377</v>
      </c>
      <c r="AI179" s="31">
        <v>44082</v>
      </c>
      <c r="AJ179" s="25">
        <v>100</v>
      </c>
      <c r="AK179" s="25">
        <v>100</v>
      </c>
      <c r="BF179" s="25" t="s">
        <v>363</v>
      </c>
      <c r="BK179" s="25" t="s">
        <v>50</v>
      </c>
      <c r="BL179" s="25" t="s">
        <v>167</v>
      </c>
      <c r="BM179" s="25" t="s">
        <v>166</v>
      </c>
      <c r="BN179" s="30">
        <v>44218.742391898151</v>
      </c>
      <c r="BR179" s="25" t="s">
        <v>165</v>
      </c>
      <c r="BS179" s="25">
        <v>4.1216202019742802E+18</v>
      </c>
      <c r="BT179" s="25" t="s">
        <v>164</v>
      </c>
      <c r="BU179" s="25" t="s">
        <v>492</v>
      </c>
      <c r="BV179" s="25">
        <v>2020</v>
      </c>
      <c r="BW179" s="25" t="s">
        <v>163</v>
      </c>
      <c r="BY179" s="25">
        <v>4.0121202121010401E+18</v>
      </c>
      <c r="BZ179" s="25" t="s">
        <v>491</v>
      </c>
      <c r="CA179" s="25" t="s">
        <v>161</v>
      </c>
    </row>
    <row r="180" spans="1:79" hidden="1" x14ac:dyDescent="0.2">
      <c r="A180" s="25" t="s">
        <v>301</v>
      </c>
      <c r="B180" s="25" t="s">
        <v>277</v>
      </c>
      <c r="C180" s="25">
        <v>2020</v>
      </c>
      <c r="D180" s="25" t="s">
        <v>487</v>
      </c>
      <c r="E180" s="25">
        <v>2.0210301943006E+17</v>
      </c>
      <c r="F180" s="25" t="s">
        <v>182</v>
      </c>
      <c r="G180" s="25" t="s">
        <v>490</v>
      </c>
      <c r="H180" s="25">
        <v>1502397</v>
      </c>
      <c r="J180" s="25" t="s">
        <v>180</v>
      </c>
      <c r="K180" s="25" t="s">
        <v>179</v>
      </c>
      <c r="N180" s="25" t="s">
        <v>339</v>
      </c>
      <c r="O180" s="25" t="s">
        <v>297</v>
      </c>
      <c r="Q180" s="25" t="s">
        <v>296</v>
      </c>
      <c r="R180" s="25" t="s">
        <v>307</v>
      </c>
      <c r="T180" s="25" t="s">
        <v>294</v>
      </c>
      <c r="V180" s="25" t="s">
        <v>338</v>
      </c>
      <c r="X180" s="25" t="s">
        <v>337</v>
      </c>
      <c r="Y180" s="25" t="s">
        <v>172</v>
      </c>
      <c r="Z180" s="25">
        <v>926606244</v>
      </c>
      <c r="AA180" s="25" t="s">
        <v>290</v>
      </c>
      <c r="AB180" s="25" t="s">
        <v>290</v>
      </c>
      <c r="AF180" s="25" t="s">
        <v>489</v>
      </c>
      <c r="AI180" s="31">
        <v>44117</v>
      </c>
      <c r="AJ180" s="25">
        <v>35</v>
      </c>
      <c r="AK180" s="25">
        <v>175</v>
      </c>
      <c r="BK180" s="25" t="s">
        <v>50</v>
      </c>
      <c r="BL180" s="25" t="s">
        <v>167</v>
      </c>
      <c r="BM180" s="25" t="s">
        <v>166</v>
      </c>
      <c r="BN180" s="30">
        <v>44258.588674942126</v>
      </c>
      <c r="BR180" s="25" t="s">
        <v>165</v>
      </c>
      <c r="BS180" s="25">
        <v>4.0302202111904102E+18</v>
      </c>
      <c r="BT180" s="25" t="s">
        <v>164</v>
      </c>
      <c r="BV180" s="25">
        <v>2020</v>
      </c>
      <c r="BW180" s="25" t="s">
        <v>163</v>
      </c>
      <c r="BY180" s="25">
        <v>4.0302202111958098E+18</v>
      </c>
      <c r="BZ180" s="25" t="s">
        <v>488</v>
      </c>
      <c r="CA180" s="25" t="s">
        <v>161</v>
      </c>
    </row>
    <row r="181" spans="1:79" hidden="1" x14ac:dyDescent="0.2">
      <c r="A181" s="25" t="s">
        <v>301</v>
      </c>
      <c r="B181" s="25" t="s">
        <v>277</v>
      </c>
      <c r="C181" s="25">
        <v>2020</v>
      </c>
      <c r="D181" s="25" t="s">
        <v>487</v>
      </c>
      <c r="E181" s="25">
        <v>2.02103019429924E+17</v>
      </c>
      <c r="F181" s="25" t="s">
        <v>182</v>
      </c>
      <c r="G181" s="25" t="s">
        <v>486</v>
      </c>
      <c r="H181" s="25">
        <v>1502397</v>
      </c>
      <c r="J181" s="25" t="s">
        <v>180</v>
      </c>
      <c r="K181" s="25" t="s">
        <v>179</v>
      </c>
      <c r="N181" s="25" t="s">
        <v>339</v>
      </c>
      <c r="O181" s="25" t="s">
        <v>297</v>
      </c>
      <c r="Q181" s="25" t="s">
        <v>296</v>
      </c>
      <c r="R181" s="25" t="s">
        <v>307</v>
      </c>
      <c r="T181" s="25" t="s">
        <v>294</v>
      </c>
      <c r="V181" s="25" t="s">
        <v>338</v>
      </c>
      <c r="X181" s="25" t="s">
        <v>337</v>
      </c>
      <c r="Y181" s="25" t="s">
        <v>172</v>
      </c>
      <c r="Z181" s="25">
        <v>926606244</v>
      </c>
      <c r="AA181" s="25" t="s">
        <v>290</v>
      </c>
      <c r="AB181" s="25" t="s">
        <v>290</v>
      </c>
      <c r="AF181" s="25" t="s">
        <v>289</v>
      </c>
      <c r="AI181" s="31">
        <v>44115</v>
      </c>
      <c r="AJ181" s="25">
        <v>10</v>
      </c>
      <c r="AK181" s="25">
        <v>140</v>
      </c>
      <c r="BK181" s="25" t="s">
        <v>50</v>
      </c>
      <c r="BL181" s="25" t="s">
        <v>167</v>
      </c>
      <c r="BM181" s="25" t="s">
        <v>166</v>
      </c>
      <c r="BN181" s="30">
        <v>44258.593903402776</v>
      </c>
      <c r="BR181" s="25" t="s">
        <v>165</v>
      </c>
      <c r="BS181" s="25">
        <v>4.0302202111904102E+18</v>
      </c>
      <c r="BT181" s="25" t="s">
        <v>164</v>
      </c>
      <c r="BV181" s="25">
        <v>2020</v>
      </c>
      <c r="BW181" s="25" t="s">
        <v>163</v>
      </c>
      <c r="BY181" s="25">
        <v>4.0302202111953802E+18</v>
      </c>
      <c r="BZ181" s="25" t="s">
        <v>485</v>
      </c>
      <c r="CA181" s="25" t="s">
        <v>161</v>
      </c>
    </row>
    <row r="182" spans="1:79" hidden="1" x14ac:dyDescent="0.2">
      <c r="A182" s="25" t="s">
        <v>301</v>
      </c>
      <c r="B182" s="25" t="s">
        <v>277</v>
      </c>
      <c r="C182" s="25">
        <v>2020</v>
      </c>
      <c r="D182" s="25" t="s">
        <v>300</v>
      </c>
      <c r="E182" s="25">
        <v>2.0210303943262598E+17</v>
      </c>
      <c r="F182" s="25" t="s">
        <v>182</v>
      </c>
      <c r="G182" s="25" t="s">
        <v>484</v>
      </c>
      <c r="H182" s="25">
        <v>1502683</v>
      </c>
      <c r="J182" s="25" t="s">
        <v>180</v>
      </c>
      <c r="K182" s="25" t="s">
        <v>179</v>
      </c>
      <c r="L182" s="25" t="s">
        <v>357</v>
      </c>
      <c r="N182" s="25" t="s">
        <v>339</v>
      </c>
      <c r="O182" s="25" t="s">
        <v>297</v>
      </c>
      <c r="Q182" s="25" t="s">
        <v>296</v>
      </c>
      <c r="R182" s="25" t="s">
        <v>307</v>
      </c>
      <c r="T182" s="25" t="s">
        <v>294</v>
      </c>
      <c r="V182" s="25" t="s">
        <v>359</v>
      </c>
      <c r="X182" s="25" t="s">
        <v>358</v>
      </c>
      <c r="Y182" s="25" t="s">
        <v>172</v>
      </c>
      <c r="Z182" s="25">
        <v>936198745</v>
      </c>
      <c r="AA182" s="25" t="s">
        <v>290</v>
      </c>
      <c r="AB182" s="25" t="s">
        <v>290</v>
      </c>
      <c r="AC182" s="25" t="s">
        <v>357</v>
      </c>
      <c r="AD182" s="25" t="s">
        <v>345</v>
      </c>
      <c r="AE182" s="25" t="s">
        <v>344</v>
      </c>
      <c r="AF182" s="25" t="s">
        <v>356</v>
      </c>
      <c r="AI182" s="31">
        <v>44130</v>
      </c>
      <c r="AJ182" s="25">
        <v>100</v>
      </c>
      <c r="AK182" s="25">
        <v>1200</v>
      </c>
      <c r="BK182" s="25" t="s">
        <v>50</v>
      </c>
      <c r="BL182" s="25" t="s">
        <v>167</v>
      </c>
      <c r="BM182" s="25" t="s">
        <v>166</v>
      </c>
      <c r="BN182" s="30">
        <v>44260.600254351855</v>
      </c>
      <c r="BR182" s="25" t="s">
        <v>165</v>
      </c>
      <c r="BS182" s="25">
        <v>4.0304202111990902E+18</v>
      </c>
      <c r="BT182" s="25" t="s">
        <v>164</v>
      </c>
      <c r="BV182" s="25">
        <v>2020</v>
      </c>
      <c r="BW182" s="25" t="s">
        <v>163</v>
      </c>
      <c r="BY182" s="25">
        <v>4.0304202112125501E+18</v>
      </c>
      <c r="BZ182" s="25" t="s">
        <v>483</v>
      </c>
      <c r="CA182" s="25" t="s">
        <v>161</v>
      </c>
    </row>
    <row r="183" spans="1:79" hidden="1" x14ac:dyDescent="0.2">
      <c r="A183" s="25" t="s">
        <v>301</v>
      </c>
      <c r="B183" s="25" t="s">
        <v>277</v>
      </c>
      <c r="C183" s="25">
        <v>2020</v>
      </c>
      <c r="D183" s="25" t="s">
        <v>300</v>
      </c>
      <c r="E183" s="25">
        <v>2.0210303943459501E+17</v>
      </c>
      <c r="F183" s="25" t="s">
        <v>182</v>
      </c>
      <c r="G183" s="25" t="s">
        <v>482</v>
      </c>
      <c r="H183" s="25">
        <v>1502683</v>
      </c>
      <c r="J183" s="25" t="s">
        <v>180</v>
      </c>
      <c r="K183" s="25" t="s">
        <v>179</v>
      </c>
      <c r="N183" s="25" t="s">
        <v>298</v>
      </c>
      <c r="O183" s="25" t="s">
        <v>297</v>
      </c>
      <c r="Q183" s="25" t="s">
        <v>296</v>
      </c>
      <c r="R183" s="25" t="s">
        <v>295</v>
      </c>
      <c r="T183" s="25" t="s">
        <v>294</v>
      </c>
      <c r="V183" s="25" t="s">
        <v>293</v>
      </c>
      <c r="X183" s="25" t="s">
        <v>292</v>
      </c>
      <c r="Y183" s="25" t="s">
        <v>291</v>
      </c>
      <c r="Z183" s="25">
        <v>852243566</v>
      </c>
      <c r="AA183" s="25" t="s">
        <v>290</v>
      </c>
      <c r="AB183" s="25" t="s">
        <v>290</v>
      </c>
      <c r="AF183" s="25" t="s">
        <v>476</v>
      </c>
      <c r="AI183" s="31">
        <v>44145</v>
      </c>
      <c r="AJ183" s="25">
        <v>12.5</v>
      </c>
      <c r="AK183" s="25">
        <v>152.5</v>
      </c>
      <c r="BK183" s="25" t="s">
        <v>50</v>
      </c>
      <c r="BL183" s="25" t="s">
        <v>167</v>
      </c>
      <c r="BM183" s="25" t="s">
        <v>166</v>
      </c>
      <c r="BN183" s="30">
        <v>44260.603672638892</v>
      </c>
      <c r="BR183" s="25" t="s">
        <v>165</v>
      </c>
      <c r="BS183" s="25">
        <v>4.0304202111990902E+18</v>
      </c>
      <c r="BT183" s="25" t="s">
        <v>164</v>
      </c>
      <c r="BV183" s="25">
        <v>2020</v>
      </c>
      <c r="BW183" s="25" t="s">
        <v>163</v>
      </c>
      <c r="BY183" s="25">
        <v>4.0304202112139699E+18</v>
      </c>
      <c r="BZ183" s="25" t="s">
        <v>481</v>
      </c>
      <c r="CA183" s="25" t="s">
        <v>161</v>
      </c>
    </row>
    <row r="184" spans="1:79" hidden="1" x14ac:dyDescent="0.2">
      <c r="A184" s="25" t="s">
        <v>301</v>
      </c>
      <c r="B184" s="25" t="s">
        <v>277</v>
      </c>
      <c r="C184" s="25">
        <v>2020</v>
      </c>
      <c r="D184" s="25" t="s">
        <v>300</v>
      </c>
      <c r="E184" s="25">
        <v>2.0210303943253699E+17</v>
      </c>
      <c r="F184" s="25" t="s">
        <v>182</v>
      </c>
      <c r="G184" s="25" t="s">
        <v>480</v>
      </c>
      <c r="H184" s="25">
        <v>1502683</v>
      </c>
      <c r="J184" s="25" t="s">
        <v>180</v>
      </c>
      <c r="K184" s="25" t="s">
        <v>179</v>
      </c>
      <c r="N184" s="25" t="s">
        <v>298</v>
      </c>
      <c r="O184" s="25" t="s">
        <v>297</v>
      </c>
      <c r="Q184" s="25" t="s">
        <v>296</v>
      </c>
      <c r="R184" s="25" t="s">
        <v>295</v>
      </c>
      <c r="T184" s="25" t="s">
        <v>294</v>
      </c>
      <c r="V184" s="25" t="s">
        <v>293</v>
      </c>
      <c r="X184" s="25" t="s">
        <v>292</v>
      </c>
      <c r="Y184" s="25" t="s">
        <v>291</v>
      </c>
      <c r="Z184" s="25">
        <v>852243566</v>
      </c>
      <c r="AA184" s="25" t="s">
        <v>290</v>
      </c>
      <c r="AB184" s="25" t="s">
        <v>290</v>
      </c>
      <c r="AF184" s="25" t="s">
        <v>289</v>
      </c>
      <c r="AI184" s="31">
        <v>44130</v>
      </c>
      <c r="AJ184" s="25">
        <v>25</v>
      </c>
      <c r="AK184" s="25">
        <v>105</v>
      </c>
      <c r="BK184" s="25" t="s">
        <v>50</v>
      </c>
      <c r="BL184" s="25" t="s">
        <v>167</v>
      </c>
      <c r="BM184" s="25" t="s">
        <v>166</v>
      </c>
      <c r="BN184" s="30">
        <v>44260.609182002314</v>
      </c>
      <c r="BR184" s="25" t="s">
        <v>165</v>
      </c>
      <c r="BS184" s="25">
        <v>4.0304202111990902E+18</v>
      </c>
      <c r="BT184" s="25" t="s">
        <v>164</v>
      </c>
      <c r="BV184" s="25">
        <v>2020</v>
      </c>
      <c r="BW184" s="25" t="s">
        <v>163</v>
      </c>
      <c r="BY184" s="25">
        <v>4.03042021122462E+18</v>
      </c>
      <c r="BZ184" s="25" t="s">
        <v>479</v>
      </c>
      <c r="CA184" s="25" t="s">
        <v>161</v>
      </c>
    </row>
    <row r="185" spans="1:79" hidden="1" x14ac:dyDescent="0.2">
      <c r="A185" s="25" t="s">
        <v>301</v>
      </c>
      <c r="B185" s="25" t="s">
        <v>277</v>
      </c>
      <c r="C185" s="25">
        <v>2020</v>
      </c>
      <c r="D185" s="25" t="s">
        <v>300</v>
      </c>
      <c r="E185" s="25">
        <v>2.0210303943520602E+17</v>
      </c>
      <c r="F185" s="25" t="s">
        <v>182</v>
      </c>
      <c r="G185" s="25" t="s">
        <v>478</v>
      </c>
      <c r="H185" s="25">
        <v>1502683</v>
      </c>
      <c r="J185" s="25" t="s">
        <v>180</v>
      </c>
      <c r="K185" s="25" t="s">
        <v>179</v>
      </c>
      <c r="L185" s="25" t="s">
        <v>477</v>
      </c>
      <c r="N185" s="25" t="s">
        <v>298</v>
      </c>
      <c r="O185" s="25" t="s">
        <v>297</v>
      </c>
      <c r="Q185" s="25" t="s">
        <v>296</v>
      </c>
      <c r="R185" s="25" t="s">
        <v>295</v>
      </c>
      <c r="T185" s="25" t="s">
        <v>294</v>
      </c>
      <c r="V185" s="25" t="s">
        <v>293</v>
      </c>
      <c r="X185" s="25" t="s">
        <v>292</v>
      </c>
      <c r="Y185" s="25" t="s">
        <v>291</v>
      </c>
      <c r="Z185" s="25">
        <v>852243566</v>
      </c>
      <c r="AA185" s="25" t="s">
        <v>290</v>
      </c>
      <c r="AB185" s="25" t="s">
        <v>290</v>
      </c>
      <c r="AC185" s="25" t="s">
        <v>477</v>
      </c>
      <c r="AD185" s="25" t="s">
        <v>345</v>
      </c>
      <c r="AE185" s="25" t="s">
        <v>344</v>
      </c>
      <c r="AF185" s="25" t="s">
        <v>476</v>
      </c>
      <c r="AI185" s="31">
        <v>44153</v>
      </c>
      <c r="AJ185" s="25">
        <v>20</v>
      </c>
      <c r="AK185" s="25">
        <v>202.5</v>
      </c>
      <c r="BK185" s="25" t="s">
        <v>50</v>
      </c>
      <c r="BL185" s="25" t="s">
        <v>167</v>
      </c>
      <c r="BM185" s="25" t="s">
        <v>166</v>
      </c>
      <c r="BN185" s="30">
        <v>44260.612883680558</v>
      </c>
      <c r="BR185" s="25" t="s">
        <v>165</v>
      </c>
      <c r="BS185" s="25">
        <v>4.0304202111990902E+18</v>
      </c>
      <c r="BT185" s="25" t="s">
        <v>164</v>
      </c>
      <c r="BV185" s="25">
        <v>2020</v>
      </c>
      <c r="BW185" s="25" t="s">
        <v>163</v>
      </c>
      <c r="BY185" s="25">
        <v>4.0304202112150902E+18</v>
      </c>
      <c r="BZ185" s="25" t="s">
        <v>475</v>
      </c>
      <c r="CA185" s="25" t="s">
        <v>161</v>
      </c>
    </row>
    <row r="186" spans="1:79" hidden="1" x14ac:dyDescent="0.2">
      <c r="A186" s="25" t="s">
        <v>301</v>
      </c>
      <c r="B186" s="25" t="s">
        <v>277</v>
      </c>
      <c r="C186" s="25">
        <v>2020</v>
      </c>
      <c r="D186" s="25" t="s">
        <v>300</v>
      </c>
      <c r="E186" s="25">
        <v>2.0210303943159501E+17</v>
      </c>
      <c r="F186" s="25" t="s">
        <v>182</v>
      </c>
      <c r="G186" s="25" t="s">
        <v>474</v>
      </c>
      <c r="H186" s="25">
        <v>1502683</v>
      </c>
      <c r="J186" s="25" t="s">
        <v>180</v>
      </c>
      <c r="K186" s="25" t="s">
        <v>179</v>
      </c>
      <c r="N186" s="25" t="s">
        <v>339</v>
      </c>
      <c r="O186" s="25" t="s">
        <v>297</v>
      </c>
      <c r="Q186" s="25" t="s">
        <v>296</v>
      </c>
      <c r="R186" s="25" t="s">
        <v>307</v>
      </c>
      <c r="T186" s="25" t="s">
        <v>294</v>
      </c>
      <c r="V186" s="25" t="s">
        <v>338</v>
      </c>
      <c r="X186" s="25" t="s">
        <v>337</v>
      </c>
      <c r="Y186" s="25" t="s">
        <v>172</v>
      </c>
      <c r="Z186" s="25">
        <v>926606244</v>
      </c>
      <c r="AA186" s="25" t="s">
        <v>290</v>
      </c>
      <c r="AB186" s="25" t="s">
        <v>290</v>
      </c>
      <c r="AF186" s="25" t="s">
        <v>289</v>
      </c>
      <c r="AI186" s="31">
        <v>44121</v>
      </c>
      <c r="AJ186" s="25">
        <v>10</v>
      </c>
      <c r="AK186" s="25">
        <v>195</v>
      </c>
      <c r="BK186" s="25" t="s">
        <v>50</v>
      </c>
      <c r="BL186" s="25" t="s">
        <v>167</v>
      </c>
      <c r="BM186" s="25" t="s">
        <v>166</v>
      </c>
      <c r="BN186" s="30">
        <v>44260.614825821758</v>
      </c>
      <c r="BR186" s="25" t="s">
        <v>165</v>
      </c>
      <c r="BS186" s="25">
        <v>4.0304202111990902E+18</v>
      </c>
      <c r="BT186" s="25" t="s">
        <v>164</v>
      </c>
      <c r="BV186" s="25">
        <v>2020</v>
      </c>
      <c r="BW186" s="25" t="s">
        <v>163</v>
      </c>
      <c r="BY186" s="25">
        <v>4.0304202112146202E+18</v>
      </c>
      <c r="BZ186" s="25" t="s">
        <v>473</v>
      </c>
      <c r="CA186" s="25" t="s">
        <v>161</v>
      </c>
    </row>
    <row r="187" spans="1:79" hidden="1" x14ac:dyDescent="0.2">
      <c r="A187" s="25" t="s">
        <v>301</v>
      </c>
      <c r="B187" s="25" t="s">
        <v>277</v>
      </c>
      <c r="C187" s="25">
        <v>2020</v>
      </c>
      <c r="D187" s="25" t="s">
        <v>300</v>
      </c>
      <c r="E187" s="25">
        <v>2.0210303943520998E+17</v>
      </c>
      <c r="F187" s="25" t="s">
        <v>182</v>
      </c>
      <c r="G187" s="25" t="s">
        <v>472</v>
      </c>
      <c r="H187" s="25">
        <v>1502683</v>
      </c>
      <c r="J187" s="25" t="s">
        <v>180</v>
      </c>
      <c r="K187" s="25" t="s">
        <v>179</v>
      </c>
      <c r="L187" s="25" t="s">
        <v>455</v>
      </c>
      <c r="N187" s="25" t="s">
        <v>298</v>
      </c>
      <c r="O187" s="25" t="s">
        <v>297</v>
      </c>
      <c r="Q187" s="25" t="s">
        <v>296</v>
      </c>
      <c r="R187" s="25" t="s">
        <v>295</v>
      </c>
      <c r="T187" s="25" t="s">
        <v>294</v>
      </c>
      <c r="V187" s="25" t="s">
        <v>293</v>
      </c>
      <c r="X187" s="25" t="s">
        <v>292</v>
      </c>
      <c r="Y187" s="25" t="s">
        <v>291</v>
      </c>
      <c r="Z187" s="25">
        <v>852243566</v>
      </c>
      <c r="AA187" s="25" t="s">
        <v>290</v>
      </c>
      <c r="AB187" s="25" t="s">
        <v>290</v>
      </c>
      <c r="AC187" s="25" t="s">
        <v>455</v>
      </c>
      <c r="AD187" s="25" t="s">
        <v>345</v>
      </c>
      <c r="AE187" s="25" t="s">
        <v>344</v>
      </c>
      <c r="AF187" s="25" t="s">
        <v>289</v>
      </c>
      <c r="AI187" s="31">
        <v>44153</v>
      </c>
      <c r="AJ187" s="25">
        <v>10</v>
      </c>
      <c r="AK187" s="25">
        <v>202.5</v>
      </c>
      <c r="BK187" s="25" t="s">
        <v>50</v>
      </c>
      <c r="BL187" s="25" t="s">
        <v>167</v>
      </c>
      <c r="BM187" s="25" t="s">
        <v>166</v>
      </c>
      <c r="BN187" s="30">
        <v>44260.61490158565</v>
      </c>
      <c r="BR187" s="25" t="s">
        <v>165</v>
      </c>
      <c r="BS187" s="25">
        <v>4.0304202111990902E+18</v>
      </c>
      <c r="BT187" s="25" t="s">
        <v>164</v>
      </c>
      <c r="BV187" s="25">
        <v>2020</v>
      </c>
      <c r="BW187" s="25" t="s">
        <v>163</v>
      </c>
      <c r="BY187" s="25">
        <v>4.0304202112191698E+18</v>
      </c>
      <c r="BZ187" s="25" t="s">
        <v>471</v>
      </c>
      <c r="CA187" s="25" t="s">
        <v>161</v>
      </c>
    </row>
    <row r="188" spans="1:79" hidden="1" x14ac:dyDescent="0.2">
      <c r="A188" s="25" t="s">
        <v>301</v>
      </c>
      <c r="B188" s="25" t="s">
        <v>277</v>
      </c>
      <c r="C188" s="25">
        <v>2020</v>
      </c>
      <c r="D188" s="25" t="s">
        <v>300</v>
      </c>
      <c r="E188" s="25">
        <v>2.0210303943160198E+17</v>
      </c>
      <c r="F188" s="25" t="s">
        <v>182</v>
      </c>
      <c r="G188" s="25" t="s">
        <v>470</v>
      </c>
      <c r="H188" s="25">
        <v>1502683</v>
      </c>
      <c r="J188" s="25" t="s">
        <v>180</v>
      </c>
      <c r="K188" s="25" t="s">
        <v>179</v>
      </c>
      <c r="N188" s="25" t="s">
        <v>339</v>
      </c>
      <c r="O188" s="25" t="s">
        <v>297</v>
      </c>
      <c r="Q188" s="25" t="s">
        <v>296</v>
      </c>
      <c r="R188" s="25" t="s">
        <v>307</v>
      </c>
      <c r="T188" s="25" t="s">
        <v>294</v>
      </c>
      <c r="V188" s="25" t="s">
        <v>338</v>
      </c>
      <c r="X188" s="25" t="s">
        <v>337</v>
      </c>
      <c r="Y188" s="25" t="s">
        <v>172</v>
      </c>
      <c r="Z188" s="25">
        <v>926606244</v>
      </c>
      <c r="AA188" s="25" t="s">
        <v>290</v>
      </c>
      <c r="AB188" s="25" t="s">
        <v>290</v>
      </c>
      <c r="AF188" s="25" t="s">
        <v>429</v>
      </c>
      <c r="AI188" s="31">
        <v>44121</v>
      </c>
      <c r="AJ188" s="25">
        <v>10</v>
      </c>
      <c r="AK188" s="25">
        <v>195</v>
      </c>
      <c r="BK188" s="25" t="s">
        <v>50</v>
      </c>
      <c r="BL188" s="25" t="s">
        <v>167</v>
      </c>
      <c r="BM188" s="25" t="s">
        <v>166</v>
      </c>
      <c r="BN188" s="30">
        <v>44260.619090057873</v>
      </c>
      <c r="BR188" s="25" t="s">
        <v>165</v>
      </c>
      <c r="BS188" s="25">
        <v>4.0304202111990902E+18</v>
      </c>
      <c r="BT188" s="25" t="s">
        <v>164</v>
      </c>
      <c r="BV188" s="25">
        <v>2020</v>
      </c>
      <c r="BW188" s="25" t="s">
        <v>163</v>
      </c>
      <c r="BY188" s="25">
        <v>4.03042021121683E+18</v>
      </c>
      <c r="BZ188" s="25" t="s">
        <v>469</v>
      </c>
      <c r="CA188" s="25" t="s">
        <v>161</v>
      </c>
    </row>
    <row r="189" spans="1:79" hidden="1" x14ac:dyDescent="0.2">
      <c r="A189" s="25" t="s">
        <v>301</v>
      </c>
      <c r="B189" s="25" t="s">
        <v>277</v>
      </c>
      <c r="C189" s="25">
        <v>2020</v>
      </c>
      <c r="D189" s="25" t="s">
        <v>300</v>
      </c>
      <c r="E189" s="25">
        <v>2.0210303943134301E+17</v>
      </c>
      <c r="F189" s="25" t="s">
        <v>182</v>
      </c>
      <c r="G189" s="25" t="s">
        <v>468</v>
      </c>
      <c r="H189" s="25">
        <v>1502683</v>
      </c>
      <c r="J189" s="25" t="s">
        <v>180</v>
      </c>
      <c r="K189" s="25" t="s">
        <v>179</v>
      </c>
      <c r="L189" s="25" t="s">
        <v>463</v>
      </c>
      <c r="N189" s="25" t="s">
        <v>339</v>
      </c>
      <c r="O189" s="25" t="s">
        <v>297</v>
      </c>
      <c r="Q189" s="25" t="s">
        <v>296</v>
      </c>
      <c r="R189" s="25" t="s">
        <v>307</v>
      </c>
      <c r="T189" s="25" t="s">
        <v>294</v>
      </c>
      <c r="V189" s="25" t="s">
        <v>359</v>
      </c>
      <c r="X189" s="25" t="s">
        <v>358</v>
      </c>
      <c r="Y189" s="25" t="s">
        <v>172</v>
      </c>
      <c r="Z189" s="25">
        <v>936198745</v>
      </c>
      <c r="AA189" s="25" t="s">
        <v>290</v>
      </c>
      <c r="AB189" s="25" t="s">
        <v>290</v>
      </c>
      <c r="AC189" s="25" t="s">
        <v>463</v>
      </c>
      <c r="AD189" s="25" t="s">
        <v>345</v>
      </c>
      <c r="AE189" s="25" t="s">
        <v>344</v>
      </c>
      <c r="AF189" s="25" t="s">
        <v>462</v>
      </c>
      <c r="AI189" s="31">
        <v>44119</v>
      </c>
      <c r="AJ189" s="25">
        <v>100</v>
      </c>
      <c r="AK189" s="25">
        <v>1000</v>
      </c>
      <c r="BK189" s="25" t="s">
        <v>50</v>
      </c>
      <c r="BL189" s="25" t="s">
        <v>167</v>
      </c>
      <c r="BM189" s="25" t="s">
        <v>166</v>
      </c>
      <c r="BN189" s="30">
        <v>44260.620721539352</v>
      </c>
      <c r="BR189" s="25" t="s">
        <v>165</v>
      </c>
      <c r="BS189" s="25">
        <v>4.0304202111990902E+18</v>
      </c>
      <c r="BT189" s="25" t="s">
        <v>164</v>
      </c>
      <c r="BV189" s="25">
        <v>2020</v>
      </c>
      <c r="BW189" s="25" t="s">
        <v>163</v>
      </c>
      <c r="BY189" s="25">
        <v>4.03042021122304E+18</v>
      </c>
      <c r="BZ189" s="25" t="s">
        <v>467</v>
      </c>
      <c r="CA189" s="25" t="s">
        <v>161</v>
      </c>
    </row>
    <row r="190" spans="1:79" hidden="1" x14ac:dyDescent="0.2">
      <c r="A190" s="25" t="s">
        <v>301</v>
      </c>
      <c r="B190" s="25" t="s">
        <v>277</v>
      </c>
      <c r="C190" s="25">
        <v>2020</v>
      </c>
      <c r="D190" s="25" t="s">
        <v>300</v>
      </c>
      <c r="E190" s="25">
        <v>2.0210303943506899E+17</v>
      </c>
      <c r="F190" s="25" t="s">
        <v>182</v>
      </c>
      <c r="G190" s="25" t="s">
        <v>466</v>
      </c>
      <c r="H190" s="25">
        <v>1502683</v>
      </c>
      <c r="J190" s="25" t="s">
        <v>180</v>
      </c>
      <c r="K190" s="25" t="s">
        <v>179</v>
      </c>
      <c r="N190" s="25" t="s">
        <v>298</v>
      </c>
      <c r="O190" s="25" t="s">
        <v>297</v>
      </c>
      <c r="Q190" s="25" t="s">
        <v>296</v>
      </c>
      <c r="R190" s="25" t="s">
        <v>295</v>
      </c>
      <c r="T190" s="25" t="s">
        <v>294</v>
      </c>
      <c r="V190" s="25" t="s">
        <v>318</v>
      </c>
      <c r="X190" s="25" t="s">
        <v>317</v>
      </c>
      <c r="Y190" s="25" t="s">
        <v>316</v>
      </c>
      <c r="Z190" s="25">
        <v>315611189</v>
      </c>
      <c r="AA190" s="25" t="s">
        <v>315</v>
      </c>
      <c r="AB190" s="25" t="s">
        <v>314</v>
      </c>
      <c r="AF190" s="25" t="s">
        <v>313</v>
      </c>
      <c r="AI190" s="31">
        <v>44151</v>
      </c>
      <c r="AJ190" s="25">
        <v>1</v>
      </c>
      <c r="AK190" s="25">
        <v>102</v>
      </c>
      <c r="BK190" s="25" t="s">
        <v>50</v>
      </c>
      <c r="BL190" s="25" t="s">
        <v>167</v>
      </c>
      <c r="BM190" s="25" t="s">
        <v>166</v>
      </c>
      <c r="BN190" s="30">
        <v>44260.621075474533</v>
      </c>
      <c r="BR190" s="25" t="s">
        <v>165</v>
      </c>
      <c r="BS190" s="25">
        <v>4.0304202111990902E+18</v>
      </c>
      <c r="BT190" s="25" t="s">
        <v>164</v>
      </c>
      <c r="BV190" s="25">
        <v>2020</v>
      </c>
      <c r="BW190" s="25" t="s">
        <v>163</v>
      </c>
      <c r="BY190" s="25">
        <v>4.0304202112169001E+18</v>
      </c>
      <c r="BZ190" s="25" t="s">
        <v>465</v>
      </c>
      <c r="CA190" s="25" t="s">
        <v>161</v>
      </c>
    </row>
    <row r="191" spans="1:79" hidden="1" x14ac:dyDescent="0.2">
      <c r="A191" s="25" t="s">
        <v>301</v>
      </c>
      <c r="B191" s="25" t="s">
        <v>277</v>
      </c>
      <c r="C191" s="25">
        <v>2020</v>
      </c>
      <c r="D191" s="25" t="s">
        <v>300</v>
      </c>
      <c r="E191" s="25">
        <v>2.0210303943171501E+17</v>
      </c>
      <c r="F191" s="25" t="s">
        <v>182</v>
      </c>
      <c r="G191" s="25" t="s">
        <v>464</v>
      </c>
      <c r="H191" s="25">
        <v>1502683</v>
      </c>
      <c r="J191" s="25" t="s">
        <v>180</v>
      </c>
      <c r="K191" s="25" t="s">
        <v>179</v>
      </c>
      <c r="L191" s="25" t="s">
        <v>463</v>
      </c>
      <c r="N191" s="25" t="s">
        <v>339</v>
      </c>
      <c r="O191" s="25" t="s">
        <v>297</v>
      </c>
      <c r="Q191" s="25" t="s">
        <v>296</v>
      </c>
      <c r="R191" s="25" t="s">
        <v>307</v>
      </c>
      <c r="T191" s="25" t="s">
        <v>294</v>
      </c>
      <c r="V191" s="25" t="s">
        <v>359</v>
      </c>
      <c r="X191" s="25" t="s">
        <v>358</v>
      </c>
      <c r="Y191" s="25" t="s">
        <v>172</v>
      </c>
      <c r="Z191" s="25">
        <v>936198745</v>
      </c>
      <c r="AA191" s="25" t="s">
        <v>290</v>
      </c>
      <c r="AB191" s="25" t="s">
        <v>290</v>
      </c>
      <c r="AC191" s="25" t="s">
        <v>463</v>
      </c>
      <c r="AD191" s="25" t="s">
        <v>345</v>
      </c>
      <c r="AE191" s="25" t="s">
        <v>344</v>
      </c>
      <c r="AF191" s="25" t="s">
        <v>462</v>
      </c>
      <c r="AI191" s="31">
        <v>44123</v>
      </c>
      <c r="AJ191" s="25">
        <v>100</v>
      </c>
      <c r="AK191" s="25">
        <v>1100</v>
      </c>
      <c r="BK191" s="25" t="s">
        <v>50</v>
      </c>
      <c r="BL191" s="25" t="s">
        <v>167</v>
      </c>
      <c r="BM191" s="25" t="s">
        <v>166</v>
      </c>
      <c r="BN191" s="30">
        <v>44260.624606527781</v>
      </c>
      <c r="BR191" s="25" t="s">
        <v>165</v>
      </c>
      <c r="BS191" s="25">
        <v>4.0304202111990902E+18</v>
      </c>
      <c r="BT191" s="25" t="s">
        <v>164</v>
      </c>
      <c r="BV191" s="25">
        <v>2020</v>
      </c>
      <c r="BW191" s="25" t="s">
        <v>163</v>
      </c>
      <c r="BY191" s="25">
        <v>4.0304202112231798E+18</v>
      </c>
      <c r="BZ191" s="25" t="s">
        <v>461</v>
      </c>
      <c r="CA191" s="25" t="s">
        <v>161</v>
      </c>
    </row>
    <row r="192" spans="1:79" hidden="1" x14ac:dyDescent="0.2">
      <c r="A192" s="25" t="s">
        <v>301</v>
      </c>
      <c r="B192" s="25" t="s">
        <v>277</v>
      </c>
      <c r="C192" s="25">
        <v>2020</v>
      </c>
      <c r="D192" s="25" t="s">
        <v>300</v>
      </c>
      <c r="E192" s="25">
        <v>2.02103039433788E+17</v>
      </c>
      <c r="F192" s="25" t="s">
        <v>182</v>
      </c>
      <c r="G192" s="25" t="s">
        <v>460</v>
      </c>
      <c r="H192" s="25">
        <v>1502683</v>
      </c>
      <c r="J192" s="25" t="s">
        <v>180</v>
      </c>
      <c r="K192" s="25" t="s">
        <v>179</v>
      </c>
      <c r="L192" s="25" t="s">
        <v>346</v>
      </c>
      <c r="N192" s="25" t="s">
        <v>339</v>
      </c>
      <c r="O192" s="25" t="s">
        <v>297</v>
      </c>
      <c r="Q192" s="25" t="s">
        <v>296</v>
      </c>
      <c r="R192" s="25" t="s">
        <v>307</v>
      </c>
      <c r="T192" s="25" t="s">
        <v>294</v>
      </c>
      <c r="V192" s="25" t="s">
        <v>359</v>
      </c>
      <c r="X192" s="25" t="s">
        <v>358</v>
      </c>
      <c r="Y192" s="25" t="s">
        <v>172</v>
      </c>
      <c r="Z192" s="25">
        <v>936198745</v>
      </c>
      <c r="AA192" s="25" t="s">
        <v>290</v>
      </c>
      <c r="AB192" s="25" t="s">
        <v>290</v>
      </c>
      <c r="AC192" s="25" t="s">
        <v>346</v>
      </c>
      <c r="AD192" s="25" t="s">
        <v>345</v>
      </c>
      <c r="AE192" s="25" t="s">
        <v>344</v>
      </c>
      <c r="AF192" s="25" t="s">
        <v>303</v>
      </c>
      <c r="AI192" s="31">
        <v>44139</v>
      </c>
      <c r="AJ192" s="25">
        <v>100</v>
      </c>
      <c r="AK192" s="25">
        <v>1300</v>
      </c>
      <c r="BK192" s="25" t="s">
        <v>50</v>
      </c>
      <c r="BL192" s="25" t="s">
        <v>167</v>
      </c>
      <c r="BM192" s="25" t="s">
        <v>166</v>
      </c>
      <c r="BN192" s="30">
        <v>44260.624688113428</v>
      </c>
      <c r="BR192" s="25" t="s">
        <v>165</v>
      </c>
      <c r="BS192" s="25">
        <v>4.0304202111990902E+18</v>
      </c>
      <c r="BT192" s="25" t="s">
        <v>164</v>
      </c>
      <c r="BV192" s="25">
        <v>2020</v>
      </c>
      <c r="BW192" s="25" t="s">
        <v>163</v>
      </c>
      <c r="BY192" s="25">
        <v>4.0304202112231798E+18</v>
      </c>
      <c r="BZ192" s="25" t="s">
        <v>459</v>
      </c>
      <c r="CA192" s="25" t="s">
        <v>161</v>
      </c>
    </row>
    <row r="193" spans="1:79" hidden="1" x14ac:dyDescent="0.2">
      <c r="A193" s="25" t="s">
        <v>301</v>
      </c>
      <c r="B193" s="25" t="s">
        <v>277</v>
      </c>
      <c r="C193" s="25">
        <v>2020</v>
      </c>
      <c r="D193" s="25" t="s">
        <v>300</v>
      </c>
      <c r="E193" s="25">
        <v>2.0210303943451002E+17</v>
      </c>
      <c r="F193" s="25" t="s">
        <v>182</v>
      </c>
      <c r="G193" s="25" t="s">
        <v>458</v>
      </c>
      <c r="H193" s="25">
        <v>1502683</v>
      </c>
      <c r="J193" s="25" t="s">
        <v>180</v>
      </c>
      <c r="K193" s="25" t="s">
        <v>179</v>
      </c>
      <c r="L193" s="25" t="s">
        <v>409</v>
      </c>
      <c r="N193" s="25" t="s">
        <v>339</v>
      </c>
      <c r="O193" s="25" t="s">
        <v>297</v>
      </c>
      <c r="Q193" s="25" t="s">
        <v>296</v>
      </c>
      <c r="R193" s="25" t="s">
        <v>307</v>
      </c>
      <c r="T193" s="25" t="s">
        <v>294</v>
      </c>
      <c r="V193" s="25" t="s">
        <v>359</v>
      </c>
      <c r="X193" s="25" t="s">
        <v>358</v>
      </c>
      <c r="Y193" s="25" t="s">
        <v>172</v>
      </c>
      <c r="Z193" s="25">
        <v>936198745</v>
      </c>
      <c r="AA193" s="25" t="s">
        <v>290</v>
      </c>
      <c r="AB193" s="25" t="s">
        <v>290</v>
      </c>
      <c r="AC193" s="25" t="s">
        <v>409</v>
      </c>
      <c r="AD193" s="25" t="s">
        <v>345</v>
      </c>
      <c r="AE193" s="25" t="s">
        <v>344</v>
      </c>
      <c r="AF193" s="25" t="s">
        <v>313</v>
      </c>
      <c r="AI193" s="31">
        <v>44144</v>
      </c>
      <c r="AJ193" s="25">
        <v>100</v>
      </c>
      <c r="AK193" s="25">
        <v>1400</v>
      </c>
      <c r="BK193" s="25" t="s">
        <v>50</v>
      </c>
      <c r="BL193" s="25" t="s">
        <v>167</v>
      </c>
      <c r="BM193" s="25" t="s">
        <v>166</v>
      </c>
      <c r="BN193" s="30">
        <v>44260.62489136574</v>
      </c>
      <c r="BR193" s="25" t="s">
        <v>165</v>
      </c>
      <c r="BS193" s="25">
        <v>4.0304202111990902E+18</v>
      </c>
      <c r="BT193" s="25" t="s">
        <v>164</v>
      </c>
      <c r="BV193" s="25">
        <v>2020</v>
      </c>
      <c r="BW193" s="25" t="s">
        <v>163</v>
      </c>
      <c r="BY193" s="25">
        <v>4.03042021122445E+18</v>
      </c>
      <c r="BZ193" s="25" t="s">
        <v>457</v>
      </c>
      <c r="CA193" s="25" t="s">
        <v>161</v>
      </c>
    </row>
    <row r="194" spans="1:79" hidden="1" x14ac:dyDescent="0.2">
      <c r="A194" s="25" t="s">
        <v>301</v>
      </c>
      <c r="B194" s="25" t="s">
        <v>277</v>
      </c>
      <c r="C194" s="25">
        <v>2020</v>
      </c>
      <c r="D194" s="25" t="s">
        <v>300</v>
      </c>
      <c r="E194" s="25">
        <v>2.0210303943243398E+17</v>
      </c>
      <c r="F194" s="25" t="s">
        <v>182</v>
      </c>
      <c r="G194" s="25" t="s">
        <v>456</v>
      </c>
      <c r="H194" s="25">
        <v>1502683</v>
      </c>
      <c r="J194" s="25" t="s">
        <v>180</v>
      </c>
      <c r="K194" s="25" t="s">
        <v>179</v>
      </c>
      <c r="L194" s="25" t="s">
        <v>455</v>
      </c>
      <c r="N194" s="25" t="s">
        <v>339</v>
      </c>
      <c r="O194" s="25" t="s">
        <v>297</v>
      </c>
      <c r="Q194" s="25" t="s">
        <v>296</v>
      </c>
      <c r="R194" s="25" t="s">
        <v>307</v>
      </c>
      <c r="T194" s="25" t="s">
        <v>294</v>
      </c>
      <c r="V194" s="25" t="s">
        <v>338</v>
      </c>
      <c r="X194" s="25" t="s">
        <v>337</v>
      </c>
      <c r="Y194" s="25" t="s">
        <v>172</v>
      </c>
      <c r="Z194" s="25">
        <v>926606244</v>
      </c>
      <c r="AA194" s="25" t="s">
        <v>290</v>
      </c>
      <c r="AB194" s="25" t="s">
        <v>290</v>
      </c>
      <c r="AC194" s="25" t="s">
        <v>455</v>
      </c>
      <c r="AD194" s="25" t="s">
        <v>345</v>
      </c>
      <c r="AE194" s="25" t="s">
        <v>344</v>
      </c>
      <c r="AF194" s="25" t="s">
        <v>289</v>
      </c>
      <c r="AI194" s="31">
        <v>44129</v>
      </c>
      <c r="AJ194" s="25">
        <v>25</v>
      </c>
      <c r="AK194" s="25">
        <v>220</v>
      </c>
      <c r="BK194" s="25" t="s">
        <v>50</v>
      </c>
      <c r="BL194" s="25" t="s">
        <v>167</v>
      </c>
      <c r="BM194" s="25" t="s">
        <v>166</v>
      </c>
      <c r="BN194" s="30">
        <v>44260.630030671295</v>
      </c>
      <c r="BR194" s="25" t="s">
        <v>165</v>
      </c>
      <c r="BS194" s="25">
        <v>4.0304202111990902E+18</v>
      </c>
      <c r="BT194" s="25" t="s">
        <v>164</v>
      </c>
      <c r="BV194" s="25">
        <v>2020</v>
      </c>
      <c r="BW194" s="25" t="s">
        <v>163</v>
      </c>
      <c r="BY194" s="25">
        <v>4.0304202112122199E+18</v>
      </c>
      <c r="BZ194" s="25" t="s">
        <v>454</v>
      </c>
      <c r="CA194" s="25" t="s">
        <v>161</v>
      </c>
    </row>
    <row r="195" spans="1:79" hidden="1" x14ac:dyDescent="0.2">
      <c r="A195" s="25" t="s">
        <v>301</v>
      </c>
      <c r="B195" s="25" t="s">
        <v>277</v>
      </c>
      <c r="C195" s="25">
        <v>2020</v>
      </c>
      <c r="D195" s="25" t="s">
        <v>300</v>
      </c>
      <c r="E195" s="25">
        <v>2.0210303943506701E+17</v>
      </c>
      <c r="F195" s="25" t="s">
        <v>182</v>
      </c>
      <c r="G195" s="25" t="s">
        <v>453</v>
      </c>
      <c r="H195" s="25">
        <v>1502683</v>
      </c>
      <c r="J195" s="25" t="s">
        <v>180</v>
      </c>
      <c r="K195" s="25" t="s">
        <v>179</v>
      </c>
      <c r="N195" s="25" t="s">
        <v>298</v>
      </c>
      <c r="O195" s="25" t="s">
        <v>297</v>
      </c>
      <c r="Q195" s="25" t="s">
        <v>296</v>
      </c>
      <c r="R195" s="25" t="s">
        <v>295</v>
      </c>
      <c r="T195" s="25" t="s">
        <v>294</v>
      </c>
      <c r="V195" s="25" t="s">
        <v>318</v>
      </c>
      <c r="X195" s="25" t="s">
        <v>317</v>
      </c>
      <c r="Y195" s="25" t="s">
        <v>316</v>
      </c>
      <c r="Z195" s="25">
        <v>315611189</v>
      </c>
      <c r="AA195" s="25" t="s">
        <v>315</v>
      </c>
      <c r="AB195" s="25" t="s">
        <v>314</v>
      </c>
      <c r="AF195" s="25" t="s">
        <v>313</v>
      </c>
      <c r="AI195" s="31">
        <v>44151</v>
      </c>
      <c r="AJ195" s="25">
        <v>25</v>
      </c>
      <c r="AK195" s="25">
        <v>102</v>
      </c>
      <c r="BK195" s="25" t="s">
        <v>50</v>
      </c>
      <c r="BL195" s="25" t="s">
        <v>167</v>
      </c>
      <c r="BM195" s="25" t="s">
        <v>166</v>
      </c>
      <c r="BN195" s="30">
        <v>44260.630115821761</v>
      </c>
      <c r="BR195" s="25" t="s">
        <v>165</v>
      </c>
      <c r="BS195" s="25">
        <v>4.0304202111990902E+18</v>
      </c>
      <c r="BT195" s="25" t="s">
        <v>164</v>
      </c>
      <c r="BV195" s="25">
        <v>2020</v>
      </c>
      <c r="BW195" s="25" t="s">
        <v>163</v>
      </c>
      <c r="BY195" s="25">
        <v>4.0304202112135101E+18</v>
      </c>
      <c r="BZ195" s="25" t="s">
        <v>452</v>
      </c>
      <c r="CA195" s="25" t="s">
        <v>161</v>
      </c>
    </row>
    <row r="196" spans="1:79" hidden="1" x14ac:dyDescent="0.2">
      <c r="A196" s="25" t="s">
        <v>346</v>
      </c>
      <c r="B196" s="25" t="s">
        <v>281</v>
      </c>
      <c r="C196" s="25">
        <v>2020</v>
      </c>
      <c r="D196" s="25" t="s">
        <v>451</v>
      </c>
      <c r="E196" s="25">
        <v>2.02104209444652E+17</v>
      </c>
      <c r="F196" s="25" t="s">
        <v>450</v>
      </c>
      <c r="G196" s="25" t="s">
        <v>449</v>
      </c>
      <c r="H196" s="25">
        <v>1513940</v>
      </c>
      <c r="J196" s="25" t="s">
        <v>180</v>
      </c>
      <c r="K196" s="25" t="s">
        <v>179</v>
      </c>
      <c r="N196" s="25" t="s">
        <v>448</v>
      </c>
      <c r="O196" s="25" t="s">
        <v>28</v>
      </c>
      <c r="Q196" s="25" t="s">
        <v>28</v>
      </c>
      <c r="R196" s="25" t="s">
        <v>307</v>
      </c>
      <c r="S196" s="25" t="s">
        <v>447</v>
      </c>
      <c r="T196" s="25" t="s">
        <v>294</v>
      </c>
      <c r="V196" s="25" t="s">
        <v>338</v>
      </c>
      <c r="X196" s="25" t="s">
        <v>337</v>
      </c>
      <c r="Y196" s="25" t="s">
        <v>172</v>
      </c>
      <c r="Z196" s="25">
        <v>92660</v>
      </c>
      <c r="AA196" s="25" t="s">
        <v>290</v>
      </c>
      <c r="AB196" s="25" t="s">
        <v>290</v>
      </c>
      <c r="AI196" s="31">
        <v>44019</v>
      </c>
      <c r="AJ196" s="25">
        <v>25</v>
      </c>
      <c r="AK196" s="25">
        <v>43.75</v>
      </c>
      <c r="BG196" s="25" t="s">
        <v>446</v>
      </c>
      <c r="BI196" s="25" t="s">
        <v>168</v>
      </c>
      <c r="BJ196" s="25">
        <v>2020</v>
      </c>
      <c r="BK196" s="25" t="s">
        <v>50</v>
      </c>
      <c r="BL196" s="25" t="s">
        <v>167</v>
      </c>
      <c r="BM196" s="25" t="s">
        <v>166</v>
      </c>
      <c r="BN196" s="30">
        <v>44315.168211782409</v>
      </c>
      <c r="BR196" s="25" t="s">
        <v>445</v>
      </c>
      <c r="BS196" s="25">
        <v>4.0423202112787599E+18</v>
      </c>
      <c r="BT196" s="25" t="s">
        <v>164</v>
      </c>
      <c r="BV196" s="25">
        <v>2020</v>
      </c>
      <c r="BW196" s="25" t="s">
        <v>163</v>
      </c>
      <c r="BY196" s="25">
        <v>4.0428202112832901E+18</v>
      </c>
      <c r="BZ196" s="25" t="s">
        <v>444</v>
      </c>
      <c r="CA196" s="25" t="s">
        <v>161</v>
      </c>
    </row>
    <row r="197" spans="1:79" hidden="1" x14ac:dyDescent="0.2">
      <c r="A197" s="25" t="s">
        <v>301</v>
      </c>
      <c r="B197" s="25" t="s">
        <v>277</v>
      </c>
      <c r="C197" s="25">
        <v>2020</v>
      </c>
      <c r="D197" s="25" t="s">
        <v>300</v>
      </c>
      <c r="E197" s="25">
        <v>2.0210303943521798E+17</v>
      </c>
      <c r="F197" s="25" t="s">
        <v>182</v>
      </c>
      <c r="G197" s="25" t="s">
        <v>443</v>
      </c>
      <c r="H197" s="25">
        <v>1502683</v>
      </c>
      <c r="J197" s="25" t="s">
        <v>180</v>
      </c>
      <c r="K197" s="25" t="s">
        <v>179</v>
      </c>
      <c r="L197" s="25" t="s">
        <v>442</v>
      </c>
      <c r="N197" s="25" t="s">
        <v>298</v>
      </c>
      <c r="O197" s="25" t="s">
        <v>297</v>
      </c>
      <c r="Q197" s="25" t="s">
        <v>296</v>
      </c>
      <c r="R197" s="25" t="s">
        <v>295</v>
      </c>
      <c r="T197" s="25" t="s">
        <v>294</v>
      </c>
      <c r="V197" s="25" t="s">
        <v>293</v>
      </c>
      <c r="X197" s="25" t="s">
        <v>292</v>
      </c>
      <c r="Y197" s="25" t="s">
        <v>291</v>
      </c>
      <c r="Z197" s="25">
        <v>852243566</v>
      </c>
      <c r="AA197" s="25" t="s">
        <v>290</v>
      </c>
      <c r="AB197" s="25" t="s">
        <v>290</v>
      </c>
      <c r="AC197" s="25" t="s">
        <v>442</v>
      </c>
      <c r="AD197" s="25" t="s">
        <v>345</v>
      </c>
      <c r="AE197" s="25" t="s">
        <v>344</v>
      </c>
      <c r="AF197" s="25" t="s">
        <v>441</v>
      </c>
      <c r="AI197" s="31">
        <v>44153</v>
      </c>
      <c r="AJ197" s="25">
        <v>20</v>
      </c>
      <c r="AK197" s="25">
        <v>202.5</v>
      </c>
      <c r="BK197" s="25" t="s">
        <v>50</v>
      </c>
      <c r="BL197" s="25" t="s">
        <v>167</v>
      </c>
      <c r="BM197" s="25" t="s">
        <v>166</v>
      </c>
      <c r="BN197" s="30">
        <v>44260.633666400463</v>
      </c>
      <c r="BR197" s="25" t="s">
        <v>165</v>
      </c>
      <c r="BS197" s="25">
        <v>4.0304202111990902E+18</v>
      </c>
      <c r="BT197" s="25" t="s">
        <v>164</v>
      </c>
      <c r="BV197" s="25">
        <v>2020</v>
      </c>
      <c r="BW197" s="25" t="s">
        <v>163</v>
      </c>
      <c r="BY197" s="25">
        <v>4.0304202112149002E+18</v>
      </c>
      <c r="BZ197" s="25" t="s">
        <v>440</v>
      </c>
      <c r="CA197" s="25" t="s">
        <v>161</v>
      </c>
    </row>
    <row r="198" spans="1:79" hidden="1" x14ac:dyDescent="0.2">
      <c r="A198" s="25" t="s">
        <v>301</v>
      </c>
      <c r="B198" s="25" t="s">
        <v>277</v>
      </c>
      <c r="C198" s="25">
        <v>2020</v>
      </c>
      <c r="D198" s="25" t="s">
        <v>407</v>
      </c>
      <c r="E198" s="25">
        <v>2.0210114940018099E+17</v>
      </c>
      <c r="F198" s="25" t="s">
        <v>182</v>
      </c>
      <c r="G198" s="25" t="s">
        <v>439</v>
      </c>
      <c r="H198" s="25">
        <v>1487725</v>
      </c>
      <c r="J198" s="25" t="s">
        <v>180</v>
      </c>
      <c r="K198" s="25" t="s">
        <v>179</v>
      </c>
      <c r="L198" s="25" t="s">
        <v>346</v>
      </c>
      <c r="N198" s="25" t="s">
        <v>339</v>
      </c>
      <c r="O198" s="25" t="s">
        <v>297</v>
      </c>
      <c r="Q198" s="25" t="s">
        <v>296</v>
      </c>
      <c r="R198" s="25" t="s">
        <v>307</v>
      </c>
      <c r="T198" s="25" t="s">
        <v>294</v>
      </c>
      <c r="V198" s="25" t="s">
        <v>359</v>
      </c>
      <c r="X198" s="25" t="s">
        <v>358</v>
      </c>
      <c r="Y198" s="25" t="s">
        <v>172</v>
      </c>
      <c r="Z198" s="25">
        <v>936198745</v>
      </c>
      <c r="AA198" s="25" t="s">
        <v>411</v>
      </c>
      <c r="AB198" s="25" t="s">
        <v>410</v>
      </c>
      <c r="AC198" s="25" t="s">
        <v>346</v>
      </c>
      <c r="AD198" s="25" t="s">
        <v>345</v>
      </c>
      <c r="AE198" s="25" t="s">
        <v>344</v>
      </c>
      <c r="AF198" s="25" t="s">
        <v>303</v>
      </c>
      <c r="AI198" s="31">
        <v>43936</v>
      </c>
      <c r="AJ198" s="25">
        <v>100</v>
      </c>
      <c r="AK198" s="25">
        <v>300</v>
      </c>
      <c r="AL198" s="25" t="s">
        <v>343</v>
      </c>
      <c r="BK198" s="25" t="s">
        <v>50</v>
      </c>
      <c r="BL198" s="25" t="s">
        <v>167</v>
      </c>
      <c r="BM198" s="25" t="s">
        <v>166</v>
      </c>
      <c r="BN198" s="30">
        <v>44245.370242442128</v>
      </c>
      <c r="BR198" s="25" t="s">
        <v>165</v>
      </c>
      <c r="BS198" s="25">
        <v>4.0120202120938301E+18</v>
      </c>
      <c r="BT198" s="25" t="s">
        <v>164</v>
      </c>
      <c r="BV198" s="25">
        <v>2020</v>
      </c>
      <c r="BW198" s="25" t="s">
        <v>163</v>
      </c>
      <c r="BY198" s="25">
        <v>4.0217202111538801E+18</v>
      </c>
      <c r="BZ198" s="25" t="s">
        <v>438</v>
      </c>
      <c r="CA198" s="25" t="s">
        <v>161</v>
      </c>
    </row>
    <row r="199" spans="1:79" hidden="1" x14ac:dyDescent="0.2">
      <c r="A199" s="25" t="s">
        <v>301</v>
      </c>
      <c r="B199" s="25" t="s">
        <v>277</v>
      </c>
      <c r="C199" s="25">
        <v>2020</v>
      </c>
      <c r="D199" s="25" t="s">
        <v>407</v>
      </c>
      <c r="E199" s="25">
        <v>2.0210114940021299E+17</v>
      </c>
      <c r="F199" s="25" t="s">
        <v>182</v>
      </c>
      <c r="G199" s="25" t="s">
        <v>437</v>
      </c>
      <c r="H199" s="25">
        <v>1487725</v>
      </c>
      <c r="J199" s="25" t="s">
        <v>180</v>
      </c>
      <c r="K199" s="25" t="s">
        <v>179</v>
      </c>
      <c r="N199" s="25" t="s">
        <v>339</v>
      </c>
      <c r="O199" s="25" t="s">
        <v>297</v>
      </c>
      <c r="Q199" s="25" t="s">
        <v>296</v>
      </c>
      <c r="R199" s="25" t="s">
        <v>307</v>
      </c>
      <c r="T199" s="25" t="s">
        <v>294</v>
      </c>
      <c r="V199" s="25" t="s">
        <v>351</v>
      </c>
      <c r="X199" s="25" t="s">
        <v>350</v>
      </c>
      <c r="Y199" s="25" t="s">
        <v>349</v>
      </c>
      <c r="Z199" s="25">
        <v>320683024</v>
      </c>
      <c r="AA199" s="25" t="s">
        <v>348</v>
      </c>
      <c r="AB199" s="25" t="s">
        <v>347</v>
      </c>
      <c r="AF199" s="25" t="s">
        <v>303</v>
      </c>
      <c r="AI199" s="31">
        <v>43937</v>
      </c>
      <c r="AJ199" s="25">
        <v>42</v>
      </c>
      <c r="AK199" s="25">
        <v>42</v>
      </c>
      <c r="BK199" s="25" t="s">
        <v>50</v>
      </c>
      <c r="BL199" s="25" t="s">
        <v>167</v>
      </c>
      <c r="BM199" s="25" t="s">
        <v>166</v>
      </c>
      <c r="BN199" s="30">
        <v>44245.374728506948</v>
      </c>
      <c r="BR199" s="25" t="s">
        <v>165</v>
      </c>
      <c r="BS199" s="25">
        <v>4.0120202120938301E+18</v>
      </c>
      <c r="BT199" s="25" t="s">
        <v>164</v>
      </c>
      <c r="BV199" s="25">
        <v>2020</v>
      </c>
      <c r="BW199" s="25" t="s">
        <v>163</v>
      </c>
      <c r="BY199" s="25">
        <v>4.0217202111493402E+18</v>
      </c>
      <c r="BZ199" s="25" t="s">
        <v>436</v>
      </c>
      <c r="CA199" s="25" t="s">
        <v>161</v>
      </c>
    </row>
    <row r="200" spans="1:79" hidden="1" x14ac:dyDescent="0.2">
      <c r="A200" s="25" t="s">
        <v>374</v>
      </c>
      <c r="B200" s="25" t="s">
        <v>287</v>
      </c>
      <c r="C200" s="25">
        <v>2020</v>
      </c>
      <c r="D200" s="25" t="s">
        <v>300</v>
      </c>
      <c r="E200" s="25">
        <v>2.0201204935430099E+17</v>
      </c>
      <c r="F200" s="25" t="s">
        <v>182</v>
      </c>
      <c r="G200" s="25" t="s">
        <v>435</v>
      </c>
      <c r="H200" s="25">
        <v>1481637</v>
      </c>
      <c r="J200" s="25" t="s">
        <v>180</v>
      </c>
      <c r="K200" s="25" t="s">
        <v>179</v>
      </c>
      <c r="L200" s="25" t="s">
        <v>434</v>
      </c>
      <c r="N200" s="25" t="s">
        <v>371</v>
      </c>
      <c r="O200" s="25" t="s">
        <v>297</v>
      </c>
      <c r="Q200" s="25" t="s">
        <v>296</v>
      </c>
      <c r="R200" s="25" t="s">
        <v>370</v>
      </c>
      <c r="T200" s="25" t="s">
        <v>294</v>
      </c>
      <c r="V200" s="25" t="s">
        <v>369</v>
      </c>
      <c r="X200" s="25" t="s">
        <v>368</v>
      </c>
      <c r="Y200" s="25" t="s">
        <v>367</v>
      </c>
      <c r="Z200" s="25">
        <v>81004</v>
      </c>
      <c r="AA200" s="25" t="s">
        <v>366</v>
      </c>
      <c r="AB200" s="25" t="s">
        <v>365</v>
      </c>
      <c r="AC200" s="25" t="s">
        <v>434</v>
      </c>
      <c r="AD200" s="25" t="s">
        <v>383</v>
      </c>
      <c r="AE200" s="25" t="s">
        <v>382</v>
      </c>
      <c r="AF200" s="25" t="s">
        <v>377</v>
      </c>
      <c r="AI200" s="31">
        <v>44133</v>
      </c>
      <c r="AJ200" s="25">
        <v>50</v>
      </c>
      <c r="AK200" s="25">
        <v>400</v>
      </c>
      <c r="AL200" s="25" t="s">
        <v>433</v>
      </c>
      <c r="BF200" s="25" t="s">
        <v>363</v>
      </c>
      <c r="BK200" s="25" t="s">
        <v>50</v>
      </c>
      <c r="BL200" s="25" t="s">
        <v>167</v>
      </c>
      <c r="BM200" s="25" t="s">
        <v>166</v>
      </c>
      <c r="BN200" s="30">
        <v>44201.644889224539</v>
      </c>
      <c r="BR200" s="25" t="s">
        <v>165</v>
      </c>
      <c r="BS200" s="25">
        <v>4.1205202019644498E+18</v>
      </c>
      <c r="BT200" s="25" t="s">
        <v>164</v>
      </c>
      <c r="BU200" s="25" t="s">
        <v>432</v>
      </c>
      <c r="BV200" s="25">
        <v>2020</v>
      </c>
      <c r="BW200" s="25" t="s">
        <v>163</v>
      </c>
      <c r="BY200" s="25">
        <v>4.0104202120008402E+18</v>
      </c>
      <c r="BZ200" s="25" t="s">
        <v>431</v>
      </c>
      <c r="CA200" s="25" t="s">
        <v>161</v>
      </c>
    </row>
    <row r="201" spans="1:79" hidden="1" x14ac:dyDescent="0.2">
      <c r="A201" s="25" t="s">
        <v>301</v>
      </c>
      <c r="B201" s="25" t="s">
        <v>277</v>
      </c>
      <c r="C201" s="25">
        <v>2020</v>
      </c>
      <c r="D201" s="25" t="s">
        <v>341</v>
      </c>
      <c r="E201" s="25">
        <v>2.0210125940726202E+17</v>
      </c>
      <c r="F201" s="25" t="s">
        <v>182</v>
      </c>
      <c r="G201" s="25" t="s">
        <v>430</v>
      </c>
      <c r="H201" s="25">
        <v>1490496</v>
      </c>
      <c r="J201" s="25" t="s">
        <v>180</v>
      </c>
      <c r="K201" s="25" t="s">
        <v>179</v>
      </c>
      <c r="N201" s="25" t="s">
        <v>339</v>
      </c>
      <c r="O201" s="25" t="s">
        <v>297</v>
      </c>
      <c r="Q201" s="25" t="s">
        <v>296</v>
      </c>
      <c r="R201" s="25" t="s">
        <v>307</v>
      </c>
      <c r="T201" s="25" t="s">
        <v>294</v>
      </c>
      <c r="V201" s="25" t="s">
        <v>338</v>
      </c>
      <c r="X201" s="25" t="s">
        <v>337</v>
      </c>
      <c r="Y201" s="25" t="s">
        <v>172</v>
      </c>
      <c r="Z201" s="25">
        <v>926606244</v>
      </c>
      <c r="AA201" s="25" t="s">
        <v>290</v>
      </c>
      <c r="AB201" s="25" t="s">
        <v>290</v>
      </c>
      <c r="AF201" s="25" t="s">
        <v>429</v>
      </c>
      <c r="AI201" s="31">
        <v>44066</v>
      </c>
      <c r="AJ201" s="25">
        <v>25</v>
      </c>
      <c r="AK201" s="25">
        <v>80</v>
      </c>
      <c r="BK201" s="25" t="s">
        <v>50</v>
      </c>
      <c r="BL201" s="25" t="s">
        <v>167</v>
      </c>
      <c r="BM201" s="25" t="s">
        <v>166</v>
      </c>
      <c r="BN201" s="30">
        <v>44252.606725902777</v>
      </c>
      <c r="BR201" s="25" t="s">
        <v>165</v>
      </c>
      <c r="BS201" s="25">
        <v>4.0125202121377597E+18</v>
      </c>
      <c r="BT201" s="25" t="s">
        <v>164</v>
      </c>
      <c r="BV201" s="25">
        <v>2020</v>
      </c>
      <c r="BW201" s="25" t="s">
        <v>163</v>
      </c>
      <c r="BY201" s="25">
        <v>4.0224202111823099E+18</v>
      </c>
      <c r="BZ201" s="25" t="s">
        <v>428</v>
      </c>
      <c r="CA201" s="25" t="s">
        <v>161</v>
      </c>
    </row>
    <row r="202" spans="1:79" hidden="1" x14ac:dyDescent="0.2">
      <c r="A202" s="25" t="s">
        <v>374</v>
      </c>
      <c r="B202" s="25" t="s">
        <v>287</v>
      </c>
      <c r="C202" s="25">
        <v>2020</v>
      </c>
      <c r="D202" s="25" t="s">
        <v>422</v>
      </c>
      <c r="E202" s="25">
        <v>2.0210131941949299E+17</v>
      </c>
      <c r="F202" s="25" t="s">
        <v>182</v>
      </c>
      <c r="G202" s="25" t="s">
        <v>427</v>
      </c>
      <c r="H202" s="25">
        <v>1496802</v>
      </c>
      <c r="J202" s="25" t="s">
        <v>180</v>
      </c>
      <c r="K202" s="25" t="s">
        <v>179</v>
      </c>
      <c r="N202" s="25" t="s">
        <v>397</v>
      </c>
      <c r="O202" s="25" t="s">
        <v>297</v>
      </c>
      <c r="Q202" s="25" t="s">
        <v>296</v>
      </c>
      <c r="R202" s="25" t="s">
        <v>396</v>
      </c>
      <c r="T202" s="25" t="s">
        <v>294</v>
      </c>
      <c r="V202" s="25" t="s">
        <v>395</v>
      </c>
      <c r="X202" s="25" t="s">
        <v>394</v>
      </c>
      <c r="Y202" s="25" t="s">
        <v>31</v>
      </c>
      <c r="Z202" s="25">
        <v>98346</v>
      </c>
      <c r="AA202" s="25" t="s">
        <v>393</v>
      </c>
      <c r="AB202" s="25" t="s">
        <v>393</v>
      </c>
      <c r="AF202" s="25" t="s">
        <v>377</v>
      </c>
      <c r="AI202" s="31">
        <v>44185</v>
      </c>
      <c r="AJ202" s="25">
        <v>12.26</v>
      </c>
      <c r="AK202" s="25">
        <v>140.34</v>
      </c>
      <c r="BF202" s="25" t="s">
        <v>363</v>
      </c>
      <c r="BK202" s="25" t="s">
        <v>50</v>
      </c>
      <c r="BL202" s="25" t="s">
        <v>167</v>
      </c>
      <c r="BM202" s="25" t="s">
        <v>166</v>
      </c>
      <c r="BN202" s="30">
        <v>44267.209368229167</v>
      </c>
      <c r="BR202" s="25" t="s">
        <v>165</v>
      </c>
      <c r="BS202" s="25">
        <v>4.0201202121400402E+18</v>
      </c>
      <c r="BT202" s="25" t="s">
        <v>164</v>
      </c>
      <c r="BU202" s="25" t="s">
        <v>392</v>
      </c>
      <c r="BV202" s="25">
        <v>2020</v>
      </c>
      <c r="BW202" s="25" t="s">
        <v>163</v>
      </c>
      <c r="BY202" s="25">
        <v>4.0311202112516301E+18</v>
      </c>
      <c r="BZ202" s="25" t="s">
        <v>426</v>
      </c>
      <c r="CA202" s="25" t="s">
        <v>161</v>
      </c>
    </row>
    <row r="203" spans="1:79" hidden="1" x14ac:dyDescent="0.2">
      <c r="A203" s="25" t="s">
        <v>357</v>
      </c>
      <c r="B203" s="25" t="s">
        <v>280</v>
      </c>
      <c r="C203" s="25">
        <v>2020</v>
      </c>
      <c r="D203" s="25" t="s">
        <v>300</v>
      </c>
      <c r="E203" s="25">
        <v>2.0210624944997402E+17</v>
      </c>
      <c r="F203" s="25" t="s">
        <v>182</v>
      </c>
      <c r="G203" s="25" t="s">
        <v>425</v>
      </c>
      <c r="H203" s="25">
        <v>1521551</v>
      </c>
      <c r="J203" s="25" t="s">
        <v>180</v>
      </c>
      <c r="K203" s="25" t="s">
        <v>179</v>
      </c>
      <c r="N203" s="25" t="s">
        <v>339</v>
      </c>
      <c r="O203" s="25" t="s">
        <v>26</v>
      </c>
      <c r="Q203" s="25" t="s">
        <v>296</v>
      </c>
      <c r="R203" s="25" t="s">
        <v>307</v>
      </c>
      <c r="T203" s="25" t="s">
        <v>294</v>
      </c>
      <c r="V203" s="25" t="s">
        <v>359</v>
      </c>
      <c r="X203" s="25" t="s">
        <v>358</v>
      </c>
      <c r="Y203" s="25" t="s">
        <v>172</v>
      </c>
      <c r="Z203" s="25">
        <v>936198745</v>
      </c>
      <c r="AA203" s="25" t="s">
        <v>290</v>
      </c>
      <c r="AB203" s="25" t="s">
        <v>290</v>
      </c>
      <c r="AD203" s="25" t="s">
        <v>345</v>
      </c>
      <c r="AE203" s="25" t="s">
        <v>344</v>
      </c>
      <c r="AF203" s="25" t="s">
        <v>169</v>
      </c>
      <c r="AI203" s="31">
        <v>44133</v>
      </c>
      <c r="AJ203" s="25">
        <v>100</v>
      </c>
      <c r="AK203" s="25">
        <v>475</v>
      </c>
      <c r="BG203" s="25" t="s">
        <v>28</v>
      </c>
      <c r="BI203" s="25" t="s">
        <v>168</v>
      </c>
      <c r="BK203" s="25" t="s">
        <v>50</v>
      </c>
      <c r="BL203" s="25" t="s">
        <v>167</v>
      </c>
      <c r="BM203" s="25" t="s">
        <v>166</v>
      </c>
      <c r="BN203" s="30">
        <v>44377.239916493054</v>
      </c>
      <c r="BP203" s="25" t="s">
        <v>424</v>
      </c>
      <c r="BQ203" s="25" t="s">
        <v>419</v>
      </c>
      <c r="BR203" s="25" t="s">
        <v>165</v>
      </c>
      <c r="BS203" s="25">
        <v>4.0626202113116902E+18</v>
      </c>
      <c r="BT203" s="25" t="s">
        <v>164</v>
      </c>
      <c r="BU203" s="25" t="s">
        <v>418</v>
      </c>
      <c r="BV203" s="25">
        <v>2020</v>
      </c>
      <c r="BW203" s="25" t="s">
        <v>163</v>
      </c>
      <c r="BY203" s="25">
        <v>4.0630202113139702E+18</v>
      </c>
      <c r="BZ203" s="25" t="s">
        <v>423</v>
      </c>
      <c r="CA203" s="25" t="s">
        <v>161</v>
      </c>
    </row>
    <row r="204" spans="1:79" hidden="1" x14ac:dyDescent="0.2">
      <c r="A204" s="25" t="s">
        <v>357</v>
      </c>
      <c r="B204" s="25" t="s">
        <v>280</v>
      </c>
      <c r="C204" s="25">
        <v>2020</v>
      </c>
      <c r="D204" s="25" t="s">
        <v>422</v>
      </c>
      <c r="E204" s="25">
        <v>2.0210625945060998E+17</v>
      </c>
      <c r="F204" s="25" t="s">
        <v>182</v>
      </c>
      <c r="G204" s="25" t="s">
        <v>421</v>
      </c>
      <c r="H204" s="25">
        <v>1521562</v>
      </c>
      <c r="J204" s="25" t="s">
        <v>180</v>
      </c>
      <c r="K204" s="25" t="s">
        <v>179</v>
      </c>
      <c r="N204" s="25" t="s">
        <v>339</v>
      </c>
      <c r="O204" s="25" t="s">
        <v>26</v>
      </c>
      <c r="Q204" s="25" t="s">
        <v>296</v>
      </c>
      <c r="R204" s="25" t="s">
        <v>307</v>
      </c>
      <c r="T204" s="25" t="s">
        <v>294</v>
      </c>
      <c r="V204" s="25" t="s">
        <v>359</v>
      </c>
      <c r="X204" s="25" t="s">
        <v>358</v>
      </c>
      <c r="Y204" s="25" t="s">
        <v>172</v>
      </c>
      <c r="Z204" s="25">
        <v>936198745</v>
      </c>
      <c r="AA204" s="25" t="s">
        <v>290</v>
      </c>
      <c r="AB204" s="25" t="s">
        <v>290</v>
      </c>
      <c r="AD204" s="25" t="s">
        <v>345</v>
      </c>
      <c r="AE204" s="25" t="s">
        <v>344</v>
      </c>
      <c r="AF204" s="25" t="s">
        <v>169</v>
      </c>
      <c r="AI204" s="31">
        <v>44167</v>
      </c>
      <c r="AJ204" s="25">
        <v>100</v>
      </c>
      <c r="AK204" s="25">
        <v>675</v>
      </c>
      <c r="BG204" s="25" t="s">
        <v>28</v>
      </c>
      <c r="BI204" s="25" t="s">
        <v>168</v>
      </c>
      <c r="BK204" s="25" t="s">
        <v>50</v>
      </c>
      <c r="BL204" s="25" t="s">
        <v>167</v>
      </c>
      <c r="BM204" s="25" t="s">
        <v>166</v>
      </c>
      <c r="BN204" s="30">
        <v>44377.240966469908</v>
      </c>
      <c r="BP204" s="25" t="s">
        <v>420</v>
      </c>
      <c r="BQ204" s="25" t="s">
        <v>419</v>
      </c>
      <c r="BR204" s="25" t="s">
        <v>165</v>
      </c>
      <c r="BS204" s="25">
        <v>4.0626202113116902E+18</v>
      </c>
      <c r="BT204" s="25" t="s">
        <v>164</v>
      </c>
      <c r="BU204" s="25" t="s">
        <v>418</v>
      </c>
      <c r="BV204" s="25">
        <v>2020</v>
      </c>
      <c r="BW204" s="25" t="s">
        <v>163</v>
      </c>
      <c r="BY204" s="25">
        <v>4.0630202113180401E+18</v>
      </c>
      <c r="BZ204" s="25" t="s">
        <v>417</v>
      </c>
      <c r="CA204" s="25" t="s">
        <v>161</v>
      </c>
    </row>
    <row r="205" spans="1:79" hidden="1" x14ac:dyDescent="0.2">
      <c r="A205" s="25" t="s">
        <v>301</v>
      </c>
      <c r="B205" s="25" t="s">
        <v>277</v>
      </c>
      <c r="C205" s="25">
        <v>2020</v>
      </c>
      <c r="D205" s="25" t="s">
        <v>407</v>
      </c>
      <c r="E205" s="25">
        <v>2.0210114940168E+17</v>
      </c>
      <c r="F205" s="25" t="s">
        <v>182</v>
      </c>
      <c r="G205" s="25" t="s">
        <v>416</v>
      </c>
      <c r="H205" s="25">
        <v>1487725</v>
      </c>
      <c r="J205" s="25" t="s">
        <v>180</v>
      </c>
      <c r="K205" s="25" t="s">
        <v>179</v>
      </c>
      <c r="N205" s="25" t="s">
        <v>339</v>
      </c>
      <c r="O205" s="25" t="s">
        <v>297</v>
      </c>
      <c r="Q205" s="25" t="s">
        <v>296</v>
      </c>
      <c r="R205" s="25" t="s">
        <v>307</v>
      </c>
      <c r="T205" s="25" t="s">
        <v>294</v>
      </c>
      <c r="V205" s="25" t="s">
        <v>351</v>
      </c>
      <c r="X205" s="25" t="s">
        <v>350</v>
      </c>
      <c r="Y205" s="25" t="s">
        <v>349</v>
      </c>
      <c r="Z205" s="25">
        <v>320683024</v>
      </c>
      <c r="AA205" s="25" t="s">
        <v>348</v>
      </c>
      <c r="AB205" s="25" t="s">
        <v>347</v>
      </c>
      <c r="AF205" s="25" t="s">
        <v>303</v>
      </c>
      <c r="AI205" s="31">
        <v>43998</v>
      </c>
      <c r="AJ205" s="25">
        <v>42</v>
      </c>
      <c r="AK205" s="25">
        <v>127</v>
      </c>
      <c r="BK205" s="25" t="s">
        <v>50</v>
      </c>
      <c r="BL205" s="25" t="s">
        <v>167</v>
      </c>
      <c r="BM205" s="25" t="s">
        <v>166</v>
      </c>
      <c r="BN205" s="30">
        <v>44245.381078090279</v>
      </c>
      <c r="BR205" s="25" t="s">
        <v>165</v>
      </c>
      <c r="BS205" s="25">
        <v>4.0120202120938301E+18</v>
      </c>
      <c r="BT205" s="25" t="s">
        <v>164</v>
      </c>
      <c r="BV205" s="25">
        <v>2020</v>
      </c>
      <c r="BW205" s="25" t="s">
        <v>163</v>
      </c>
      <c r="BY205" s="25">
        <v>4.0217202111541601E+18</v>
      </c>
      <c r="BZ205" s="25" t="s">
        <v>415</v>
      </c>
      <c r="CA205" s="25" t="s">
        <v>161</v>
      </c>
    </row>
    <row r="206" spans="1:79" hidden="1" x14ac:dyDescent="0.2">
      <c r="A206" s="25" t="s">
        <v>301</v>
      </c>
      <c r="B206" s="25" t="s">
        <v>277</v>
      </c>
      <c r="C206" s="25">
        <v>2020</v>
      </c>
      <c r="D206" s="25" t="s">
        <v>407</v>
      </c>
      <c r="E206" s="25">
        <v>2.0210114940153699E+17</v>
      </c>
      <c r="F206" s="25" t="s">
        <v>182</v>
      </c>
      <c r="G206" s="25" t="s">
        <v>414</v>
      </c>
      <c r="H206" s="25">
        <v>1487725</v>
      </c>
      <c r="J206" s="25" t="s">
        <v>180</v>
      </c>
      <c r="K206" s="25" t="s">
        <v>179</v>
      </c>
      <c r="N206" s="25" t="s">
        <v>339</v>
      </c>
      <c r="O206" s="25" t="s">
        <v>297</v>
      </c>
      <c r="Q206" s="25" t="s">
        <v>296</v>
      </c>
      <c r="R206" s="25" t="s">
        <v>307</v>
      </c>
      <c r="T206" s="25" t="s">
        <v>294</v>
      </c>
      <c r="V206" s="25" t="s">
        <v>351</v>
      </c>
      <c r="X206" s="25" t="s">
        <v>350</v>
      </c>
      <c r="Y206" s="25" t="s">
        <v>349</v>
      </c>
      <c r="Z206" s="25">
        <v>320683024</v>
      </c>
      <c r="AA206" s="25" t="s">
        <v>348</v>
      </c>
      <c r="AB206" s="25" t="s">
        <v>347</v>
      </c>
      <c r="AF206" s="25" t="s">
        <v>303</v>
      </c>
      <c r="AI206" s="31">
        <v>43995</v>
      </c>
      <c r="AJ206" s="25">
        <v>1</v>
      </c>
      <c r="AK206" s="25">
        <v>85</v>
      </c>
      <c r="BK206" s="25" t="s">
        <v>50</v>
      </c>
      <c r="BL206" s="25" t="s">
        <v>167</v>
      </c>
      <c r="BM206" s="25" t="s">
        <v>166</v>
      </c>
      <c r="BN206" s="30">
        <v>44245.382633912035</v>
      </c>
      <c r="BR206" s="25" t="s">
        <v>165</v>
      </c>
      <c r="BS206" s="25">
        <v>4.0120202120938301E+18</v>
      </c>
      <c r="BT206" s="25" t="s">
        <v>164</v>
      </c>
      <c r="BV206" s="25">
        <v>2020</v>
      </c>
      <c r="BW206" s="25" t="s">
        <v>163</v>
      </c>
      <c r="BY206" s="25">
        <v>4.0217202111516001E+18</v>
      </c>
      <c r="BZ206" s="25" t="s">
        <v>413</v>
      </c>
      <c r="CA206" s="25" t="s">
        <v>161</v>
      </c>
    </row>
    <row r="207" spans="1:79" hidden="1" x14ac:dyDescent="0.2">
      <c r="A207" s="25" t="s">
        <v>301</v>
      </c>
      <c r="B207" s="25" t="s">
        <v>277</v>
      </c>
      <c r="C207" s="25">
        <v>2020</v>
      </c>
      <c r="D207" s="25" t="s">
        <v>407</v>
      </c>
      <c r="E207" s="25">
        <v>2.02101149400572E+17</v>
      </c>
      <c r="F207" s="25" t="s">
        <v>182</v>
      </c>
      <c r="G207" s="25" t="s">
        <v>412</v>
      </c>
      <c r="H207" s="25">
        <v>1487725</v>
      </c>
      <c r="J207" s="25" t="s">
        <v>180</v>
      </c>
      <c r="K207" s="25" t="s">
        <v>179</v>
      </c>
      <c r="L207" s="25" t="s">
        <v>409</v>
      </c>
      <c r="N207" s="25" t="s">
        <v>339</v>
      </c>
      <c r="O207" s="25" t="s">
        <v>297</v>
      </c>
      <c r="Q207" s="25" t="s">
        <v>296</v>
      </c>
      <c r="R207" s="25" t="s">
        <v>307</v>
      </c>
      <c r="T207" s="25" t="s">
        <v>294</v>
      </c>
      <c r="V207" s="25" t="s">
        <v>359</v>
      </c>
      <c r="X207" s="25" t="s">
        <v>358</v>
      </c>
      <c r="Y207" s="25" t="s">
        <v>172</v>
      </c>
      <c r="Z207" s="25">
        <v>936198745</v>
      </c>
      <c r="AA207" s="25" t="s">
        <v>411</v>
      </c>
      <c r="AB207" s="25" t="s">
        <v>410</v>
      </c>
      <c r="AC207" s="25" t="s">
        <v>409</v>
      </c>
      <c r="AD207" s="25" t="s">
        <v>345</v>
      </c>
      <c r="AE207" s="25" t="s">
        <v>344</v>
      </c>
      <c r="AF207" s="25" t="s">
        <v>313</v>
      </c>
      <c r="AI207" s="31">
        <v>43953</v>
      </c>
      <c r="AJ207" s="25">
        <v>100</v>
      </c>
      <c r="AK207" s="25">
        <v>400</v>
      </c>
      <c r="BK207" s="25" t="s">
        <v>50</v>
      </c>
      <c r="BL207" s="25" t="s">
        <v>167</v>
      </c>
      <c r="BM207" s="25" t="s">
        <v>166</v>
      </c>
      <c r="BN207" s="30">
        <v>44245.383584189818</v>
      </c>
      <c r="BR207" s="25" t="s">
        <v>165</v>
      </c>
      <c r="BS207" s="25">
        <v>4.0120202120938301E+18</v>
      </c>
      <c r="BT207" s="25" t="s">
        <v>164</v>
      </c>
      <c r="BV207" s="25">
        <v>2020</v>
      </c>
      <c r="BW207" s="25" t="s">
        <v>163</v>
      </c>
      <c r="BY207" s="25">
        <v>4.0217202111544699E+18</v>
      </c>
      <c r="BZ207" s="25" t="s">
        <v>408</v>
      </c>
      <c r="CA207" s="25" t="s">
        <v>161</v>
      </c>
    </row>
    <row r="208" spans="1:79" hidden="1" x14ac:dyDescent="0.2">
      <c r="A208" s="25" t="s">
        <v>301</v>
      </c>
      <c r="B208" s="25" t="s">
        <v>277</v>
      </c>
      <c r="C208" s="25">
        <v>2020</v>
      </c>
      <c r="D208" s="25" t="s">
        <v>407</v>
      </c>
      <c r="E208" s="25">
        <v>2.0210114940085299E+17</v>
      </c>
      <c r="F208" s="25" t="s">
        <v>182</v>
      </c>
      <c r="G208" s="25" t="s">
        <v>406</v>
      </c>
      <c r="H208" s="25">
        <v>1487725</v>
      </c>
      <c r="J208" s="25" t="s">
        <v>180</v>
      </c>
      <c r="K208" s="25" t="s">
        <v>179</v>
      </c>
      <c r="N208" s="25" t="s">
        <v>339</v>
      </c>
      <c r="O208" s="25" t="s">
        <v>297</v>
      </c>
      <c r="Q208" s="25" t="s">
        <v>296</v>
      </c>
      <c r="R208" s="25" t="s">
        <v>307</v>
      </c>
      <c r="T208" s="25" t="s">
        <v>294</v>
      </c>
      <c r="V208" s="25" t="s">
        <v>351</v>
      </c>
      <c r="X208" s="25" t="s">
        <v>350</v>
      </c>
      <c r="Y208" s="25" t="s">
        <v>349</v>
      </c>
      <c r="Z208" s="25">
        <v>320683024</v>
      </c>
      <c r="AA208" s="25" t="s">
        <v>348</v>
      </c>
      <c r="AB208" s="25" t="s">
        <v>347</v>
      </c>
      <c r="AF208" s="25" t="s">
        <v>303</v>
      </c>
      <c r="AI208" s="31">
        <v>43967</v>
      </c>
      <c r="AJ208" s="25">
        <v>42</v>
      </c>
      <c r="AK208" s="25">
        <v>84</v>
      </c>
      <c r="BK208" s="25" t="s">
        <v>50</v>
      </c>
      <c r="BL208" s="25" t="s">
        <v>167</v>
      </c>
      <c r="BM208" s="25" t="s">
        <v>166</v>
      </c>
      <c r="BN208" s="30">
        <v>44245.393438599538</v>
      </c>
      <c r="BR208" s="25" t="s">
        <v>165</v>
      </c>
      <c r="BS208" s="25">
        <v>4.0120202120938301E+18</v>
      </c>
      <c r="BT208" s="25" t="s">
        <v>164</v>
      </c>
      <c r="BV208" s="25">
        <v>2020</v>
      </c>
      <c r="BW208" s="25" t="s">
        <v>163</v>
      </c>
      <c r="BY208" s="25">
        <v>4.0217202111533599E+18</v>
      </c>
      <c r="BZ208" s="25" t="s">
        <v>405</v>
      </c>
      <c r="CA208" s="25" t="s">
        <v>161</v>
      </c>
    </row>
    <row r="209" spans="1:79" hidden="1" x14ac:dyDescent="0.2">
      <c r="A209" s="25" t="s">
        <v>374</v>
      </c>
      <c r="B209" s="25" t="s">
        <v>287</v>
      </c>
      <c r="C209" s="25">
        <v>2020</v>
      </c>
      <c r="D209" s="25" t="s">
        <v>373</v>
      </c>
      <c r="E209" s="25">
        <v>2.0201211936777798E+17</v>
      </c>
      <c r="F209" s="25" t="s">
        <v>182</v>
      </c>
      <c r="G209" s="25" t="s">
        <v>404</v>
      </c>
      <c r="H209" s="25">
        <v>1482644</v>
      </c>
      <c r="J209" s="25" t="s">
        <v>180</v>
      </c>
      <c r="K209" s="25" t="s">
        <v>179</v>
      </c>
      <c r="N209" s="25" t="s">
        <v>298</v>
      </c>
      <c r="O209" s="25" t="s">
        <v>297</v>
      </c>
      <c r="Q209" s="25" t="s">
        <v>296</v>
      </c>
      <c r="R209" s="25" t="s">
        <v>295</v>
      </c>
      <c r="T209" s="25" t="s">
        <v>294</v>
      </c>
      <c r="V209" s="25" t="s">
        <v>403</v>
      </c>
      <c r="X209" s="25" t="s">
        <v>402</v>
      </c>
      <c r="Y209" s="25" t="s">
        <v>401</v>
      </c>
      <c r="Z209" s="25">
        <v>60002</v>
      </c>
      <c r="AA209" s="25" t="s">
        <v>393</v>
      </c>
      <c r="AB209" s="25" t="s">
        <v>393</v>
      </c>
      <c r="AF209" s="25" t="s">
        <v>377</v>
      </c>
      <c r="AI209" s="31">
        <v>44063</v>
      </c>
      <c r="AJ209" s="25">
        <v>100</v>
      </c>
      <c r="AK209" s="25">
        <v>100</v>
      </c>
      <c r="BF209" s="25" t="s">
        <v>363</v>
      </c>
      <c r="BK209" s="25" t="s">
        <v>50</v>
      </c>
      <c r="BL209" s="25" t="s">
        <v>167</v>
      </c>
      <c r="BM209" s="25" t="s">
        <v>166</v>
      </c>
      <c r="BN209" s="30">
        <v>44209.410621180556</v>
      </c>
      <c r="BR209" s="25" t="s">
        <v>165</v>
      </c>
      <c r="BS209" s="25">
        <v>4.1215202019740099E+18</v>
      </c>
      <c r="BT209" s="25" t="s">
        <v>164</v>
      </c>
      <c r="BU209" s="25" t="s">
        <v>400</v>
      </c>
      <c r="BV209" s="25">
        <v>2020</v>
      </c>
      <c r="BW209" s="25" t="s">
        <v>163</v>
      </c>
      <c r="BY209" s="25">
        <v>4.0112202120755599E+18</v>
      </c>
      <c r="BZ209" s="25" t="s">
        <v>399</v>
      </c>
      <c r="CA209" s="25" t="s">
        <v>161</v>
      </c>
    </row>
    <row r="210" spans="1:79" hidden="1" x14ac:dyDescent="0.2">
      <c r="A210" s="25" t="s">
        <v>374</v>
      </c>
      <c r="B210" s="25" t="s">
        <v>287</v>
      </c>
      <c r="C210" s="25">
        <v>2020</v>
      </c>
      <c r="D210" s="25" t="s">
        <v>373</v>
      </c>
      <c r="E210" s="25">
        <v>2.0201211936777901E+17</v>
      </c>
      <c r="F210" s="25" t="s">
        <v>182</v>
      </c>
      <c r="G210" s="25" t="s">
        <v>398</v>
      </c>
      <c r="H210" s="25">
        <v>1482644</v>
      </c>
      <c r="J210" s="25" t="s">
        <v>180</v>
      </c>
      <c r="K210" s="25" t="s">
        <v>179</v>
      </c>
      <c r="N210" s="25" t="s">
        <v>397</v>
      </c>
      <c r="O210" s="25" t="s">
        <v>297</v>
      </c>
      <c r="Q210" s="25" t="s">
        <v>296</v>
      </c>
      <c r="R210" s="25" t="s">
        <v>396</v>
      </c>
      <c r="T210" s="25" t="s">
        <v>294</v>
      </c>
      <c r="V210" s="25" t="s">
        <v>395</v>
      </c>
      <c r="X210" s="25" t="s">
        <v>394</v>
      </c>
      <c r="Y210" s="25" t="s">
        <v>31</v>
      </c>
      <c r="Z210" s="25">
        <v>98346</v>
      </c>
      <c r="AA210" s="25" t="s">
        <v>393</v>
      </c>
      <c r="AB210" s="25" t="s">
        <v>393</v>
      </c>
      <c r="AF210" s="25" t="s">
        <v>377</v>
      </c>
      <c r="AI210" s="31">
        <v>44063</v>
      </c>
      <c r="AJ210" s="25">
        <v>12.26</v>
      </c>
      <c r="AK210" s="25">
        <v>91.3</v>
      </c>
      <c r="BF210" s="25" t="s">
        <v>363</v>
      </c>
      <c r="BK210" s="25" t="s">
        <v>50</v>
      </c>
      <c r="BL210" s="25" t="s">
        <v>167</v>
      </c>
      <c r="BM210" s="25" t="s">
        <v>166</v>
      </c>
      <c r="BN210" s="30">
        <v>44209.416760671294</v>
      </c>
      <c r="BR210" s="25" t="s">
        <v>165</v>
      </c>
      <c r="BS210" s="25">
        <v>4.1215202019740099E+18</v>
      </c>
      <c r="BT210" s="25" t="s">
        <v>164</v>
      </c>
      <c r="BU210" s="25" t="s">
        <v>392</v>
      </c>
      <c r="BV210" s="25">
        <v>2020</v>
      </c>
      <c r="BW210" s="25" t="s">
        <v>163</v>
      </c>
      <c r="BY210" s="25">
        <v>4.0112202120754801E+18</v>
      </c>
      <c r="BZ210" s="25" t="s">
        <v>391</v>
      </c>
      <c r="CA210" s="25" t="s">
        <v>161</v>
      </c>
    </row>
    <row r="211" spans="1:79" hidden="1" x14ac:dyDescent="0.2">
      <c r="A211" s="25" t="s">
        <v>374</v>
      </c>
      <c r="B211" s="25" t="s">
        <v>287</v>
      </c>
      <c r="C211" s="25">
        <v>2020</v>
      </c>
      <c r="D211" s="25" t="s">
        <v>373</v>
      </c>
      <c r="E211" s="25">
        <v>2.0201211936777798E+17</v>
      </c>
      <c r="F211" s="25" t="s">
        <v>182</v>
      </c>
      <c r="G211" s="25" t="s">
        <v>390</v>
      </c>
      <c r="H211" s="25">
        <v>1482644</v>
      </c>
      <c r="J211" s="25" t="s">
        <v>180</v>
      </c>
      <c r="K211" s="25" t="s">
        <v>179</v>
      </c>
      <c r="N211" s="25" t="s">
        <v>371</v>
      </c>
      <c r="O211" s="25" t="s">
        <v>297</v>
      </c>
      <c r="Q211" s="25" t="s">
        <v>296</v>
      </c>
      <c r="R211" s="25" t="s">
        <v>370</v>
      </c>
      <c r="T211" s="25" t="s">
        <v>294</v>
      </c>
      <c r="V211" s="25" t="s">
        <v>369</v>
      </c>
      <c r="X211" s="25" t="s">
        <v>368</v>
      </c>
      <c r="Y211" s="25" t="s">
        <v>367</v>
      </c>
      <c r="Z211" s="25">
        <v>81004</v>
      </c>
      <c r="AA211" s="25" t="s">
        <v>366</v>
      </c>
      <c r="AB211" s="25" t="s">
        <v>365</v>
      </c>
      <c r="AF211" s="25" t="s">
        <v>364</v>
      </c>
      <c r="AI211" s="31">
        <v>44072</v>
      </c>
      <c r="AJ211" s="25">
        <v>3</v>
      </c>
      <c r="AK211" s="25">
        <v>55</v>
      </c>
      <c r="BF211" s="25" t="s">
        <v>363</v>
      </c>
      <c r="BK211" s="25" t="s">
        <v>50</v>
      </c>
      <c r="BL211" s="25" t="s">
        <v>167</v>
      </c>
      <c r="BM211" s="25" t="s">
        <v>166</v>
      </c>
      <c r="BN211" s="30">
        <v>44209.435913576388</v>
      </c>
      <c r="BR211" s="25" t="s">
        <v>165</v>
      </c>
      <c r="BS211" s="25">
        <v>4.1215202019740099E+18</v>
      </c>
      <c r="BT211" s="25" t="s">
        <v>164</v>
      </c>
      <c r="BU211" s="25" t="s">
        <v>362</v>
      </c>
      <c r="BV211" s="25">
        <v>2020</v>
      </c>
      <c r="BW211" s="25" t="s">
        <v>163</v>
      </c>
      <c r="BY211" s="25">
        <v>4.0112202120795802E+18</v>
      </c>
      <c r="BZ211" s="25" t="s">
        <v>361</v>
      </c>
      <c r="CA211" s="25" t="s">
        <v>161</v>
      </c>
    </row>
    <row r="212" spans="1:79" hidden="1" x14ac:dyDescent="0.2">
      <c r="A212" s="25" t="s">
        <v>374</v>
      </c>
      <c r="B212" s="25" t="s">
        <v>287</v>
      </c>
      <c r="C212" s="25">
        <v>2020</v>
      </c>
      <c r="D212" s="25" t="s">
        <v>373</v>
      </c>
      <c r="E212" s="25">
        <v>2.0201211936777798E+17</v>
      </c>
      <c r="F212" s="25" t="s">
        <v>182</v>
      </c>
      <c r="G212" s="25" t="s">
        <v>389</v>
      </c>
      <c r="H212" s="25">
        <v>1482644</v>
      </c>
      <c r="J212" s="25" t="s">
        <v>180</v>
      </c>
      <c r="K212" s="25" t="s">
        <v>179</v>
      </c>
      <c r="N212" s="25" t="s">
        <v>298</v>
      </c>
      <c r="O212" s="25" t="s">
        <v>297</v>
      </c>
      <c r="Q212" s="25" t="s">
        <v>296</v>
      </c>
      <c r="R212" s="25" t="s">
        <v>295</v>
      </c>
      <c r="T212" s="25" t="s">
        <v>294</v>
      </c>
      <c r="V212" s="25" t="s">
        <v>388</v>
      </c>
      <c r="X212" s="25" t="s">
        <v>368</v>
      </c>
      <c r="Y212" s="25" t="s">
        <v>367</v>
      </c>
      <c r="Z212" s="25">
        <v>810049787</v>
      </c>
      <c r="AA212" s="25" t="s">
        <v>387</v>
      </c>
      <c r="AB212" s="25" t="s">
        <v>365</v>
      </c>
      <c r="AF212" s="25" t="s">
        <v>377</v>
      </c>
      <c r="AI212" s="31">
        <v>44072</v>
      </c>
      <c r="AJ212" s="25">
        <v>100</v>
      </c>
      <c r="AK212" s="25">
        <v>200</v>
      </c>
      <c r="BF212" s="25" t="s">
        <v>363</v>
      </c>
      <c r="BK212" s="25" t="s">
        <v>50</v>
      </c>
      <c r="BL212" s="25" t="s">
        <v>167</v>
      </c>
      <c r="BM212" s="25" t="s">
        <v>166</v>
      </c>
      <c r="BN212" s="30">
        <v>44209.436018599539</v>
      </c>
      <c r="BR212" s="25" t="s">
        <v>165</v>
      </c>
      <c r="BS212" s="25">
        <v>4.1215202019740099E+18</v>
      </c>
      <c r="BT212" s="25" t="s">
        <v>164</v>
      </c>
      <c r="BU212" s="25" t="s">
        <v>386</v>
      </c>
      <c r="BV212" s="25">
        <v>2020</v>
      </c>
      <c r="BW212" s="25" t="s">
        <v>163</v>
      </c>
      <c r="BY212" s="25">
        <v>4.0112202120796001E+18</v>
      </c>
      <c r="BZ212" s="25" t="s">
        <v>361</v>
      </c>
      <c r="CA212" s="25" t="s">
        <v>161</v>
      </c>
    </row>
    <row r="213" spans="1:79" hidden="1" x14ac:dyDescent="0.2">
      <c r="A213" s="25" t="s">
        <v>374</v>
      </c>
      <c r="B213" s="25" t="s">
        <v>287</v>
      </c>
      <c r="C213" s="25">
        <v>2020</v>
      </c>
      <c r="D213" s="25" t="s">
        <v>373</v>
      </c>
      <c r="E213" s="25">
        <v>2.0201211936777798E+17</v>
      </c>
      <c r="F213" s="25" t="s">
        <v>182</v>
      </c>
      <c r="G213" s="25" t="s">
        <v>385</v>
      </c>
      <c r="H213" s="25">
        <v>1482644</v>
      </c>
      <c r="J213" s="25" t="s">
        <v>180</v>
      </c>
      <c r="K213" s="25" t="s">
        <v>179</v>
      </c>
      <c r="L213" s="25" t="s">
        <v>384</v>
      </c>
      <c r="N213" s="25" t="s">
        <v>371</v>
      </c>
      <c r="O213" s="25" t="s">
        <v>297</v>
      </c>
      <c r="Q213" s="25" t="s">
        <v>296</v>
      </c>
      <c r="R213" s="25" t="s">
        <v>370</v>
      </c>
      <c r="T213" s="25" t="s">
        <v>294</v>
      </c>
      <c r="V213" s="25" t="s">
        <v>369</v>
      </c>
      <c r="X213" s="25" t="s">
        <v>368</v>
      </c>
      <c r="Y213" s="25" t="s">
        <v>367</v>
      </c>
      <c r="Z213" s="25">
        <v>81004</v>
      </c>
      <c r="AA213" s="25" t="s">
        <v>366</v>
      </c>
      <c r="AB213" s="25" t="s">
        <v>365</v>
      </c>
      <c r="AC213" s="25" t="s">
        <v>384</v>
      </c>
      <c r="AD213" s="25" t="s">
        <v>383</v>
      </c>
      <c r="AE213" s="25" t="s">
        <v>382</v>
      </c>
      <c r="AF213" s="25" t="s">
        <v>377</v>
      </c>
      <c r="AI213" s="31">
        <v>44073</v>
      </c>
      <c r="AJ213" s="25">
        <v>100</v>
      </c>
      <c r="AK213" s="25">
        <v>350</v>
      </c>
      <c r="AL213" s="25" t="s">
        <v>381</v>
      </c>
      <c r="BF213" s="25" t="s">
        <v>363</v>
      </c>
      <c r="BK213" s="25" t="s">
        <v>50</v>
      </c>
      <c r="BL213" s="25" t="s">
        <v>167</v>
      </c>
      <c r="BM213" s="25" t="s">
        <v>166</v>
      </c>
      <c r="BN213" s="30">
        <v>44209.450325057871</v>
      </c>
      <c r="BR213" s="25" t="s">
        <v>165</v>
      </c>
      <c r="BS213" s="25">
        <v>4.1215202019740099E+18</v>
      </c>
      <c r="BT213" s="25" t="s">
        <v>164</v>
      </c>
      <c r="BU213" s="25" t="s">
        <v>380</v>
      </c>
      <c r="BV213" s="25">
        <v>2020</v>
      </c>
      <c r="BW213" s="25" t="s">
        <v>163</v>
      </c>
      <c r="BY213" s="25">
        <v>4.01122021207968E+18</v>
      </c>
      <c r="BZ213" s="25" t="s">
        <v>375</v>
      </c>
      <c r="CA213" s="25" t="s">
        <v>161</v>
      </c>
    </row>
    <row r="214" spans="1:79" hidden="1" x14ac:dyDescent="0.2">
      <c r="A214" s="25" t="s">
        <v>374</v>
      </c>
      <c r="B214" s="25" t="s">
        <v>287</v>
      </c>
      <c r="C214" s="25">
        <v>2020</v>
      </c>
      <c r="D214" s="25" t="s">
        <v>373</v>
      </c>
      <c r="E214" s="25">
        <v>2.0201211936777798E+17</v>
      </c>
      <c r="F214" s="25" t="s">
        <v>182</v>
      </c>
      <c r="G214" s="25" t="s">
        <v>379</v>
      </c>
      <c r="H214" s="25">
        <v>1482644</v>
      </c>
      <c r="J214" s="25" t="s">
        <v>180</v>
      </c>
      <c r="K214" s="25" t="s">
        <v>179</v>
      </c>
      <c r="N214" s="25" t="s">
        <v>371</v>
      </c>
      <c r="O214" s="25" t="s">
        <v>297</v>
      </c>
      <c r="Q214" s="25" t="s">
        <v>296</v>
      </c>
      <c r="R214" s="25" t="s">
        <v>370</v>
      </c>
      <c r="T214" s="25" t="s">
        <v>294</v>
      </c>
      <c r="V214" s="25" t="s">
        <v>369</v>
      </c>
      <c r="X214" s="25" t="s">
        <v>368</v>
      </c>
      <c r="Y214" s="25" t="s">
        <v>367</v>
      </c>
      <c r="Z214" s="25">
        <v>81004</v>
      </c>
      <c r="AA214" s="25" t="s">
        <v>366</v>
      </c>
      <c r="AB214" s="25" t="s">
        <v>365</v>
      </c>
      <c r="AF214" s="25" t="s">
        <v>364</v>
      </c>
      <c r="AI214" s="31">
        <v>44073</v>
      </c>
      <c r="AJ214" s="25">
        <v>2</v>
      </c>
      <c r="AK214" s="25">
        <v>55</v>
      </c>
      <c r="BF214" s="25" t="s">
        <v>363</v>
      </c>
      <c r="BK214" s="25" t="s">
        <v>50</v>
      </c>
      <c r="BL214" s="25" t="s">
        <v>167</v>
      </c>
      <c r="BM214" s="25" t="s">
        <v>166</v>
      </c>
      <c r="BN214" s="30">
        <v>44209.450369259263</v>
      </c>
      <c r="BR214" s="25" t="s">
        <v>165</v>
      </c>
      <c r="BS214" s="25">
        <v>4.1215202019740099E+18</v>
      </c>
      <c r="BT214" s="25" t="s">
        <v>164</v>
      </c>
      <c r="BU214" s="25" t="s">
        <v>362</v>
      </c>
      <c r="BV214" s="25">
        <v>2020</v>
      </c>
      <c r="BW214" s="25" t="s">
        <v>163</v>
      </c>
      <c r="BY214" s="25">
        <v>4.01122021207968E+18</v>
      </c>
      <c r="BZ214" s="25" t="s">
        <v>375</v>
      </c>
      <c r="CA214" s="25" t="s">
        <v>161</v>
      </c>
    </row>
    <row r="215" spans="1:79" hidden="1" x14ac:dyDescent="0.2">
      <c r="A215" s="25" t="s">
        <v>374</v>
      </c>
      <c r="B215" s="25" t="s">
        <v>287</v>
      </c>
      <c r="C215" s="25">
        <v>2020</v>
      </c>
      <c r="D215" s="25" t="s">
        <v>373</v>
      </c>
      <c r="E215" s="25">
        <v>2.0201211936777798E+17</v>
      </c>
      <c r="F215" s="25" t="s">
        <v>182</v>
      </c>
      <c r="G215" s="25" t="s">
        <v>378</v>
      </c>
      <c r="H215" s="25">
        <v>1482644</v>
      </c>
      <c r="J215" s="25" t="s">
        <v>180</v>
      </c>
      <c r="K215" s="25" t="s">
        <v>179</v>
      </c>
      <c r="N215" s="25" t="s">
        <v>371</v>
      </c>
      <c r="O215" s="25" t="s">
        <v>297</v>
      </c>
      <c r="Q215" s="25" t="s">
        <v>296</v>
      </c>
      <c r="R215" s="25" t="s">
        <v>370</v>
      </c>
      <c r="T215" s="25" t="s">
        <v>294</v>
      </c>
      <c r="V215" s="25" t="s">
        <v>369</v>
      </c>
      <c r="X215" s="25" t="s">
        <v>368</v>
      </c>
      <c r="Y215" s="25" t="s">
        <v>367</v>
      </c>
      <c r="Z215" s="25">
        <v>81004</v>
      </c>
      <c r="AA215" s="25" t="s">
        <v>366</v>
      </c>
      <c r="AB215" s="25" t="s">
        <v>365</v>
      </c>
      <c r="AF215" s="25" t="s">
        <v>377</v>
      </c>
      <c r="AI215" s="31">
        <v>44073</v>
      </c>
      <c r="AJ215" s="25">
        <v>100</v>
      </c>
      <c r="AK215" s="25">
        <v>100</v>
      </c>
      <c r="BF215" s="25" t="s">
        <v>363</v>
      </c>
      <c r="BK215" s="25" t="s">
        <v>50</v>
      </c>
      <c r="BL215" s="25" t="s">
        <v>167</v>
      </c>
      <c r="BM215" s="25" t="s">
        <v>166</v>
      </c>
      <c r="BN215" s="30">
        <v>44209.451216828704</v>
      </c>
      <c r="BR215" s="25" t="s">
        <v>165</v>
      </c>
      <c r="BS215" s="25">
        <v>4.1215202019740099E+18</v>
      </c>
      <c r="BT215" s="25" t="s">
        <v>164</v>
      </c>
      <c r="BU215" s="25" t="s">
        <v>376</v>
      </c>
      <c r="BV215" s="25">
        <v>2020</v>
      </c>
      <c r="BW215" s="25" t="s">
        <v>163</v>
      </c>
      <c r="BY215" s="25">
        <v>4.0112202120797302E+18</v>
      </c>
      <c r="BZ215" s="25" t="s">
        <v>375</v>
      </c>
      <c r="CA215" s="25" t="s">
        <v>161</v>
      </c>
    </row>
    <row r="216" spans="1:79" hidden="1" x14ac:dyDescent="0.2">
      <c r="A216" s="25" t="s">
        <v>374</v>
      </c>
      <c r="B216" s="25" t="s">
        <v>287</v>
      </c>
      <c r="C216" s="25">
        <v>2020</v>
      </c>
      <c r="D216" s="25" t="s">
        <v>373</v>
      </c>
      <c r="E216" s="25">
        <v>2.0201211936777798E+17</v>
      </c>
      <c r="F216" s="25" t="s">
        <v>182</v>
      </c>
      <c r="G216" s="25" t="s">
        <v>372</v>
      </c>
      <c r="H216" s="25">
        <v>1482644</v>
      </c>
      <c r="J216" s="25" t="s">
        <v>180</v>
      </c>
      <c r="K216" s="25" t="s">
        <v>179</v>
      </c>
      <c r="N216" s="25" t="s">
        <v>371</v>
      </c>
      <c r="O216" s="25" t="s">
        <v>297</v>
      </c>
      <c r="Q216" s="25" t="s">
        <v>296</v>
      </c>
      <c r="R216" s="25" t="s">
        <v>370</v>
      </c>
      <c r="T216" s="25" t="s">
        <v>294</v>
      </c>
      <c r="V216" s="25" t="s">
        <v>369</v>
      </c>
      <c r="X216" s="25" t="s">
        <v>368</v>
      </c>
      <c r="Y216" s="25" t="s">
        <v>367</v>
      </c>
      <c r="Z216" s="25">
        <v>81004</v>
      </c>
      <c r="AA216" s="25" t="s">
        <v>366</v>
      </c>
      <c r="AB216" s="25" t="s">
        <v>365</v>
      </c>
      <c r="AF216" s="25" t="s">
        <v>364</v>
      </c>
      <c r="AI216" s="31">
        <v>44073</v>
      </c>
      <c r="AJ216" s="25">
        <v>2</v>
      </c>
      <c r="AK216" s="25">
        <v>55</v>
      </c>
      <c r="BF216" s="25" t="s">
        <v>363</v>
      </c>
      <c r="BK216" s="25" t="s">
        <v>50</v>
      </c>
      <c r="BL216" s="25" t="s">
        <v>167</v>
      </c>
      <c r="BM216" s="25" t="s">
        <v>166</v>
      </c>
      <c r="BN216" s="30">
        <v>44209.451283344904</v>
      </c>
      <c r="BR216" s="25" t="s">
        <v>165</v>
      </c>
      <c r="BS216" s="25">
        <v>4.1215202019740099E+18</v>
      </c>
      <c r="BT216" s="25" t="s">
        <v>164</v>
      </c>
      <c r="BU216" s="25" t="s">
        <v>362</v>
      </c>
      <c r="BV216" s="25">
        <v>2020</v>
      </c>
      <c r="BW216" s="25" t="s">
        <v>163</v>
      </c>
      <c r="BY216" s="25">
        <v>4.0112202120797302E+18</v>
      </c>
      <c r="BZ216" s="25" t="s">
        <v>361</v>
      </c>
      <c r="CA216" s="25" t="s">
        <v>161</v>
      </c>
    </row>
    <row r="217" spans="1:79" hidden="1" x14ac:dyDescent="0.2">
      <c r="A217" s="25" t="s">
        <v>301</v>
      </c>
      <c r="B217" s="25" t="s">
        <v>277</v>
      </c>
      <c r="C217" s="25">
        <v>2020</v>
      </c>
      <c r="D217" s="25" t="s">
        <v>341</v>
      </c>
      <c r="E217" s="25">
        <v>2.0210125940737299E+17</v>
      </c>
      <c r="F217" s="25" t="s">
        <v>182</v>
      </c>
      <c r="G217" s="25" t="s">
        <v>360</v>
      </c>
      <c r="H217" s="25">
        <v>1490496</v>
      </c>
      <c r="J217" s="25" t="s">
        <v>180</v>
      </c>
      <c r="K217" s="25" t="s">
        <v>179</v>
      </c>
      <c r="L217" s="25" t="s">
        <v>357</v>
      </c>
      <c r="N217" s="25" t="s">
        <v>339</v>
      </c>
      <c r="O217" s="25" t="s">
        <v>297</v>
      </c>
      <c r="Q217" s="25" t="s">
        <v>296</v>
      </c>
      <c r="R217" s="25" t="s">
        <v>307</v>
      </c>
      <c r="T217" s="25" t="s">
        <v>294</v>
      </c>
      <c r="V217" s="25" t="s">
        <v>359</v>
      </c>
      <c r="X217" s="25" t="s">
        <v>358</v>
      </c>
      <c r="Y217" s="25" t="s">
        <v>172</v>
      </c>
      <c r="Z217" s="25">
        <v>936198745</v>
      </c>
      <c r="AA217" s="25" t="s">
        <v>290</v>
      </c>
      <c r="AB217" s="25" t="s">
        <v>290</v>
      </c>
      <c r="AC217" s="25" t="s">
        <v>357</v>
      </c>
      <c r="AD217" s="25" t="s">
        <v>345</v>
      </c>
      <c r="AE217" s="25" t="s">
        <v>344</v>
      </c>
      <c r="AF217" s="25" t="s">
        <v>356</v>
      </c>
      <c r="AI217" s="31">
        <v>44069</v>
      </c>
      <c r="AJ217" s="25">
        <v>100</v>
      </c>
      <c r="AK217" s="25">
        <v>800</v>
      </c>
      <c r="BK217" s="25" t="s">
        <v>50</v>
      </c>
      <c r="BL217" s="25" t="s">
        <v>167</v>
      </c>
      <c r="BM217" s="25" t="s">
        <v>166</v>
      </c>
      <c r="BN217" s="30">
        <v>44252.613614189817</v>
      </c>
      <c r="BR217" s="25" t="s">
        <v>165</v>
      </c>
      <c r="BS217" s="25">
        <v>4.0125202121377597E+18</v>
      </c>
      <c r="BT217" s="25" t="s">
        <v>164</v>
      </c>
      <c r="BV217" s="25">
        <v>2020</v>
      </c>
      <c r="BW217" s="25" t="s">
        <v>163</v>
      </c>
      <c r="BY217" s="25">
        <v>4.02242021118767E+18</v>
      </c>
      <c r="BZ217" s="25" t="s">
        <v>355</v>
      </c>
      <c r="CA217" s="25" t="s">
        <v>161</v>
      </c>
    </row>
    <row r="218" spans="1:79" hidden="1" x14ac:dyDescent="0.2">
      <c r="A218" s="25" t="s">
        <v>301</v>
      </c>
      <c r="B218" s="25" t="s">
        <v>277</v>
      </c>
      <c r="C218" s="25">
        <v>2020</v>
      </c>
      <c r="D218" s="25" t="s">
        <v>341</v>
      </c>
      <c r="E218" s="25">
        <v>2.0210125940879398E+17</v>
      </c>
      <c r="F218" s="25" t="s">
        <v>182</v>
      </c>
      <c r="G218" s="25" t="s">
        <v>354</v>
      </c>
      <c r="H218" s="25">
        <v>1490496</v>
      </c>
      <c r="J218" s="25" t="s">
        <v>180</v>
      </c>
      <c r="K218" s="25" t="s">
        <v>179</v>
      </c>
      <c r="N218" s="25" t="s">
        <v>339</v>
      </c>
      <c r="O218" s="25" t="s">
        <v>297</v>
      </c>
      <c r="Q218" s="25" t="s">
        <v>296</v>
      </c>
      <c r="R218" s="25" t="s">
        <v>307</v>
      </c>
      <c r="T218" s="25" t="s">
        <v>294</v>
      </c>
      <c r="V218" s="25" t="s">
        <v>338</v>
      </c>
      <c r="X218" s="25" t="s">
        <v>337</v>
      </c>
      <c r="Y218" s="25" t="s">
        <v>172</v>
      </c>
      <c r="Z218" s="25">
        <v>926606244</v>
      </c>
      <c r="AA218" s="25" t="s">
        <v>290</v>
      </c>
      <c r="AB218" s="25" t="s">
        <v>290</v>
      </c>
      <c r="AF218" s="25" t="s">
        <v>289</v>
      </c>
      <c r="AI218" s="31">
        <v>44098</v>
      </c>
      <c r="AJ218" s="25">
        <v>25</v>
      </c>
      <c r="AK218" s="25">
        <v>130</v>
      </c>
      <c r="BK218" s="25" t="s">
        <v>50</v>
      </c>
      <c r="BL218" s="25" t="s">
        <v>167</v>
      </c>
      <c r="BM218" s="25" t="s">
        <v>166</v>
      </c>
      <c r="BN218" s="30">
        <v>44252.617572951393</v>
      </c>
      <c r="BR218" s="25" t="s">
        <v>165</v>
      </c>
      <c r="BS218" s="25">
        <v>4.0125202121377597E+18</v>
      </c>
      <c r="BT218" s="25" t="s">
        <v>164</v>
      </c>
      <c r="BV218" s="25">
        <v>2020</v>
      </c>
      <c r="BW218" s="25" t="s">
        <v>163</v>
      </c>
      <c r="BY218" s="25">
        <v>4.0224202111776799E+18</v>
      </c>
      <c r="BZ218" s="25" t="s">
        <v>353</v>
      </c>
      <c r="CA218" s="25" t="s">
        <v>161</v>
      </c>
    </row>
    <row r="219" spans="1:79" hidden="1" x14ac:dyDescent="0.2">
      <c r="A219" s="25" t="s">
        <v>301</v>
      </c>
      <c r="B219" s="25" t="s">
        <v>277</v>
      </c>
      <c r="C219" s="25">
        <v>2020</v>
      </c>
      <c r="D219" s="25" t="s">
        <v>341</v>
      </c>
      <c r="E219" s="25">
        <v>2.0210125940700701E+17</v>
      </c>
      <c r="F219" s="25" t="s">
        <v>182</v>
      </c>
      <c r="G219" s="25" t="s">
        <v>352</v>
      </c>
      <c r="H219" s="25">
        <v>1490496</v>
      </c>
      <c r="J219" s="25" t="s">
        <v>180</v>
      </c>
      <c r="K219" s="25" t="s">
        <v>179</v>
      </c>
      <c r="L219" s="25" t="s">
        <v>346</v>
      </c>
      <c r="N219" s="25" t="s">
        <v>339</v>
      </c>
      <c r="O219" s="25" t="s">
        <v>297</v>
      </c>
      <c r="Q219" s="25" t="s">
        <v>296</v>
      </c>
      <c r="R219" s="25" t="s">
        <v>307</v>
      </c>
      <c r="T219" s="25" t="s">
        <v>294</v>
      </c>
      <c r="V219" s="25" t="s">
        <v>351</v>
      </c>
      <c r="X219" s="25" t="s">
        <v>350</v>
      </c>
      <c r="Y219" s="25" t="s">
        <v>349</v>
      </c>
      <c r="Z219" s="25">
        <v>320683024</v>
      </c>
      <c r="AA219" s="25" t="s">
        <v>348</v>
      </c>
      <c r="AB219" s="25" t="s">
        <v>347</v>
      </c>
      <c r="AC219" s="25" t="s">
        <v>346</v>
      </c>
      <c r="AD219" s="25" t="s">
        <v>345</v>
      </c>
      <c r="AE219" s="25" t="s">
        <v>344</v>
      </c>
      <c r="AF219" s="25" t="s">
        <v>303</v>
      </c>
      <c r="AI219" s="31">
        <v>44059</v>
      </c>
      <c r="AJ219" s="25">
        <v>42</v>
      </c>
      <c r="AK219" s="25">
        <v>211</v>
      </c>
      <c r="AL219" s="25" t="s">
        <v>343</v>
      </c>
      <c r="BK219" s="25" t="s">
        <v>50</v>
      </c>
      <c r="BL219" s="25" t="s">
        <v>167</v>
      </c>
      <c r="BM219" s="25" t="s">
        <v>166</v>
      </c>
      <c r="BN219" s="30">
        <v>44252.618781412035</v>
      </c>
      <c r="BR219" s="25" t="s">
        <v>165</v>
      </c>
      <c r="BS219" s="25">
        <v>4.0125202121377597E+18</v>
      </c>
      <c r="BT219" s="25" t="s">
        <v>164</v>
      </c>
      <c r="BV219" s="25">
        <v>2020</v>
      </c>
      <c r="BW219" s="25" t="s">
        <v>163</v>
      </c>
      <c r="BY219" s="25">
        <v>4.0224202111774802E+18</v>
      </c>
      <c r="BZ219" s="25" t="s">
        <v>342</v>
      </c>
      <c r="CA219" s="25" t="s">
        <v>161</v>
      </c>
    </row>
    <row r="220" spans="1:79" hidden="1" x14ac:dyDescent="0.2">
      <c r="A220" s="25" t="s">
        <v>301</v>
      </c>
      <c r="B220" s="25" t="s">
        <v>277</v>
      </c>
      <c r="C220" s="25">
        <v>2020</v>
      </c>
      <c r="D220" s="25" t="s">
        <v>341</v>
      </c>
      <c r="E220" s="25">
        <v>2.0210125940555101E+17</v>
      </c>
      <c r="F220" s="25" t="s">
        <v>182</v>
      </c>
      <c r="G220" s="25" t="s">
        <v>340</v>
      </c>
      <c r="H220" s="25">
        <v>1490496</v>
      </c>
      <c r="J220" s="25" t="s">
        <v>180</v>
      </c>
      <c r="K220" s="25" t="s">
        <v>179</v>
      </c>
      <c r="N220" s="25" t="s">
        <v>339</v>
      </c>
      <c r="O220" s="25" t="s">
        <v>297</v>
      </c>
      <c r="Q220" s="25" t="s">
        <v>296</v>
      </c>
      <c r="R220" s="25" t="s">
        <v>307</v>
      </c>
      <c r="T220" s="25" t="s">
        <v>294</v>
      </c>
      <c r="V220" s="25" t="s">
        <v>338</v>
      </c>
      <c r="X220" s="25" t="s">
        <v>337</v>
      </c>
      <c r="Y220" s="25" t="s">
        <v>172</v>
      </c>
      <c r="Z220" s="25">
        <v>926606244</v>
      </c>
      <c r="AA220" s="25" t="s">
        <v>290</v>
      </c>
      <c r="AB220" s="25" t="s">
        <v>290</v>
      </c>
      <c r="AF220" s="25" t="s">
        <v>313</v>
      </c>
      <c r="AI220" s="31">
        <v>44016</v>
      </c>
      <c r="AJ220" s="25">
        <v>25</v>
      </c>
      <c r="AK220" s="25">
        <v>25</v>
      </c>
      <c r="BK220" s="25" t="s">
        <v>50</v>
      </c>
      <c r="BL220" s="25" t="s">
        <v>167</v>
      </c>
      <c r="BM220" s="25" t="s">
        <v>166</v>
      </c>
      <c r="BN220" s="30">
        <v>44252.622011250001</v>
      </c>
      <c r="BR220" s="25" t="s">
        <v>165</v>
      </c>
      <c r="BS220" s="25">
        <v>4.0125202121377597E+18</v>
      </c>
      <c r="BT220" s="25" t="s">
        <v>164</v>
      </c>
      <c r="BV220" s="25">
        <v>2020</v>
      </c>
      <c r="BW220" s="25" t="s">
        <v>163</v>
      </c>
      <c r="BY220" s="25">
        <v>4.02242021118193E+18</v>
      </c>
      <c r="BZ220" s="25" t="s">
        <v>336</v>
      </c>
      <c r="CA220" s="25" t="s">
        <v>161</v>
      </c>
    </row>
    <row r="221" spans="1:79" hidden="1" x14ac:dyDescent="0.2">
      <c r="A221" s="25" t="s">
        <v>301</v>
      </c>
      <c r="B221" s="25" t="s">
        <v>277</v>
      </c>
      <c r="C221" s="25">
        <v>2020</v>
      </c>
      <c r="D221" s="25" t="s">
        <v>300</v>
      </c>
      <c r="E221" s="25">
        <v>2.0210303943198202E+17</v>
      </c>
      <c r="F221" s="25" t="s">
        <v>182</v>
      </c>
      <c r="G221" s="25" t="s">
        <v>335</v>
      </c>
      <c r="H221" s="25">
        <v>1502683</v>
      </c>
      <c r="J221" s="25" t="s">
        <v>180</v>
      </c>
      <c r="K221" s="25" t="s">
        <v>179</v>
      </c>
      <c r="N221" s="25" t="s">
        <v>298</v>
      </c>
      <c r="O221" s="25" t="s">
        <v>297</v>
      </c>
      <c r="Q221" s="25" t="s">
        <v>296</v>
      </c>
      <c r="R221" s="25" t="s">
        <v>295</v>
      </c>
      <c r="T221" s="25" t="s">
        <v>294</v>
      </c>
      <c r="V221" s="25" t="s">
        <v>293</v>
      </c>
      <c r="X221" s="25" t="s">
        <v>292</v>
      </c>
      <c r="Y221" s="25" t="s">
        <v>291</v>
      </c>
      <c r="Z221" s="25">
        <v>852243566</v>
      </c>
      <c r="AA221" s="25" t="s">
        <v>290</v>
      </c>
      <c r="AB221" s="25" t="s">
        <v>290</v>
      </c>
      <c r="AF221" s="25" t="s">
        <v>289</v>
      </c>
      <c r="AI221" s="31">
        <v>44125</v>
      </c>
      <c r="AJ221" s="25">
        <v>50</v>
      </c>
      <c r="AK221" s="25">
        <v>50</v>
      </c>
      <c r="BK221" s="25" t="s">
        <v>50</v>
      </c>
      <c r="BL221" s="25" t="s">
        <v>167</v>
      </c>
      <c r="BM221" s="25" t="s">
        <v>166</v>
      </c>
      <c r="BN221" s="30">
        <v>44260.648416990742</v>
      </c>
      <c r="BR221" s="25" t="s">
        <v>165</v>
      </c>
      <c r="BS221" s="25">
        <v>4.0304202111990902E+18</v>
      </c>
      <c r="BT221" s="25" t="s">
        <v>164</v>
      </c>
      <c r="BV221" s="25">
        <v>2020</v>
      </c>
      <c r="BW221" s="25" t="s">
        <v>163</v>
      </c>
      <c r="BY221" s="25">
        <v>4.0304202112155402E+18</v>
      </c>
      <c r="BZ221" s="25" t="s">
        <v>334</v>
      </c>
      <c r="CA221" s="25" t="s">
        <v>161</v>
      </c>
    </row>
    <row r="222" spans="1:79" hidden="1" x14ac:dyDescent="0.2">
      <c r="A222" s="25" t="s">
        <v>301</v>
      </c>
      <c r="B222" s="25" t="s">
        <v>277</v>
      </c>
      <c r="C222" s="25">
        <v>2020</v>
      </c>
      <c r="D222" s="25" t="s">
        <v>300</v>
      </c>
      <c r="E222" s="25">
        <v>2.02103039434748E+17</v>
      </c>
      <c r="F222" s="25" t="s">
        <v>182</v>
      </c>
      <c r="G222" s="25" t="s">
        <v>333</v>
      </c>
      <c r="H222" s="25">
        <v>1502683</v>
      </c>
      <c r="J222" s="25" t="s">
        <v>180</v>
      </c>
      <c r="K222" s="25" t="s">
        <v>179</v>
      </c>
      <c r="N222" s="25" t="s">
        <v>298</v>
      </c>
      <c r="O222" s="25" t="s">
        <v>297</v>
      </c>
      <c r="Q222" s="25" t="s">
        <v>296</v>
      </c>
      <c r="R222" s="25" t="s">
        <v>295</v>
      </c>
      <c r="T222" s="25" t="s">
        <v>294</v>
      </c>
      <c r="V222" s="25" t="s">
        <v>318</v>
      </c>
      <c r="X222" s="25" t="s">
        <v>317</v>
      </c>
      <c r="Y222" s="25" t="s">
        <v>316</v>
      </c>
      <c r="Z222" s="25">
        <v>315611189</v>
      </c>
      <c r="AA222" s="25" t="s">
        <v>315</v>
      </c>
      <c r="AB222" s="25" t="s">
        <v>314</v>
      </c>
      <c r="AF222" s="25" t="s">
        <v>332</v>
      </c>
      <c r="AI222" s="31">
        <v>44147</v>
      </c>
      <c r="AJ222" s="25">
        <v>25</v>
      </c>
      <c r="AK222" s="25">
        <v>76</v>
      </c>
      <c r="BK222" s="25" t="s">
        <v>50</v>
      </c>
      <c r="BL222" s="25" t="s">
        <v>167</v>
      </c>
      <c r="BM222" s="25" t="s">
        <v>166</v>
      </c>
      <c r="BN222" s="30">
        <v>44260.649380173614</v>
      </c>
      <c r="BR222" s="25" t="s">
        <v>165</v>
      </c>
      <c r="BS222" s="25">
        <v>4.0304202111990902E+18</v>
      </c>
      <c r="BT222" s="25" t="s">
        <v>164</v>
      </c>
      <c r="BV222" s="25">
        <v>2020</v>
      </c>
      <c r="BW222" s="25" t="s">
        <v>163</v>
      </c>
      <c r="BY222" s="25">
        <v>4.03042021121726E+18</v>
      </c>
      <c r="BZ222" s="25" t="s">
        <v>331</v>
      </c>
      <c r="CA222" s="25" t="s">
        <v>161</v>
      </c>
    </row>
    <row r="223" spans="1:79" hidden="1" x14ac:dyDescent="0.2">
      <c r="A223" s="25" t="s">
        <v>301</v>
      </c>
      <c r="B223" s="25" t="s">
        <v>277</v>
      </c>
      <c r="C223" s="25">
        <v>2020</v>
      </c>
      <c r="D223" s="25" t="s">
        <v>300</v>
      </c>
      <c r="E223" s="25">
        <v>2.0210303943429798E+17</v>
      </c>
      <c r="F223" s="25" t="s">
        <v>182</v>
      </c>
      <c r="G223" s="25" t="s">
        <v>330</v>
      </c>
      <c r="H223" s="25">
        <v>1502683</v>
      </c>
      <c r="J223" s="25" t="s">
        <v>180</v>
      </c>
      <c r="K223" s="25" t="s">
        <v>179</v>
      </c>
      <c r="N223" s="25" t="s">
        <v>298</v>
      </c>
      <c r="O223" s="25" t="s">
        <v>297</v>
      </c>
      <c r="Q223" s="25" t="s">
        <v>296</v>
      </c>
      <c r="R223" s="25" t="s">
        <v>295</v>
      </c>
      <c r="T223" s="25" t="s">
        <v>294</v>
      </c>
      <c r="V223" s="25" t="s">
        <v>318</v>
      </c>
      <c r="X223" s="25" t="s">
        <v>317</v>
      </c>
      <c r="Y223" s="25" t="s">
        <v>316</v>
      </c>
      <c r="Z223" s="25">
        <v>315611189</v>
      </c>
      <c r="AA223" s="25" t="s">
        <v>315</v>
      </c>
      <c r="AB223" s="25" t="s">
        <v>314</v>
      </c>
      <c r="AF223" s="25" t="s">
        <v>313</v>
      </c>
      <c r="AI223" s="31">
        <v>44143</v>
      </c>
      <c r="AJ223" s="25">
        <v>1</v>
      </c>
      <c r="AK223" s="25">
        <v>26</v>
      </c>
      <c r="BK223" s="25" t="s">
        <v>50</v>
      </c>
      <c r="BL223" s="25" t="s">
        <v>167</v>
      </c>
      <c r="BM223" s="25" t="s">
        <v>166</v>
      </c>
      <c r="BN223" s="30">
        <v>44260.650958425926</v>
      </c>
      <c r="BR223" s="25" t="s">
        <v>165</v>
      </c>
      <c r="BS223" s="25">
        <v>4.0304202111990902E+18</v>
      </c>
      <c r="BT223" s="25" t="s">
        <v>164</v>
      </c>
      <c r="BV223" s="25">
        <v>2020</v>
      </c>
      <c r="BW223" s="25" t="s">
        <v>163</v>
      </c>
      <c r="BY223" s="25">
        <v>4.0304202112226698E+18</v>
      </c>
      <c r="BZ223" s="25" t="s">
        <v>329</v>
      </c>
      <c r="CA223" s="25" t="s">
        <v>161</v>
      </c>
    </row>
    <row r="224" spans="1:79" hidden="1" x14ac:dyDescent="0.2">
      <c r="A224" s="25" t="s">
        <v>301</v>
      </c>
      <c r="B224" s="25" t="s">
        <v>277</v>
      </c>
      <c r="C224" s="25">
        <v>2020</v>
      </c>
      <c r="D224" s="25" t="s">
        <v>300</v>
      </c>
      <c r="E224" s="25">
        <v>2.0210303943459398E+17</v>
      </c>
      <c r="F224" s="25" t="s">
        <v>182</v>
      </c>
      <c r="G224" s="25" t="s">
        <v>328</v>
      </c>
      <c r="H224" s="25">
        <v>1502683</v>
      </c>
      <c r="J224" s="25" t="s">
        <v>180</v>
      </c>
      <c r="K224" s="25" t="s">
        <v>179</v>
      </c>
      <c r="N224" s="25" t="s">
        <v>298</v>
      </c>
      <c r="O224" s="25" t="s">
        <v>297</v>
      </c>
      <c r="Q224" s="25" t="s">
        <v>296</v>
      </c>
      <c r="R224" s="25" t="s">
        <v>295</v>
      </c>
      <c r="T224" s="25" t="s">
        <v>294</v>
      </c>
      <c r="V224" s="25" t="s">
        <v>293</v>
      </c>
      <c r="X224" s="25" t="s">
        <v>292</v>
      </c>
      <c r="Y224" s="25" t="s">
        <v>291</v>
      </c>
      <c r="Z224" s="25">
        <v>852243566</v>
      </c>
      <c r="AA224" s="25" t="s">
        <v>290</v>
      </c>
      <c r="AB224" s="25" t="s">
        <v>290</v>
      </c>
      <c r="AF224" s="25" t="s">
        <v>289</v>
      </c>
      <c r="AI224" s="31">
        <v>44145</v>
      </c>
      <c r="AJ224" s="25">
        <v>12.5</v>
      </c>
      <c r="AK224" s="25">
        <v>152.5</v>
      </c>
      <c r="BK224" s="25" t="s">
        <v>50</v>
      </c>
      <c r="BL224" s="25" t="s">
        <v>167</v>
      </c>
      <c r="BM224" s="25" t="s">
        <v>166</v>
      </c>
      <c r="BN224" s="30">
        <v>44260.653215393519</v>
      </c>
      <c r="BR224" s="25" t="s">
        <v>165</v>
      </c>
      <c r="BS224" s="25">
        <v>4.0304202111990902E+18</v>
      </c>
      <c r="BT224" s="25" t="s">
        <v>164</v>
      </c>
      <c r="BV224" s="25">
        <v>2020</v>
      </c>
      <c r="BW224" s="25" t="s">
        <v>163</v>
      </c>
      <c r="BY224" s="25">
        <v>4.03042021122432E+18</v>
      </c>
      <c r="BZ224" s="25" t="s">
        <v>327</v>
      </c>
      <c r="CA224" s="25" t="s">
        <v>161</v>
      </c>
    </row>
    <row r="225" spans="1:79" hidden="1" x14ac:dyDescent="0.2">
      <c r="A225" s="25" t="s">
        <v>301</v>
      </c>
      <c r="B225" s="25" t="s">
        <v>277</v>
      </c>
      <c r="C225" s="25">
        <v>2020</v>
      </c>
      <c r="D225" s="25" t="s">
        <v>300</v>
      </c>
      <c r="E225" s="25">
        <v>2.0210303943308998E+17</v>
      </c>
      <c r="F225" s="25" t="s">
        <v>182</v>
      </c>
      <c r="G225" s="25" t="s">
        <v>326</v>
      </c>
      <c r="H225" s="25">
        <v>1502683</v>
      </c>
      <c r="J225" s="25" t="s">
        <v>180</v>
      </c>
      <c r="K225" s="25" t="s">
        <v>179</v>
      </c>
      <c r="N225" s="25" t="s">
        <v>298</v>
      </c>
      <c r="O225" s="25" t="s">
        <v>297</v>
      </c>
      <c r="Q225" s="25" t="s">
        <v>296</v>
      </c>
      <c r="R225" s="25" t="s">
        <v>295</v>
      </c>
      <c r="T225" s="25" t="s">
        <v>294</v>
      </c>
      <c r="V225" s="25" t="s">
        <v>293</v>
      </c>
      <c r="X225" s="25" t="s">
        <v>292</v>
      </c>
      <c r="Y225" s="25" t="s">
        <v>291</v>
      </c>
      <c r="Z225" s="25">
        <v>852243566</v>
      </c>
      <c r="AA225" s="25" t="s">
        <v>290</v>
      </c>
      <c r="AB225" s="25" t="s">
        <v>290</v>
      </c>
      <c r="AF225" s="25" t="s">
        <v>289</v>
      </c>
      <c r="AI225" s="31">
        <v>44134</v>
      </c>
      <c r="AJ225" s="25">
        <v>20</v>
      </c>
      <c r="AK225" s="25">
        <v>127.5</v>
      </c>
      <c r="BK225" s="25" t="s">
        <v>50</v>
      </c>
      <c r="BL225" s="25" t="s">
        <v>167</v>
      </c>
      <c r="BM225" s="25" t="s">
        <v>166</v>
      </c>
      <c r="BN225" s="30">
        <v>44260.662432685182</v>
      </c>
      <c r="BR225" s="25" t="s">
        <v>165</v>
      </c>
      <c r="BS225" s="25">
        <v>4.0304202111990902E+18</v>
      </c>
      <c r="BT225" s="25" t="s">
        <v>164</v>
      </c>
      <c r="BV225" s="25">
        <v>2020</v>
      </c>
      <c r="BW225" s="25" t="s">
        <v>163</v>
      </c>
      <c r="BY225" s="25">
        <v>4.0304202112185702E+18</v>
      </c>
      <c r="BZ225" s="25" t="s">
        <v>325</v>
      </c>
      <c r="CA225" s="25" t="s">
        <v>161</v>
      </c>
    </row>
    <row r="226" spans="1:79" hidden="1" x14ac:dyDescent="0.2">
      <c r="A226" s="25" t="s">
        <v>301</v>
      </c>
      <c r="B226" s="25" t="s">
        <v>277</v>
      </c>
      <c r="C226" s="25">
        <v>2020</v>
      </c>
      <c r="D226" s="25" t="s">
        <v>300</v>
      </c>
      <c r="E226" s="25">
        <v>2.021030394343E+17</v>
      </c>
      <c r="F226" s="25" t="s">
        <v>182</v>
      </c>
      <c r="G226" s="25" t="s">
        <v>324</v>
      </c>
      <c r="H226" s="25">
        <v>1502683</v>
      </c>
      <c r="J226" s="25" t="s">
        <v>180</v>
      </c>
      <c r="K226" s="25" t="s">
        <v>179</v>
      </c>
      <c r="N226" s="25" t="s">
        <v>298</v>
      </c>
      <c r="O226" s="25" t="s">
        <v>297</v>
      </c>
      <c r="Q226" s="25" t="s">
        <v>296</v>
      </c>
      <c r="R226" s="25" t="s">
        <v>295</v>
      </c>
      <c r="T226" s="25" t="s">
        <v>294</v>
      </c>
      <c r="V226" s="25" t="s">
        <v>318</v>
      </c>
      <c r="X226" s="25" t="s">
        <v>317</v>
      </c>
      <c r="Y226" s="25" t="s">
        <v>316</v>
      </c>
      <c r="Z226" s="25">
        <v>315611189</v>
      </c>
      <c r="AA226" s="25" t="s">
        <v>315</v>
      </c>
      <c r="AB226" s="25" t="s">
        <v>314</v>
      </c>
      <c r="AF226" s="25" t="s">
        <v>313</v>
      </c>
      <c r="AI226" s="31">
        <v>44143</v>
      </c>
      <c r="AJ226" s="25">
        <v>25</v>
      </c>
      <c r="AK226" s="25">
        <v>26</v>
      </c>
      <c r="BK226" s="25" t="s">
        <v>50</v>
      </c>
      <c r="BL226" s="25" t="s">
        <v>167</v>
      </c>
      <c r="BM226" s="25" t="s">
        <v>166</v>
      </c>
      <c r="BN226" s="30">
        <v>44260.662635821762</v>
      </c>
      <c r="BR226" s="25" t="s">
        <v>165</v>
      </c>
      <c r="BS226" s="25">
        <v>4.0304202111990902E+18</v>
      </c>
      <c r="BT226" s="25" t="s">
        <v>164</v>
      </c>
      <c r="BV226" s="25">
        <v>2020</v>
      </c>
      <c r="BW226" s="25" t="s">
        <v>163</v>
      </c>
      <c r="BY226" s="25">
        <v>4.0304202112166702E+18</v>
      </c>
      <c r="BZ226" s="25" t="s">
        <v>323</v>
      </c>
      <c r="CA226" s="25" t="s">
        <v>161</v>
      </c>
    </row>
    <row r="227" spans="1:79" hidden="1" x14ac:dyDescent="0.2">
      <c r="A227" s="25" t="s">
        <v>301</v>
      </c>
      <c r="B227" s="25" t="s">
        <v>277</v>
      </c>
      <c r="C227" s="25">
        <v>2020</v>
      </c>
      <c r="D227" s="25" t="s">
        <v>300</v>
      </c>
      <c r="E227" s="25">
        <v>2.0210303943254701E+17</v>
      </c>
      <c r="F227" s="25" t="s">
        <v>182</v>
      </c>
      <c r="G227" s="25" t="s">
        <v>322</v>
      </c>
      <c r="H227" s="25">
        <v>1502683</v>
      </c>
      <c r="J227" s="25" t="s">
        <v>180</v>
      </c>
      <c r="K227" s="25" t="s">
        <v>179</v>
      </c>
      <c r="N227" s="25" t="s">
        <v>298</v>
      </c>
      <c r="O227" s="25" t="s">
        <v>297</v>
      </c>
      <c r="Q227" s="25" t="s">
        <v>296</v>
      </c>
      <c r="R227" s="25" t="s">
        <v>295</v>
      </c>
      <c r="T227" s="25" t="s">
        <v>294</v>
      </c>
      <c r="V227" s="25" t="s">
        <v>293</v>
      </c>
      <c r="X227" s="25" t="s">
        <v>292</v>
      </c>
      <c r="Y227" s="25" t="s">
        <v>291</v>
      </c>
      <c r="Z227" s="25">
        <v>852243566</v>
      </c>
      <c r="AA227" s="25" t="s">
        <v>290</v>
      </c>
      <c r="AB227" s="25" t="s">
        <v>290</v>
      </c>
      <c r="AF227" s="25" t="s">
        <v>321</v>
      </c>
      <c r="AI227" s="31">
        <v>44130</v>
      </c>
      <c r="AJ227" s="25">
        <v>25</v>
      </c>
      <c r="AK227" s="25">
        <v>105</v>
      </c>
      <c r="BK227" s="25" t="s">
        <v>50</v>
      </c>
      <c r="BL227" s="25" t="s">
        <v>167</v>
      </c>
      <c r="BM227" s="25" t="s">
        <v>166</v>
      </c>
      <c r="BN227" s="30">
        <v>44260.664876724535</v>
      </c>
      <c r="BR227" s="25" t="s">
        <v>165</v>
      </c>
      <c r="BS227" s="25">
        <v>4.0304202111990902E+18</v>
      </c>
      <c r="BT227" s="25" t="s">
        <v>164</v>
      </c>
      <c r="BV227" s="25">
        <v>2020</v>
      </c>
      <c r="BW227" s="25" t="s">
        <v>163</v>
      </c>
      <c r="BY227" s="25">
        <v>4.0304202112216202E+18</v>
      </c>
      <c r="BZ227" s="25" t="s">
        <v>320</v>
      </c>
      <c r="CA227" s="25" t="s">
        <v>161</v>
      </c>
    </row>
    <row r="228" spans="1:79" hidden="1" x14ac:dyDescent="0.2">
      <c r="A228" s="25" t="s">
        <v>301</v>
      </c>
      <c r="B228" s="25" t="s">
        <v>277</v>
      </c>
      <c r="C228" s="25">
        <v>2020</v>
      </c>
      <c r="D228" s="25" t="s">
        <v>300</v>
      </c>
      <c r="E228" s="25">
        <v>2.0210303943449901E+17</v>
      </c>
      <c r="F228" s="25" t="s">
        <v>182</v>
      </c>
      <c r="G228" s="25" t="s">
        <v>319</v>
      </c>
      <c r="H228" s="25">
        <v>1502683</v>
      </c>
      <c r="J228" s="25" t="s">
        <v>180</v>
      </c>
      <c r="K228" s="25" t="s">
        <v>179</v>
      </c>
      <c r="N228" s="25" t="s">
        <v>298</v>
      </c>
      <c r="O228" s="25" t="s">
        <v>297</v>
      </c>
      <c r="Q228" s="25" t="s">
        <v>296</v>
      </c>
      <c r="R228" s="25" t="s">
        <v>295</v>
      </c>
      <c r="T228" s="25" t="s">
        <v>294</v>
      </c>
      <c r="V228" s="25" t="s">
        <v>318</v>
      </c>
      <c r="X228" s="25" t="s">
        <v>317</v>
      </c>
      <c r="Y228" s="25" t="s">
        <v>316</v>
      </c>
      <c r="Z228" s="25">
        <v>315611189</v>
      </c>
      <c r="AA228" s="25" t="s">
        <v>315</v>
      </c>
      <c r="AB228" s="25" t="s">
        <v>314</v>
      </c>
      <c r="AF228" s="25" t="s">
        <v>313</v>
      </c>
      <c r="AI228" s="31">
        <v>44144</v>
      </c>
      <c r="AJ228" s="25">
        <v>25</v>
      </c>
      <c r="AK228" s="25">
        <v>51</v>
      </c>
      <c r="BK228" s="25" t="s">
        <v>50</v>
      </c>
      <c r="BL228" s="25" t="s">
        <v>167</v>
      </c>
      <c r="BM228" s="25" t="s">
        <v>166</v>
      </c>
      <c r="BN228" s="30">
        <v>44260.665024722221</v>
      </c>
      <c r="BR228" s="25" t="s">
        <v>165</v>
      </c>
      <c r="BS228" s="25">
        <v>4.0304202111990902E+18</v>
      </c>
      <c r="BT228" s="25" t="s">
        <v>164</v>
      </c>
      <c r="BV228" s="25">
        <v>2020</v>
      </c>
      <c r="BW228" s="25" t="s">
        <v>163</v>
      </c>
      <c r="BY228" s="25">
        <v>4.0304202112132598E+18</v>
      </c>
      <c r="BZ228" s="25" t="s">
        <v>312</v>
      </c>
      <c r="CA228" s="25" t="s">
        <v>161</v>
      </c>
    </row>
    <row r="229" spans="1:79" hidden="1" x14ac:dyDescent="0.2">
      <c r="A229" s="25" t="s">
        <v>301</v>
      </c>
      <c r="B229" s="25" t="s">
        <v>277</v>
      </c>
      <c r="C229" s="25">
        <v>2020</v>
      </c>
      <c r="D229" s="25" t="s">
        <v>300</v>
      </c>
      <c r="E229" s="25">
        <v>2.0210303943253501E+17</v>
      </c>
      <c r="F229" s="25" t="s">
        <v>182</v>
      </c>
      <c r="G229" s="25" t="s">
        <v>311</v>
      </c>
      <c r="H229" s="25">
        <v>1502683</v>
      </c>
      <c r="J229" s="25" t="s">
        <v>180</v>
      </c>
      <c r="K229" s="25" t="s">
        <v>179</v>
      </c>
      <c r="N229" s="25" t="s">
        <v>298</v>
      </c>
      <c r="O229" s="25" t="s">
        <v>297</v>
      </c>
      <c r="Q229" s="25" t="s">
        <v>296</v>
      </c>
      <c r="R229" s="25" t="s">
        <v>295</v>
      </c>
      <c r="T229" s="25" t="s">
        <v>294</v>
      </c>
      <c r="V229" s="25" t="s">
        <v>293</v>
      </c>
      <c r="X229" s="25" t="s">
        <v>292</v>
      </c>
      <c r="Y229" s="25" t="s">
        <v>291</v>
      </c>
      <c r="Z229" s="25">
        <v>852243566</v>
      </c>
      <c r="AA229" s="25" t="s">
        <v>290</v>
      </c>
      <c r="AB229" s="25" t="s">
        <v>290</v>
      </c>
      <c r="AF229" s="25" t="s">
        <v>289</v>
      </c>
      <c r="AI229" s="31">
        <v>44130</v>
      </c>
      <c r="AJ229" s="25">
        <v>5</v>
      </c>
      <c r="AK229" s="25">
        <v>105</v>
      </c>
      <c r="BK229" s="25" t="s">
        <v>50</v>
      </c>
      <c r="BL229" s="25" t="s">
        <v>167</v>
      </c>
      <c r="BM229" s="25" t="s">
        <v>166</v>
      </c>
      <c r="BN229" s="30">
        <v>44260.665928553244</v>
      </c>
      <c r="BR229" s="25" t="s">
        <v>165</v>
      </c>
      <c r="BS229" s="25">
        <v>4.0304202111990902E+18</v>
      </c>
      <c r="BT229" s="25" t="s">
        <v>164</v>
      </c>
      <c r="BV229" s="25">
        <v>2020</v>
      </c>
      <c r="BW229" s="25" t="s">
        <v>163</v>
      </c>
      <c r="BY229" s="25">
        <v>4.0304202112234798E+18</v>
      </c>
      <c r="BZ229" s="25" t="s">
        <v>310</v>
      </c>
      <c r="CA229" s="25" t="s">
        <v>161</v>
      </c>
    </row>
    <row r="230" spans="1:79" hidden="1" x14ac:dyDescent="0.2">
      <c r="A230" s="25" t="s">
        <v>301</v>
      </c>
      <c r="B230" s="25" t="s">
        <v>277</v>
      </c>
      <c r="C230" s="25">
        <v>2020</v>
      </c>
      <c r="D230" s="25" t="s">
        <v>300</v>
      </c>
      <c r="E230" s="25">
        <v>2.0210303943213798E+17</v>
      </c>
      <c r="F230" s="25" t="s">
        <v>182</v>
      </c>
      <c r="G230" s="25" t="s">
        <v>309</v>
      </c>
      <c r="H230" s="25">
        <v>1502683</v>
      </c>
      <c r="J230" s="25" t="s">
        <v>180</v>
      </c>
      <c r="K230" s="25" t="s">
        <v>179</v>
      </c>
      <c r="N230" s="25" t="s">
        <v>308</v>
      </c>
      <c r="O230" s="25" t="s">
        <v>297</v>
      </c>
      <c r="Q230" s="25" t="s">
        <v>296</v>
      </c>
      <c r="R230" s="25" t="s">
        <v>307</v>
      </c>
      <c r="T230" s="25" t="s">
        <v>306</v>
      </c>
      <c r="V230" s="25" t="s">
        <v>305</v>
      </c>
      <c r="X230" s="25" t="s">
        <v>304</v>
      </c>
      <c r="Y230" s="25" t="s">
        <v>291</v>
      </c>
      <c r="Z230" s="25">
        <v>863234302</v>
      </c>
      <c r="AA230" s="25" t="s">
        <v>290</v>
      </c>
      <c r="AB230" s="25" t="s">
        <v>290</v>
      </c>
      <c r="AF230" s="25" t="s">
        <v>303</v>
      </c>
      <c r="AI230" s="31">
        <v>44126</v>
      </c>
      <c r="AJ230" s="25">
        <v>50</v>
      </c>
      <c r="AK230" s="25">
        <v>50</v>
      </c>
      <c r="BK230" s="25" t="s">
        <v>50</v>
      </c>
      <c r="BL230" s="25" t="s">
        <v>167</v>
      </c>
      <c r="BM230" s="25" t="s">
        <v>166</v>
      </c>
      <c r="BN230" s="30">
        <v>44260.667466423612</v>
      </c>
      <c r="BR230" s="25" t="s">
        <v>165</v>
      </c>
      <c r="BS230" s="25">
        <v>4.0304202111990902E+18</v>
      </c>
      <c r="BT230" s="25" t="s">
        <v>164</v>
      </c>
      <c r="BV230" s="25">
        <v>2020</v>
      </c>
      <c r="BW230" s="25" t="s">
        <v>163</v>
      </c>
      <c r="BY230" s="25">
        <v>4.0304202112228301E+18</v>
      </c>
      <c r="BZ230" s="25" t="s">
        <v>302</v>
      </c>
      <c r="CA230" s="25" t="s">
        <v>161</v>
      </c>
    </row>
    <row r="231" spans="1:79" hidden="1" x14ac:dyDescent="0.2">
      <c r="A231" s="25" t="s">
        <v>301</v>
      </c>
      <c r="B231" s="25" t="s">
        <v>277</v>
      </c>
      <c r="C231" s="25">
        <v>2020</v>
      </c>
      <c r="D231" s="25" t="s">
        <v>300</v>
      </c>
      <c r="E231" s="25">
        <v>2.0210303943308899E+17</v>
      </c>
      <c r="F231" s="25" t="s">
        <v>182</v>
      </c>
      <c r="G231" s="25" t="s">
        <v>299</v>
      </c>
      <c r="H231" s="25">
        <v>1502683</v>
      </c>
      <c r="J231" s="25" t="s">
        <v>180</v>
      </c>
      <c r="K231" s="25" t="s">
        <v>179</v>
      </c>
      <c r="N231" s="25" t="s">
        <v>298</v>
      </c>
      <c r="O231" s="25" t="s">
        <v>297</v>
      </c>
      <c r="Q231" s="25" t="s">
        <v>296</v>
      </c>
      <c r="R231" s="25" t="s">
        <v>295</v>
      </c>
      <c r="T231" s="25" t="s">
        <v>294</v>
      </c>
      <c r="V231" s="25" t="s">
        <v>293</v>
      </c>
      <c r="X231" s="25" t="s">
        <v>292</v>
      </c>
      <c r="Y231" s="25" t="s">
        <v>291</v>
      </c>
      <c r="Z231" s="25">
        <v>852243566</v>
      </c>
      <c r="AA231" s="25" t="s">
        <v>290</v>
      </c>
      <c r="AB231" s="25" t="s">
        <v>290</v>
      </c>
      <c r="AF231" s="25" t="s">
        <v>289</v>
      </c>
      <c r="AI231" s="31">
        <v>44134</v>
      </c>
      <c r="AJ231" s="25">
        <v>2.5</v>
      </c>
      <c r="AK231" s="25">
        <v>127.5</v>
      </c>
      <c r="BK231" s="25" t="s">
        <v>50</v>
      </c>
      <c r="BL231" s="25" t="s">
        <v>167</v>
      </c>
      <c r="BM231" s="25" t="s">
        <v>166</v>
      </c>
      <c r="BN231" s="30">
        <v>44260.667774756941</v>
      </c>
      <c r="BR231" s="25" t="s">
        <v>165</v>
      </c>
      <c r="BS231" s="25">
        <v>4.0304202111990902E+18</v>
      </c>
      <c r="BT231" s="25" t="s">
        <v>164</v>
      </c>
      <c r="BV231" s="25">
        <v>2020</v>
      </c>
      <c r="BW231" s="25" t="s">
        <v>163</v>
      </c>
      <c r="BY231" s="25">
        <v>4.0304202112241398E+18</v>
      </c>
      <c r="BZ231" s="25" t="s">
        <v>288</v>
      </c>
      <c r="CA231" s="25" t="s">
        <v>161</v>
      </c>
    </row>
    <row r="235" spans="1:79" x14ac:dyDescent="0.2">
      <c r="A235" s="29" t="s">
        <v>160</v>
      </c>
      <c r="B235" s="25" t="s">
        <v>159</v>
      </c>
      <c r="V235" s="25" t="str">
        <f>+V163&amp;X163&amp;Y163&amp;Z163</f>
        <v>201 S. BISCAYNE BLVD.MIAMIFL33131</v>
      </c>
    </row>
    <row r="236" spans="1:79" x14ac:dyDescent="0.2">
      <c r="A236" s="27" t="s">
        <v>287</v>
      </c>
      <c r="B236" s="26">
        <v>1381.4999999999993</v>
      </c>
      <c r="C236" s="25" t="s">
        <v>158</v>
      </c>
      <c r="D236" s="25">
        <f t="shared" ref="D236:D247" si="0">+B236</f>
        <v>1381.4999999999993</v>
      </c>
    </row>
    <row r="237" spans="1:79" x14ac:dyDescent="0.2">
      <c r="A237" s="27" t="s">
        <v>286</v>
      </c>
      <c r="B237" s="26">
        <v>400</v>
      </c>
      <c r="C237" s="25" t="s">
        <v>158</v>
      </c>
      <c r="D237" s="25">
        <f t="shared" si="0"/>
        <v>400</v>
      </c>
    </row>
    <row r="238" spans="1:79" x14ac:dyDescent="0.2">
      <c r="A238" s="27" t="s">
        <v>285</v>
      </c>
      <c r="B238" s="26">
        <v>250</v>
      </c>
      <c r="C238" s="25" t="s">
        <v>158</v>
      </c>
      <c r="D238" s="25">
        <f t="shared" si="0"/>
        <v>250</v>
      </c>
    </row>
    <row r="239" spans="1:79" x14ac:dyDescent="0.2">
      <c r="A239" s="27" t="s">
        <v>284</v>
      </c>
      <c r="B239" s="26">
        <v>2800</v>
      </c>
      <c r="C239" s="25" t="s">
        <v>158</v>
      </c>
      <c r="D239" s="25">
        <f t="shared" si="0"/>
        <v>2800</v>
      </c>
    </row>
    <row r="240" spans="1:79" x14ac:dyDescent="0.2">
      <c r="A240" s="27" t="s">
        <v>283</v>
      </c>
      <c r="B240" s="26">
        <v>650</v>
      </c>
      <c r="C240" s="25" t="s">
        <v>158</v>
      </c>
      <c r="D240" s="25">
        <f t="shared" si="0"/>
        <v>650</v>
      </c>
    </row>
    <row r="241" spans="1:4" x14ac:dyDescent="0.2">
      <c r="A241" s="27" t="s">
        <v>282</v>
      </c>
      <c r="B241" s="26">
        <v>3846.0000000000014</v>
      </c>
      <c r="C241" s="25" t="s">
        <v>0</v>
      </c>
      <c r="D241" s="25">
        <f t="shared" si="0"/>
        <v>3846.0000000000014</v>
      </c>
    </row>
    <row r="242" spans="1:4" x14ac:dyDescent="0.2">
      <c r="A242" s="27" t="s">
        <v>157</v>
      </c>
      <c r="B242" s="26">
        <v>5576.7000000000025</v>
      </c>
      <c r="C242" s="25" t="s">
        <v>0</v>
      </c>
      <c r="D242" s="25">
        <f t="shared" si="0"/>
        <v>5576.7000000000025</v>
      </c>
    </row>
    <row r="243" spans="1:4" x14ac:dyDescent="0.2">
      <c r="A243" s="27" t="s">
        <v>281</v>
      </c>
      <c r="B243" s="26">
        <v>554.5</v>
      </c>
      <c r="C243" s="25" t="s">
        <v>1</v>
      </c>
      <c r="D243" s="25">
        <f t="shared" si="0"/>
        <v>554.5</v>
      </c>
    </row>
    <row r="244" spans="1:4" x14ac:dyDescent="0.2">
      <c r="A244" s="27" t="s">
        <v>280</v>
      </c>
      <c r="B244" s="26">
        <v>125</v>
      </c>
      <c r="C244" s="25" t="s">
        <v>1</v>
      </c>
      <c r="D244" s="25">
        <f t="shared" si="0"/>
        <v>125</v>
      </c>
    </row>
    <row r="245" spans="1:4" x14ac:dyDescent="0.2">
      <c r="A245" s="27" t="s">
        <v>279</v>
      </c>
      <c r="B245" s="26">
        <v>350</v>
      </c>
      <c r="C245" s="25" t="s">
        <v>158</v>
      </c>
      <c r="D245" s="25">
        <f t="shared" si="0"/>
        <v>350</v>
      </c>
    </row>
    <row r="246" spans="1:4" x14ac:dyDescent="0.2">
      <c r="A246" s="27" t="s">
        <v>278</v>
      </c>
      <c r="B246" s="26">
        <v>100</v>
      </c>
      <c r="C246" s="25" t="s">
        <v>1</v>
      </c>
      <c r="D246" s="25">
        <f t="shared" si="0"/>
        <v>100</v>
      </c>
    </row>
    <row r="247" spans="1:4" x14ac:dyDescent="0.2">
      <c r="A247" s="27" t="s">
        <v>277</v>
      </c>
      <c r="B247" s="26">
        <v>789</v>
      </c>
      <c r="C247" s="25" t="s">
        <v>1</v>
      </c>
      <c r="D247" s="25">
        <f t="shared" si="0"/>
        <v>789</v>
      </c>
    </row>
    <row r="248" spans="1:4" x14ac:dyDescent="0.2">
      <c r="A248" s="27" t="s">
        <v>154</v>
      </c>
      <c r="B248" s="26">
        <v>16822.700000000004</v>
      </c>
      <c r="D248" s="25">
        <f>SUBTOTAL(9,D236:D247)</f>
        <v>16822.700000000004</v>
      </c>
    </row>
    <row r="250" spans="1:4" x14ac:dyDescent="0.2">
      <c r="C250" s="25" t="s">
        <v>158</v>
      </c>
      <c r="D250" s="25">
        <f ca="1">SUMIF(C236:D247,C250,D236:D248)</f>
        <v>5831.4999999999991</v>
      </c>
    </row>
    <row r="251" spans="1:4" x14ac:dyDescent="0.2">
      <c r="C251" s="25" t="s">
        <v>1</v>
      </c>
      <c r="D251" s="25">
        <f ca="1">SUMIF(C237:D248,C251,D237:D249)</f>
        <v>1568.5</v>
      </c>
    </row>
    <row r="252" spans="1:4" x14ac:dyDescent="0.2">
      <c r="C252" s="25" t="s">
        <v>0</v>
      </c>
      <c r="D252" s="25">
        <f ca="1">SUMIF(C238:D249,C252,D238:D250)</f>
        <v>9422.7000000000044</v>
      </c>
    </row>
    <row r="253" spans="1:4" ht="13.5" thickBot="1" x14ac:dyDescent="0.25">
      <c r="D253" s="33">
        <f ca="1">SUBTOTAL(9,D250:D252)</f>
        <v>16822.700000000004</v>
      </c>
    </row>
    <row r="254" spans="1:4" ht="13.5" thickTop="1" x14ac:dyDescent="0.2"/>
  </sheetData>
  <autoFilter ref="A1:CA231">
    <filterColumn colId="26">
      <filters>
        <filter val="CITIBANK N.A."/>
        <filter val="CITIGROUP INC.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2"/>
  <sheetViews>
    <sheetView topLeftCell="G1" workbookViewId="0">
      <selection activeCell="V6" sqref="V6"/>
    </sheetView>
  </sheetViews>
  <sheetFormatPr defaultRowHeight="12.75" x14ac:dyDescent="0.2"/>
  <cols>
    <col min="1" max="1" width="18.5703125" style="25" customWidth="1"/>
    <col min="2" max="2" width="30.42578125" style="25" customWidth="1"/>
    <col min="3" max="16384" width="9.140625" style="25"/>
  </cols>
  <sheetData>
    <row r="1" spans="1:79" x14ac:dyDescent="0.2">
      <c r="A1" s="25" t="s">
        <v>275</v>
      </c>
      <c r="B1" s="25" t="s">
        <v>268</v>
      </c>
      <c r="C1" s="25" t="s">
        <v>274</v>
      </c>
      <c r="D1" s="25" t="s">
        <v>273</v>
      </c>
      <c r="E1" s="25" t="s">
        <v>272</v>
      </c>
      <c r="F1" s="25" t="s">
        <v>271</v>
      </c>
      <c r="G1" s="25" t="s">
        <v>270</v>
      </c>
      <c r="H1" s="25" t="s">
        <v>269</v>
      </c>
      <c r="I1" s="25" t="s">
        <v>268</v>
      </c>
      <c r="J1" s="25" t="s">
        <v>267</v>
      </c>
      <c r="K1" s="25" t="s">
        <v>266</v>
      </c>
      <c r="L1" s="25" t="s">
        <v>265</v>
      </c>
      <c r="M1" s="25" t="s">
        <v>264</v>
      </c>
      <c r="N1" s="25" t="s">
        <v>263</v>
      </c>
      <c r="O1" s="25" t="s">
        <v>262</v>
      </c>
      <c r="P1" s="25" t="s">
        <v>261</v>
      </c>
      <c r="Q1" s="25" t="s">
        <v>260</v>
      </c>
      <c r="R1" s="25" t="s">
        <v>259</v>
      </c>
      <c r="S1" s="25" t="s">
        <v>258</v>
      </c>
      <c r="T1" s="25" t="s">
        <v>257</v>
      </c>
      <c r="U1" s="25" t="s">
        <v>256</v>
      </c>
      <c r="V1" s="25" t="s">
        <v>255</v>
      </c>
      <c r="W1" s="25" t="s">
        <v>254</v>
      </c>
      <c r="X1" s="25" t="s">
        <v>253</v>
      </c>
      <c r="Y1" s="25" t="s">
        <v>252</v>
      </c>
      <c r="Z1" s="25" t="s">
        <v>251</v>
      </c>
      <c r="AA1" s="25" t="s">
        <v>250</v>
      </c>
      <c r="AB1" s="25" t="s">
        <v>249</v>
      </c>
      <c r="AC1" s="25" t="s">
        <v>248</v>
      </c>
      <c r="AD1" s="25" t="s">
        <v>247</v>
      </c>
      <c r="AE1" s="25" t="s">
        <v>246</v>
      </c>
      <c r="AF1" s="25" t="s">
        <v>245</v>
      </c>
      <c r="AG1" s="25" t="s">
        <v>244</v>
      </c>
      <c r="AH1" s="25" t="s">
        <v>243</v>
      </c>
      <c r="AI1" s="25" t="s">
        <v>242</v>
      </c>
      <c r="AJ1" s="25" t="s">
        <v>241</v>
      </c>
      <c r="AK1" s="25" t="s">
        <v>240</v>
      </c>
      <c r="AL1" s="25" t="s">
        <v>239</v>
      </c>
      <c r="AM1" s="25" t="s">
        <v>238</v>
      </c>
      <c r="AN1" s="25" t="s">
        <v>237</v>
      </c>
      <c r="AO1" s="25" t="s">
        <v>236</v>
      </c>
      <c r="AP1" s="25" t="s">
        <v>235</v>
      </c>
      <c r="AQ1" s="25" t="s">
        <v>234</v>
      </c>
      <c r="AR1" s="25" t="s">
        <v>233</v>
      </c>
      <c r="AS1" s="25" t="s">
        <v>232</v>
      </c>
      <c r="AT1" s="25" t="s">
        <v>231</v>
      </c>
      <c r="AU1" s="25" t="s">
        <v>230</v>
      </c>
      <c r="AV1" s="25" t="s">
        <v>229</v>
      </c>
      <c r="AW1" s="25" t="s">
        <v>228</v>
      </c>
      <c r="AX1" s="25" t="s">
        <v>227</v>
      </c>
      <c r="AY1" s="25" t="s">
        <v>226</v>
      </c>
      <c r="AZ1" s="25" t="s">
        <v>225</v>
      </c>
      <c r="BA1" s="25" t="s">
        <v>224</v>
      </c>
      <c r="BB1" s="25" t="s">
        <v>223</v>
      </c>
      <c r="BC1" s="25" t="s">
        <v>222</v>
      </c>
      <c r="BD1" s="25" t="s">
        <v>221</v>
      </c>
      <c r="BE1" s="25" t="s">
        <v>220</v>
      </c>
      <c r="BF1" s="25" t="s">
        <v>219</v>
      </c>
      <c r="BG1" s="25" t="s">
        <v>218</v>
      </c>
      <c r="BH1" s="25" t="s">
        <v>217</v>
      </c>
      <c r="BI1" s="25" t="s">
        <v>216</v>
      </c>
      <c r="BJ1" s="25" t="s">
        <v>215</v>
      </c>
      <c r="BK1" s="25" t="s">
        <v>214</v>
      </c>
      <c r="BL1" s="25" t="s">
        <v>213</v>
      </c>
      <c r="BM1" s="25" t="s">
        <v>212</v>
      </c>
      <c r="BN1" s="25" t="s">
        <v>211</v>
      </c>
      <c r="BO1" s="25" t="s">
        <v>210</v>
      </c>
      <c r="BP1" s="25" t="s">
        <v>209</v>
      </c>
      <c r="BQ1" s="25" t="s">
        <v>208</v>
      </c>
      <c r="BR1" s="25" t="s">
        <v>207</v>
      </c>
      <c r="BS1" s="25" t="s">
        <v>206</v>
      </c>
      <c r="BT1" s="25" t="s">
        <v>205</v>
      </c>
      <c r="BU1" s="25" t="s">
        <v>204</v>
      </c>
      <c r="BV1" s="25" t="s">
        <v>203</v>
      </c>
      <c r="BW1" s="25" t="s">
        <v>202</v>
      </c>
      <c r="BX1" s="25" t="s">
        <v>201</v>
      </c>
      <c r="BY1" s="25" t="s">
        <v>200</v>
      </c>
      <c r="BZ1" s="25" t="s">
        <v>199</v>
      </c>
      <c r="CA1" s="25" t="s">
        <v>198</v>
      </c>
    </row>
    <row r="2" spans="1:79" x14ac:dyDescent="0.2">
      <c r="A2" s="25" t="s">
        <v>184</v>
      </c>
      <c r="B2" s="25" t="s">
        <v>156</v>
      </c>
      <c r="C2" s="25">
        <v>2019</v>
      </c>
      <c r="D2" s="25" t="s">
        <v>197</v>
      </c>
      <c r="E2" s="25">
        <v>2.0190319914574E+17</v>
      </c>
      <c r="F2" s="25" t="s">
        <v>182</v>
      </c>
      <c r="G2" s="25" t="s">
        <v>196</v>
      </c>
      <c r="H2" s="25">
        <v>1320045</v>
      </c>
      <c r="J2" s="25" t="s">
        <v>180</v>
      </c>
      <c r="K2" s="25" t="s">
        <v>179</v>
      </c>
      <c r="N2" s="25" t="s">
        <v>178</v>
      </c>
      <c r="O2" s="25" t="s">
        <v>66</v>
      </c>
      <c r="P2" s="25" t="s">
        <v>177</v>
      </c>
      <c r="Q2" s="25" t="s">
        <v>34</v>
      </c>
      <c r="R2" s="25" t="s">
        <v>176</v>
      </c>
      <c r="T2" s="25" t="s">
        <v>175</v>
      </c>
      <c r="V2" s="25" t="s">
        <v>195</v>
      </c>
      <c r="W2" s="25" t="s">
        <v>194</v>
      </c>
      <c r="X2" s="25" t="s">
        <v>189</v>
      </c>
      <c r="Y2" s="25" t="s">
        <v>52</v>
      </c>
      <c r="Z2" s="25">
        <v>100224146</v>
      </c>
      <c r="AA2" s="25" t="s">
        <v>171</v>
      </c>
      <c r="AB2" s="25" t="s">
        <v>170</v>
      </c>
      <c r="AD2" s="25">
        <v>15</v>
      </c>
      <c r="AE2" s="25" t="s">
        <v>169</v>
      </c>
      <c r="AI2" s="31">
        <v>43514</v>
      </c>
      <c r="AJ2" s="25">
        <v>5000</v>
      </c>
      <c r="AK2" s="25">
        <v>5000</v>
      </c>
      <c r="BG2" s="25" t="s">
        <v>28</v>
      </c>
      <c r="BI2" s="25" t="s">
        <v>168</v>
      </c>
      <c r="BK2" s="25" t="s">
        <v>50</v>
      </c>
      <c r="BL2" s="25" t="s">
        <v>167</v>
      </c>
      <c r="BM2" s="25" t="s">
        <v>166</v>
      </c>
      <c r="BN2" s="30">
        <v>43544.135761157406</v>
      </c>
      <c r="BR2" s="25" t="s">
        <v>165</v>
      </c>
      <c r="BS2" s="25">
        <v>4.0319201916451599E+18</v>
      </c>
      <c r="BT2" s="25" t="s">
        <v>164</v>
      </c>
      <c r="BV2" s="25">
        <v>2020</v>
      </c>
      <c r="BW2" s="25" t="s">
        <v>163</v>
      </c>
      <c r="BY2" s="25">
        <v>4.0319201916452198E+18</v>
      </c>
      <c r="BZ2" s="25" t="s">
        <v>193</v>
      </c>
      <c r="CA2" s="25" t="s">
        <v>161</v>
      </c>
    </row>
    <row r="3" spans="1:79" x14ac:dyDescent="0.2">
      <c r="A3" s="25" t="s">
        <v>192</v>
      </c>
      <c r="B3" s="25" t="s">
        <v>157</v>
      </c>
      <c r="C3" s="25">
        <v>2019</v>
      </c>
      <c r="D3" s="25" t="s">
        <v>183</v>
      </c>
      <c r="E3" s="25">
        <v>2.0191121916603101E+17</v>
      </c>
      <c r="F3" s="25" t="s">
        <v>182</v>
      </c>
      <c r="G3" s="25" t="s">
        <v>191</v>
      </c>
      <c r="H3" s="25">
        <v>1364444</v>
      </c>
      <c r="J3" s="25" t="s">
        <v>180</v>
      </c>
      <c r="K3" s="25" t="s">
        <v>179</v>
      </c>
      <c r="N3" s="25" t="s">
        <v>178</v>
      </c>
      <c r="O3" s="25" t="s">
        <v>66</v>
      </c>
      <c r="P3" s="25" t="s">
        <v>177</v>
      </c>
      <c r="Q3" s="25" t="s">
        <v>34</v>
      </c>
      <c r="R3" s="25" t="s">
        <v>176</v>
      </c>
      <c r="T3" s="25" t="s">
        <v>175</v>
      </c>
      <c r="V3" s="25" t="s">
        <v>190</v>
      </c>
      <c r="X3" s="25" t="s">
        <v>189</v>
      </c>
      <c r="Y3" s="25" t="s">
        <v>52</v>
      </c>
      <c r="Z3" s="25">
        <v>100132375</v>
      </c>
      <c r="AA3" s="25" t="s">
        <v>188</v>
      </c>
      <c r="AB3" s="25" t="s">
        <v>187</v>
      </c>
      <c r="AD3" s="25">
        <v>15</v>
      </c>
      <c r="AE3" s="25" t="s">
        <v>169</v>
      </c>
      <c r="AI3" s="31">
        <v>43552</v>
      </c>
      <c r="AJ3" s="25">
        <v>5000</v>
      </c>
      <c r="AK3" s="25">
        <v>5000</v>
      </c>
      <c r="BG3" s="25" t="s">
        <v>28</v>
      </c>
      <c r="BI3" s="25" t="s">
        <v>168</v>
      </c>
      <c r="BK3" s="25" t="s">
        <v>0</v>
      </c>
      <c r="BL3" s="25" t="s">
        <v>186</v>
      </c>
      <c r="BM3" s="25" t="s">
        <v>166</v>
      </c>
      <c r="BN3" s="30">
        <v>43793.082254583336</v>
      </c>
      <c r="BR3" s="25" t="s">
        <v>165</v>
      </c>
      <c r="BS3" s="25">
        <v>4.11232019168002E+18</v>
      </c>
      <c r="BT3" s="25" t="s">
        <v>164</v>
      </c>
      <c r="BV3" s="25">
        <v>2020</v>
      </c>
      <c r="BW3" s="25" t="s">
        <v>163</v>
      </c>
      <c r="BY3" s="25">
        <v>4.1123201916802601E+18</v>
      </c>
      <c r="BZ3" s="25" t="s">
        <v>185</v>
      </c>
      <c r="CA3" s="25" t="s">
        <v>161</v>
      </c>
    </row>
    <row r="4" spans="1:79" x14ac:dyDescent="0.2">
      <c r="A4" s="25" t="s">
        <v>184</v>
      </c>
      <c r="B4" s="25" t="s">
        <v>156</v>
      </c>
      <c r="C4" s="25">
        <v>2020</v>
      </c>
      <c r="D4" s="25" t="s">
        <v>183</v>
      </c>
      <c r="E4" s="25">
        <v>2.0200420921976301E+17</v>
      </c>
      <c r="F4" s="25" t="s">
        <v>182</v>
      </c>
      <c r="G4" s="25" t="s">
        <v>181</v>
      </c>
      <c r="H4" s="25">
        <v>1402431</v>
      </c>
      <c r="J4" s="25" t="s">
        <v>180</v>
      </c>
      <c r="K4" s="25" t="s">
        <v>179</v>
      </c>
      <c r="N4" s="25" t="s">
        <v>178</v>
      </c>
      <c r="O4" s="25" t="s">
        <v>66</v>
      </c>
      <c r="P4" s="25" t="s">
        <v>177</v>
      </c>
      <c r="Q4" s="25" t="s">
        <v>34</v>
      </c>
      <c r="R4" s="25" t="s">
        <v>176</v>
      </c>
      <c r="T4" s="25" t="s">
        <v>175</v>
      </c>
      <c r="V4" s="25" t="s">
        <v>174</v>
      </c>
      <c r="X4" s="25" t="s">
        <v>173</v>
      </c>
      <c r="Y4" s="25" t="s">
        <v>172</v>
      </c>
      <c r="Z4" s="25">
        <v>91361</v>
      </c>
      <c r="AA4" s="25" t="s">
        <v>171</v>
      </c>
      <c r="AB4" s="25" t="s">
        <v>170</v>
      </c>
      <c r="AD4" s="25">
        <v>15</v>
      </c>
      <c r="AE4" s="25" t="s">
        <v>169</v>
      </c>
      <c r="AI4" s="31">
        <v>43916</v>
      </c>
      <c r="AJ4" s="25">
        <v>5000</v>
      </c>
      <c r="AK4" s="25">
        <v>5000</v>
      </c>
      <c r="BG4" s="25" t="s">
        <v>28</v>
      </c>
      <c r="BI4" s="25" t="s">
        <v>168</v>
      </c>
      <c r="BK4" s="25" t="s">
        <v>50</v>
      </c>
      <c r="BL4" s="25" t="s">
        <v>167</v>
      </c>
      <c r="BM4" s="25" t="s">
        <v>166</v>
      </c>
      <c r="BN4" s="30">
        <v>43943.060156782405</v>
      </c>
      <c r="BR4" s="25" t="s">
        <v>165</v>
      </c>
      <c r="BS4" s="25">
        <v>4.0420202017373501E+18</v>
      </c>
      <c r="BT4" s="25" t="s">
        <v>164</v>
      </c>
      <c r="BV4" s="25">
        <v>2020</v>
      </c>
      <c r="BW4" s="25" t="s">
        <v>163</v>
      </c>
      <c r="BY4" s="25">
        <v>4.0421202017375498E+18</v>
      </c>
      <c r="BZ4" s="25" t="s">
        <v>162</v>
      </c>
      <c r="CA4" s="25" t="s">
        <v>161</v>
      </c>
    </row>
    <row r="6" spans="1:79" x14ac:dyDescent="0.2">
      <c r="V6" s="25" t="str">
        <f>+V2&amp;X2&amp;Y2&amp;Z2</f>
        <v>300 E 56TH STNEW YORKNY100224146</v>
      </c>
    </row>
    <row r="9" spans="1:79" x14ac:dyDescent="0.2">
      <c r="A9" s="29" t="s">
        <v>160</v>
      </c>
      <c r="B9" s="25" t="s">
        <v>159</v>
      </c>
      <c r="E9" s="25" t="s">
        <v>1</v>
      </c>
      <c r="F9" s="25" t="s">
        <v>158</v>
      </c>
    </row>
    <row r="10" spans="1:79" x14ac:dyDescent="0.2">
      <c r="A10" s="27" t="s">
        <v>157</v>
      </c>
      <c r="B10" s="26">
        <v>5000</v>
      </c>
      <c r="C10" s="25" t="s">
        <v>0</v>
      </c>
      <c r="E10" s="28">
        <v>0.56189999999999996</v>
      </c>
      <c r="F10" s="28">
        <v>0.43809999999999999</v>
      </c>
    </row>
    <row r="11" spans="1:79" x14ac:dyDescent="0.2">
      <c r="A11" s="27" t="s">
        <v>156</v>
      </c>
      <c r="B11" s="26">
        <v>10000</v>
      </c>
      <c r="C11" s="25" t="s">
        <v>0</v>
      </c>
      <c r="D11" s="25" t="s">
        <v>155</v>
      </c>
      <c r="E11" s="28">
        <v>0.50819999999999999</v>
      </c>
      <c r="F11" s="28">
        <v>0.49180000000000001</v>
      </c>
    </row>
    <row r="12" spans="1:79" x14ac:dyDescent="0.2">
      <c r="A12" s="27" t="s">
        <v>154</v>
      </c>
      <c r="B12" s="26">
        <v>15000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5"/>
  <sheetViews>
    <sheetView workbookViewId="0">
      <selection activeCell="C5" sqref="C5"/>
    </sheetView>
  </sheetViews>
  <sheetFormatPr defaultRowHeight="15" x14ac:dyDescent="0.25"/>
  <cols>
    <col min="1" max="1" width="22.42578125" bestFit="1" customWidth="1"/>
    <col min="2" max="2" width="61.5703125" customWidth="1"/>
    <col min="6" max="6" width="8.85546875" style="2"/>
    <col min="7" max="7" width="15.28515625" customWidth="1"/>
    <col min="10" max="10" width="22.140625" customWidth="1"/>
    <col min="16" max="16" width="8.85546875" style="2"/>
    <col min="17" max="17" width="16" customWidth="1"/>
  </cols>
  <sheetData>
    <row r="1" spans="1:17" x14ac:dyDescent="0.25">
      <c r="A1" t="s">
        <v>7</v>
      </c>
      <c r="C1">
        <v>2020</v>
      </c>
    </row>
    <row r="2" spans="1:17" x14ac:dyDescent="0.25">
      <c r="A2" t="s">
        <v>11</v>
      </c>
      <c r="C2" s="12" t="s">
        <v>6</v>
      </c>
      <c r="D2" t="s">
        <v>2</v>
      </c>
      <c r="E2" s="2" t="s">
        <v>4</v>
      </c>
      <c r="F2" t="s">
        <v>3</v>
      </c>
      <c r="G2" s="12" t="s">
        <v>9</v>
      </c>
      <c r="H2" s="12" t="s">
        <v>10</v>
      </c>
      <c r="Q2" s="1"/>
    </row>
    <row r="3" spans="1:17" ht="15.75" x14ac:dyDescent="0.25">
      <c r="A3" s="25" t="s">
        <v>184</v>
      </c>
      <c r="B3" s="25" t="s">
        <v>156</v>
      </c>
      <c r="C3" t="s">
        <v>0</v>
      </c>
      <c r="D3" s="11"/>
      <c r="E3" s="11"/>
      <c r="F3"/>
      <c r="G3" s="8"/>
      <c r="H3" s="8"/>
      <c r="Q3" s="1"/>
    </row>
    <row r="4" spans="1:17" x14ac:dyDescent="0.25">
      <c r="A4" s="25" t="s">
        <v>192</v>
      </c>
      <c r="B4" s="25" t="s">
        <v>157</v>
      </c>
      <c r="C4" t="s">
        <v>0</v>
      </c>
      <c r="G4" s="1"/>
      <c r="Q4" s="1"/>
    </row>
    <row r="5" spans="1:17" x14ac:dyDescent="0.25">
      <c r="G5" s="1"/>
      <c r="Q5" s="1"/>
    </row>
    <row r="6" spans="1:17" ht="15.75" x14ac:dyDescent="0.25">
      <c r="B6" s="11"/>
      <c r="D6" s="8"/>
      <c r="E6" s="8"/>
      <c r="G6" s="1"/>
      <c r="Q6" s="1"/>
    </row>
    <row r="7" spans="1:17" x14ac:dyDescent="0.25">
      <c r="G7" s="1"/>
      <c r="Q7" s="1"/>
    </row>
    <row r="8" spans="1:17" x14ac:dyDescent="0.25">
      <c r="G8" s="1"/>
      <c r="Q8" s="1"/>
    </row>
    <row r="9" spans="1:17" x14ac:dyDescent="0.25">
      <c r="G9" s="1"/>
      <c r="Q9" s="1"/>
    </row>
    <row r="10" spans="1:17" x14ac:dyDescent="0.25">
      <c r="G10" s="1"/>
      <c r="Q10" s="1"/>
    </row>
    <row r="11" spans="1:17" x14ac:dyDescent="0.25">
      <c r="G11" s="1"/>
      <c r="Q11" s="1"/>
    </row>
    <row r="12" spans="1:17" x14ac:dyDescent="0.25">
      <c r="G12" s="1"/>
      <c r="Q12" s="1"/>
    </row>
    <row r="13" spans="1:17" x14ac:dyDescent="0.25">
      <c r="G13" s="1"/>
      <c r="Q13" s="1"/>
    </row>
    <row r="14" spans="1:17" x14ac:dyDescent="0.25">
      <c r="G14" s="1"/>
      <c r="Q14" s="1"/>
    </row>
    <row r="15" spans="1:17" x14ac:dyDescent="0.25">
      <c r="G15" s="1"/>
      <c r="Q15" s="1"/>
    </row>
    <row r="16" spans="1:17" x14ac:dyDescent="0.25">
      <c r="G16" s="1"/>
      <c r="Q16" s="1"/>
    </row>
    <row r="17" spans="7:17" x14ac:dyDescent="0.25">
      <c r="G17" s="1"/>
      <c r="Q17" s="1"/>
    </row>
    <row r="18" spans="7:17" x14ac:dyDescent="0.25">
      <c r="G18" s="1"/>
      <c r="Q18" s="1"/>
    </row>
    <row r="19" spans="7:17" x14ac:dyDescent="0.25">
      <c r="G19" s="1"/>
      <c r="Q19" s="1"/>
    </row>
    <row r="20" spans="7:17" x14ac:dyDescent="0.25">
      <c r="G20" s="1"/>
      <c r="Q20" s="1"/>
    </row>
    <row r="21" spans="7:17" x14ac:dyDescent="0.25">
      <c r="G21" s="1"/>
      <c r="Q21" s="1"/>
    </row>
    <row r="22" spans="7:17" x14ac:dyDescent="0.25">
      <c r="G22" s="1"/>
      <c r="Q22" s="1"/>
    </row>
    <row r="23" spans="7:17" x14ac:dyDescent="0.25">
      <c r="G23" s="1"/>
      <c r="Q23" s="1"/>
    </row>
    <row r="24" spans="7:17" x14ac:dyDescent="0.25">
      <c r="G24" s="1"/>
      <c r="Q24" s="1"/>
    </row>
    <row r="25" spans="7:17" x14ac:dyDescent="0.25">
      <c r="G25" s="1"/>
      <c r="Q25" s="1"/>
    </row>
    <row r="26" spans="7:17" x14ac:dyDescent="0.25">
      <c r="G26" s="1"/>
      <c r="Q26" s="1"/>
    </row>
    <row r="27" spans="7:17" x14ac:dyDescent="0.25">
      <c r="G27" s="1"/>
      <c r="Q27" s="1"/>
    </row>
    <row r="28" spans="7:17" x14ac:dyDescent="0.25">
      <c r="G28" s="1"/>
      <c r="Q28" s="1"/>
    </row>
    <row r="29" spans="7:17" x14ac:dyDescent="0.25">
      <c r="G29" s="1"/>
      <c r="Q29" s="1"/>
    </row>
    <row r="30" spans="7:17" x14ac:dyDescent="0.25">
      <c r="G30" s="1"/>
      <c r="Q30" s="1"/>
    </row>
    <row r="31" spans="7:17" x14ac:dyDescent="0.25">
      <c r="G31" s="1"/>
      <c r="Q31" s="1"/>
    </row>
    <row r="32" spans="7:17" x14ac:dyDescent="0.25">
      <c r="G32" s="1"/>
      <c r="Q32" s="1"/>
    </row>
    <row r="33" spans="7:17" x14ac:dyDescent="0.25">
      <c r="G33" s="1"/>
      <c r="Q33" s="1"/>
    </row>
    <row r="34" spans="7:17" x14ac:dyDescent="0.25">
      <c r="G34" s="1"/>
      <c r="Q34" s="1"/>
    </row>
    <row r="35" spans="7:17" x14ac:dyDescent="0.25">
      <c r="G35" s="1"/>
      <c r="Q35" s="1"/>
    </row>
    <row r="36" spans="7:17" x14ac:dyDescent="0.25">
      <c r="G36" s="1"/>
      <c r="Q36" s="1"/>
    </row>
    <row r="37" spans="7:17" x14ac:dyDescent="0.25">
      <c r="G37" s="1"/>
      <c r="Q37" s="1"/>
    </row>
    <row r="38" spans="7:17" x14ac:dyDescent="0.25">
      <c r="G38" s="1"/>
      <c r="Q38" s="1"/>
    </row>
    <row r="39" spans="7:17" x14ac:dyDescent="0.25">
      <c r="G39" s="1"/>
      <c r="Q39" s="1"/>
    </row>
    <row r="40" spans="7:17" x14ac:dyDescent="0.25">
      <c r="G40" s="1"/>
      <c r="Q40" s="1"/>
    </row>
    <row r="41" spans="7:17" x14ac:dyDescent="0.25">
      <c r="G41" s="1"/>
      <c r="Q41" s="1"/>
    </row>
    <row r="42" spans="7:17" x14ac:dyDescent="0.25">
      <c r="G42" s="1"/>
      <c r="Q42" s="1"/>
    </row>
    <row r="43" spans="7:17" x14ac:dyDescent="0.25">
      <c r="G43" s="1"/>
      <c r="Q43" s="1"/>
    </row>
    <row r="44" spans="7:17" x14ac:dyDescent="0.25">
      <c r="G44" s="1"/>
      <c r="Q44" s="1"/>
    </row>
    <row r="45" spans="7:17" x14ac:dyDescent="0.25">
      <c r="G45" s="1"/>
      <c r="Q45" s="1"/>
    </row>
    <row r="46" spans="7:17" x14ac:dyDescent="0.25">
      <c r="G46" s="1"/>
      <c r="Q46" s="1"/>
    </row>
    <row r="47" spans="7:17" x14ac:dyDescent="0.25">
      <c r="G47" s="1"/>
      <c r="Q47" s="1"/>
    </row>
    <row r="48" spans="7:17" x14ac:dyDescent="0.25">
      <c r="G48" s="1"/>
      <c r="Q48" s="1"/>
    </row>
    <row r="49" spans="7:17" x14ac:dyDescent="0.25">
      <c r="G49" s="1"/>
      <c r="Q49" s="1"/>
    </row>
    <row r="50" spans="7:17" x14ac:dyDescent="0.25">
      <c r="G50" s="1"/>
      <c r="Q50" s="1"/>
    </row>
    <row r="51" spans="7:17" x14ac:dyDescent="0.25">
      <c r="G51" s="1"/>
      <c r="Q51" s="1"/>
    </row>
    <row r="52" spans="7:17" x14ac:dyDescent="0.25">
      <c r="G52" s="1"/>
      <c r="Q52" s="1"/>
    </row>
    <row r="53" spans="7:17" x14ac:dyDescent="0.25">
      <c r="G53" s="1"/>
      <c r="Q53" s="1"/>
    </row>
    <row r="54" spans="7:17" x14ac:dyDescent="0.25">
      <c r="G54" s="1"/>
      <c r="Q54" s="1"/>
    </row>
    <row r="55" spans="7:17" x14ac:dyDescent="0.25">
      <c r="G55" s="1"/>
      <c r="Q55" s="1"/>
    </row>
    <row r="56" spans="7:17" x14ac:dyDescent="0.25">
      <c r="G56" s="1"/>
      <c r="Q56" s="1"/>
    </row>
    <row r="57" spans="7:17" x14ac:dyDescent="0.25">
      <c r="G57" s="1"/>
      <c r="Q57" s="1"/>
    </row>
    <row r="58" spans="7:17" x14ac:dyDescent="0.25">
      <c r="G58" s="1"/>
      <c r="Q58" s="1"/>
    </row>
    <row r="59" spans="7:17" x14ac:dyDescent="0.25">
      <c r="G59" s="1"/>
      <c r="Q59" s="1"/>
    </row>
    <row r="60" spans="7:17" x14ac:dyDescent="0.25">
      <c r="G60" s="1"/>
      <c r="Q60" s="1"/>
    </row>
    <row r="61" spans="7:17" x14ac:dyDescent="0.25">
      <c r="G61" s="1"/>
      <c r="Q61" s="1"/>
    </row>
    <row r="62" spans="7:17" x14ac:dyDescent="0.25">
      <c r="G62" s="1"/>
      <c r="Q62" s="1"/>
    </row>
    <row r="63" spans="7:17" x14ac:dyDescent="0.25">
      <c r="G63" s="1"/>
      <c r="Q63" s="1"/>
    </row>
    <row r="64" spans="7:17" x14ac:dyDescent="0.25">
      <c r="G64" s="1"/>
      <c r="Q64" s="1"/>
    </row>
    <row r="65" spans="7:17" x14ac:dyDescent="0.25">
      <c r="G65" s="1"/>
      <c r="Q65" s="1"/>
    </row>
    <row r="66" spans="7:17" x14ac:dyDescent="0.25">
      <c r="G66" s="1"/>
      <c r="Q66" s="1"/>
    </row>
    <row r="67" spans="7:17" x14ac:dyDescent="0.25">
      <c r="G67" s="1"/>
      <c r="Q67" s="1"/>
    </row>
    <row r="68" spans="7:17" x14ac:dyDescent="0.25">
      <c r="G68" s="1"/>
      <c r="Q68" s="1"/>
    </row>
    <row r="69" spans="7:17" x14ac:dyDescent="0.25">
      <c r="G69" s="1"/>
      <c r="Q69" s="1"/>
    </row>
    <row r="70" spans="7:17" x14ac:dyDescent="0.25">
      <c r="G70" s="1"/>
      <c r="Q70" s="1"/>
    </row>
    <row r="71" spans="7:17" x14ac:dyDescent="0.25">
      <c r="G71" s="1"/>
      <c r="Q71" s="1"/>
    </row>
    <row r="72" spans="7:17" x14ac:dyDescent="0.25">
      <c r="G72" s="1"/>
      <c r="Q72" s="1"/>
    </row>
    <row r="73" spans="7:17" x14ac:dyDescent="0.25">
      <c r="G73" s="1"/>
      <c r="Q73" s="1"/>
    </row>
    <row r="74" spans="7:17" x14ac:dyDescent="0.25">
      <c r="G74" s="1"/>
      <c r="Q74" s="1"/>
    </row>
    <row r="75" spans="7:17" x14ac:dyDescent="0.25">
      <c r="G75" s="1"/>
      <c r="Q75" s="1"/>
    </row>
    <row r="76" spans="7:17" x14ac:dyDescent="0.25">
      <c r="G76" s="1"/>
      <c r="Q76" s="1"/>
    </row>
    <row r="77" spans="7:17" x14ac:dyDescent="0.25">
      <c r="G77" s="1"/>
      <c r="Q77" s="1"/>
    </row>
    <row r="78" spans="7:17" x14ac:dyDescent="0.25">
      <c r="G78" s="1"/>
      <c r="Q78" s="1"/>
    </row>
    <row r="79" spans="7:17" x14ac:dyDescent="0.25">
      <c r="G79" s="1"/>
      <c r="Q79" s="1"/>
    </row>
    <row r="80" spans="7:17" x14ac:dyDescent="0.25">
      <c r="G80" s="1"/>
      <c r="Q80" s="1"/>
    </row>
    <row r="81" spans="7:17" x14ac:dyDescent="0.25">
      <c r="G81" s="1"/>
      <c r="Q81" s="1"/>
    </row>
    <row r="82" spans="7:17" x14ac:dyDescent="0.25">
      <c r="G82" s="1"/>
      <c r="Q82" s="1"/>
    </row>
    <row r="83" spans="7:17" x14ac:dyDescent="0.25">
      <c r="G83" s="1"/>
      <c r="Q83" s="1"/>
    </row>
    <row r="84" spans="7:17" x14ac:dyDescent="0.25">
      <c r="G84" s="1"/>
      <c r="Q84" s="1"/>
    </row>
    <row r="85" spans="7:17" x14ac:dyDescent="0.25">
      <c r="G85" s="1"/>
      <c r="Q85" s="1"/>
    </row>
    <row r="86" spans="7:17" x14ac:dyDescent="0.25">
      <c r="G86" s="1"/>
      <c r="Q86" s="1"/>
    </row>
    <row r="87" spans="7:17" x14ac:dyDescent="0.25">
      <c r="G87" s="1"/>
      <c r="Q87" s="1"/>
    </row>
    <row r="88" spans="7:17" x14ac:dyDescent="0.25">
      <c r="G88" s="1"/>
      <c r="Q88" s="1"/>
    </row>
    <row r="89" spans="7:17" x14ac:dyDescent="0.25">
      <c r="G89" s="1"/>
      <c r="Q89" s="1"/>
    </row>
    <row r="90" spans="7:17" x14ac:dyDescent="0.25">
      <c r="G90" s="1"/>
      <c r="Q90" s="1"/>
    </row>
    <row r="91" spans="7:17" x14ac:dyDescent="0.25">
      <c r="G91" s="1"/>
      <c r="Q91" s="1"/>
    </row>
    <row r="92" spans="7:17" x14ac:dyDescent="0.25">
      <c r="G92" s="1"/>
      <c r="Q92" s="1"/>
    </row>
    <row r="93" spans="7:17" x14ac:dyDescent="0.25">
      <c r="G93" s="1"/>
      <c r="Q93" s="1"/>
    </row>
    <row r="94" spans="7:17" x14ac:dyDescent="0.25">
      <c r="G94" s="1"/>
      <c r="Q94" s="1"/>
    </row>
    <row r="95" spans="7:17" x14ac:dyDescent="0.25">
      <c r="G95" s="1"/>
      <c r="Q95" s="1"/>
    </row>
    <row r="96" spans="7:17" x14ac:dyDescent="0.25">
      <c r="G96" s="1"/>
      <c r="Q96" s="1"/>
    </row>
    <row r="97" spans="7:17" x14ac:dyDescent="0.25">
      <c r="G97" s="1"/>
      <c r="Q97" s="1"/>
    </row>
    <row r="98" spans="7:17" x14ac:dyDescent="0.25">
      <c r="G98" s="1"/>
      <c r="Q98" s="1"/>
    </row>
    <row r="99" spans="7:17" x14ac:dyDescent="0.25">
      <c r="G99" s="1"/>
      <c r="Q99" s="1"/>
    </row>
    <row r="100" spans="7:17" x14ac:dyDescent="0.25">
      <c r="G100" s="1"/>
      <c r="Q100" s="1"/>
    </row>
    <row r="101" spans="7:17" x14ac:dyDescent="0.25">
      <c r="G101" s="1"/>
      <c r="Q101" s="1"/>
    </row>
    <row r="102" spans="7:17" x14ac:dyDescent="0.25">
      <c r="G102" s="1"/>
      <c r="Q102" s="1"/>
    </row>
    <row r="103" spans="7:17" x14ac:dyDescent="0.25">
      <c r="G103" s="1"/>
      <c r="Q103" s="1"/>
    </row>
    <row r="104" spans="7:17" x14ac:dyDescent="0.25">
      <c r="G104" s="1"/>
      <c r="Q104" s="1"/>
    </row>
    <row r="105" spans="7:17" x14ac:dyDescent="0.25">
      <c r="G105" s="1"/>
      <c r="Q105" s="1"/>
    </row>
    <row r="106" spans="7:17" x14ac:dyDescent="0.25">
      <c r="G106" s="1"/>
      <c r="Q106" s="1"/>
    </row>
    <row r="107" spans="7:17" x14ac:dyDescent="0.25">
      <c r="G107" s="1"/>
      <c r="Q107" s="1"/>
    </row>
    <row r="108" spans="7:17" x14ac:dyDescent="0.25">
      <c r="G108" s="1"/>
      <c r="Q108" s="1"/>
    </row>
    <row r="109" spans="7:17" x14ac:dyDescent="0.25">
      <c r="G109" s="1"/>
      <c r="Q109" s="1"/>
    </row>
    <row r="110" spans="7:17" x14ac:dyDescent="0.25">
      <c r="G110" s="1"/>
      <c r="Q110" s="1"/>
    </row>
    <row r="111" spans="7:17" x14ac:dyDescent="0.25">
      <c r="G111" s="1"/>
      <c r="Q111" s="1"/>
    </row>
    <row r="112" spans="7:17" x14ac:dyDescent="0.25">
      <c r="G112" s="1"/>
      <c r="Q112" s="1"/>
    </row>
    <row r="113" spans="7:17" x14ac:dyDescent="0.25">
      <c r="G113" s="1"/>
      <c r="Q113" s="1"/>
    </row>
    <row r="114" spans="7:17" x14ac:dyDescent="0.25">
      <c r="G114" s="1"/>
      <c r="Q114" s="1"/>
    </row>
    <row r="115" spans="7:17" x14ac:dyDescent="0.25">
      <c r="G115" s="1"/>
      <c r="Q115" s="1"/>
    </row>
    <row r="116" spans="7:17" x14ac:dyDescent="0.25">
      <c r="G116" s="1"/>
      <c r="Q116" s="1"/>
    </row>
    <row r="117" spans="7:17" x14ac:dyDescent="0.25">
      <c r="G117" s="1"/>
      <c r="Q117" s="1"/>
    </row>
    <row r="118" spans="7:17" x14ac:dyDescent="0.25">
      <c r="G118" s="1"/>
      <c r="Q118" s="1"/>
    </row>
    <row r="119" spans="7:17" x14ac:dyDescent="0.25">
      <c r="G119" s="1"/>
      <c r="Q119" s="1"/>
    </row>
    <row r="120" spans="7:17" x14ac:dyDescent="0.25">
      <c r="G120" s="1"/>
      <c r="Q120" s="1"/>
    </row>
    <row r="121" spans="7:17" x14ac:dyDescent="0.25">
      <c r="G121" s="1"/>
      <c r="Q121" s="1"/>
    </row>
    <row r="122" spans="7:17" x14ac:dyDescent="0.25">
      <c r="G122" s="1"/>
      <c r="Q122" s="1"/>
    </row>
    <row r="123" spans="7:17" x14ac:dyDescent="0.25">
      <c r="G123" s="1"/>
      <c r="Q123" s="1"/>
    </row>
    <row r="124" spans="7:17" x14ac:dyDescent="0.25">
      <c r="G124" s="1"/>
      <c r="Q124" s="1"/>
    </row>
    <row r="125" spans="7:17" x14ac:dyDescent="0.25">
      <c r="G125" s="1"/>
      <c r="Q125" s="1"/>
    </row>
    <row r="126" spans="7:17" x14ac:dyDescent="0.25">
      <c r="G126" s="1"/>
      <c r="Q126" s="1"/>
    </row>
    <row r="127" spans="7:17" x14ac:dyDescent="0.25">
      <c r="G127" s="1"/>
      <c r="Q127" s="1"/>
    </row>
    <row r="128" spans="7:17" x14ac:dyDescent="0.25">
      <c r="G128" s="1"/>
      <c r="Q128" s="1"/>
    </row>
    <row r="129" spans="7:17" x14ac:dyDescent="0.25">
      <c r="G129" s="1"/>
      <c r="Q129" s="1"/>
    </row>
    <row r="130" spans="7:17" x14ac:dyDescent="0.25">
      <c r="G130" s="1"/>
      <c r="Q130" s="1"/>
    </row>
    <row r="131" spans="7:17" x14ac:dyDescent="0.25">
      <c r="G131" s="1"/>
      <c r="Q131" s="1"/>
    </row>
    <row r="132" spans="7:17" x14ac:dyDescent="0.25">
      <c r="G132" s="1"/>
      <c r="Q132" s="1"/>
    </row>
    <row r="133" spans="7:17" x14ac:dyDescent="0.25">
      <c r="G133" s="1"/>
      <c r="Q133" s="1"/>
    </row>
    <row r="134" spans="7:17" x14ac:dyDescent="0.25">
      <c r="G134" s="1"/>
      <c r="Q134" s="1"/>
    </row>
    <row r="135" spans="7:17" x14ac:dyDescent="0.25">
      <c r="G135" s="1"/>
      <c r="Q135" s="1"/>
    </row>
    <row r="136" spans="7:17" x14ac:dyDescent="0.25">
      <c r="G136" s="1"/>
      <c r="Q136" s="1"/>
    </row>
    <row r="137" spans="7:17" x14ac:dyDescent="0.25">
      <c r="G137" s="1"/>
      <c r="Q137" s="1"/>
    </row>
    <row r="138" spans="7:17" x14ac:dyDescent="0.25">
      <c r="G138" s="1"/>
      <c r="Q138" s="1"/>
    </row>
    <row r="139" spans="7:17" x14ac:dyDescent="0.25">
      <c r="G139" s="1"/>
      <c r="Q139" s="1"/>
    </row>
    <row r="140" spans="7:17" x14ac:dyDescent="0.25">
      <c r="G140" s="1"/>
      <c r="Q140" s="1"/>
    </row>
    <row r="141" spans="7:17" x14ac:dyDescent="0.25">
      <c r="G141" s="1"/>
      <c r="Q141" s="1"/>
    </row>
    <row r="142" spans="7:17" x14ac:dyDescent="0.25">
      <c r="G142" s="1"/>
      <c r="Q142" s="1"/>
    </row>
    <row r="143" spans="7:17" x14ac:dyDescent="0.25">
      <c r="G143" s="1"/>
      <c r="Q143" s="1"/>
    </row>
    <row r="144" spans="7:17" x14ac:dyDescent="0.25">
      <c r="G144" s="1"/>
      <c r="Q144" s="1"/>
    </row>
    <row r="145" spans="7:17" x14ac:dyDescent="0.25">
      <c r="G145" s="1"/>
      <c r="Q145" s="1"/>
    </row>
    <row r="146" spans="7:17" x14ac:dyDescent="0.25">
      <c r="G146" s="1"/>
      <c r="Q146" s="1"/>
    </row>
    <row r="147" spans="7:17" x14ac:dyDescent="0.25">
      <c r="G147" s="1"/>
      <c r="Q147" s="1"/>
    </row>
    <row r="148" spans="7:17" x14ac:dyDescent="0.25">
      <c r="G148" s="1"/>
      <c r="Q148" s="1"/>
    </row>
    <row r="149" spans="7:17" x14ac:dyDescent="0.25">
      <c r="G149" s="1"/>
      <c r="Q149" s="1"/>
    </row>
    <row r="150" spans="7:17" x14ac:dyDescent="0.25">
      <c r="G150" s="1"/>
      <c r="Q150" s="1"/>
    </row>
    <row r="151" spans="7:17" x14ac:dyDescent="0.25">
      <c r="G151" s="1"/>
      <c r="Q151" s="1"/>
    </row>
    <row r="152" spans="7:17" x14ac:dyDescent="0.25">
      <c r="G152" s="1"/>
      <c r="Q152" s="1"/>
    </row>
    <row r="153" spans="7:17" x14ac:dyDescent="0.25">
      <c r="G153" s="1"/>
      <c r="Q153" s="1"/>
    </row>
    <row r="154" spans="7:17" x14ac:dyDescent="0.25">
      <c r="G154" s="1"/>
      <c r="Q154" s="1"/>
    </row>
    <row r="155" spans="7:17" x14ac:dyDescent="0.25">
      <c r="G155" s="1"/>
      <c r="Q155" s="1"/>
    </row>
    <row r="156" spans="7:17" x14ac:dyDescent="0.25">
      <c r="G156" s="1"/>
      <c r="Q156" s="1"/>
    </row>
    <row r="157" spans="7:17" x14ac:dyDescent="0.25">
      <c r="G157" s="1"/>
      <c r="Q157" s="1"/>
    </row>
    <row r="158" spans="7:17" x14ac:dyDescent="0.25">
      <c r="G158" s="1"/>
      <c r="Q158" s="1"/>
    </row>
    <row r="159" spans="7:17" x14ac:dyDescent="0.25">
      <c r="G159" s="1"/>
      <c r="Q159" s="1"/>
    </row>
    <row r="160" spans="7:17" x14ac:dyDescent="0.25">
      <c r="G160" s="1"/>
      <c r="Q160" s="1"/>
    </row>
    <row r="161" spans="7:17" x14ac:dyDescent="0.25">
      <c r="G161" s="1"/>
      <c r="Q161" s="1"/>
    </row>
    <row r="162" spans="7:17" x14ac:dyDescent="0.25">
      <c r="G162" s="1"/>
      <c r="Q162" s="1"/>
    </row>
    <row r="163" spans="7:17" x14ac:dyDescent="0.25">
      <c r="G163" s="1"/>
      <c r="Q163" s="1"/>
    </row>
    <row r="164" spans="7:17" x14ac:dyDescent="0.25">
      <c r="G164" s="1"/>
      <c r="Q164" s="1"/>
    </row>
    <row r="165" spans="7:17" x14ac:dyDescent="0.25">
      <c r="G165" s="1"/>
      <c r="Q165" s="1"/>
    </row>
    <row r="166" spans="7:17" x14ac:dyDescent="0.25">
      <c r="G166" s="1"/>
      <c r="Q166" s="1"/>
    </row>
    <row r="167" spans="7:17" x14ac:dyDescent="0.25">
      <c r="G167" s="1"/>
      <c r="Q167" s="1"/>
    </row>
    <row r="168" spans="7:17" x14ac:dyDescent="0.25">
      <c r="G168" s="1"/>
      <c r="Q168" s="1"/>
    </row>
    <row r="169" spans="7:17" x14ac:dyDescent="0.25">
      <c r="G169" s="1"/>
      <c r="Q169" s="1"/>
    </row>
    <row r="170" spans="7:17" x14ac:dyDescent="0.25">
      <c r="G170" s="1"/>
      <c r="Q170" s="1"/>
    </row>
    <row r="171" spans="7:17" x14ac:dyDescent="0.25">
      <c r="G171" s="1"/>
      <c r="Q171" s="1"/>
    </row>
    <row r="172" spans="7:17" x14ac:dyDescent="0.25">
      <c r="G172" s="1"/>
      <c r="Q172" s="1"/>
    </row>
    <row r="173" spans="7:17" x14ac:dyDescent="0.25">
      <c r="G173" s="1"/>
      <c r="Q173" s="1"/>
    </row>
    <row r="174" spans="7:17" x14ac:dyDescent="0.25">
      <c r="G174" s="1"/>
      <c r="Q174" s="1"/>
    </row>
    <row r="175" spans="7:17" x14ac:dyDescent="0.25">
      <c r="G175" s="1"/>
      <c r="Q175" s="1"/>
    </row>
    <row r="176" spans="7:17" x14ac:dyDescent="0.25">
      <c r="G176" s="1"/>
      <c r="Q176" s="1"/>
    </row>
    <row r="177" spans="7:17" x14ac:dyDescent="0.25">
      <c r="G177" s="1"/>
      <c r="Q177" s="1"/>
    </row>
    <row r="178" spans="7:17" x14ac:dyDescent="0.25">
      <c r="G178" s="1"/>
      <c r="Q178" s="1"/>
    </row>
    <row r="179" spans="7:17" x14ac:dyDescent="0.25">
      <c r="G179" s="1"/>
      <c r="Q179" s="1"/>
    </row>
    <row r="180" spans="7:17" x14ac:dyDescent="0.25">
      <c r="G180" s="1"/>
      <c r="Q180" s="1"/>
    </row>
    <row r="181" spans="7:17" x14ac:dyDescent="0.25">
      <c r="G181" s="1"/>
      <c r="Q181" s="1"/>
    </row>
    <row r="182" spans="7:17" x14ac:dyDescent="0.25">
      <c r="G182" s="1"/>
      <c r="Q182" s="1"/>
    </row>
    <row r="183" spans="7:17" x14ac:dyDescent="0.25">
      <c r="G183" s="1"/>
      <c r="Q183" s="1"/>
    </row>
    <row r="184" spans="7:17" x14ac:dyDescent="0.25">
      <c r="G184" s="1"/>
      <c r="Q184" s="1"/>
    </row>
    <row r="185" spans="7:17" x14ac:dyDescent="0.25">
      <c r="G185" s="1"/>
      <c r="Q185" s="1"/>
    </row>
    <row r="186" spans="7:17" x14ac:dyDescent="0.25">
      <c r="G186" s="1"/>
      <c r="Q186" s="1"/>
    </row>
    <row r="187" spans="7:17" x14ac:dyDescent="0.25">
      <c r="G187" s="1"/>
      <c r="Q187" s="1"/>
    </row>
    <row r="188" spans="7:17" x14ac:dyDescent="0.25">
      <c r="G188" s="1"/>
      <c r="Q188" s="1"/>
    </row>
    <row r="189" spans="7:17" x14ac:dyDescent="0.25">
      <c r="G189" s="1"/>
      <c r="Q189" s="1"/>
    </row>
    <row r="190" spans="7:17" x14ac:dyDescent="0.25">
      <c r="G190" s="1"/>
      <c r="Q190" s="1"/>
    </row>
    <row r="191" spans="7:17" x14ac:dyDescent="0.25">
      <c r="G191" s="1"/>
      <c r="Q191" s="1"/>
    </row>
    <row r="192" spans="7:17" x14ac:dyDescent="0.25">
      <c r="G192" s="1"/>
      <c r="Q192" s="1"/>
    </row>
    <row r="193" spans="7:17" x14ac:dyDescent="0.25">
      <c r="G193" s="1"/>
      <c r="Q193" s="1"/>
    </row>
    <row r="194" spans="7:17" x14ac:dyDescent="0.25">
      <c r="G194" s="1"/>
      <c r="Q194" s="1"/>
    </row>
    <row r="195" spans="7:17" x14ac:dyDescent="0.25">
      <c r="G195" s="1"/>
      <c r="Q195" s="1"/>
    </row>
    <row r="196" spans="7:17" x14ac:dyDescent="0.25">
      <c r="G196" s="1"/>
      <c r="Q196" s="1"/>
    </row>
    <row r="197" spans="7:17" x14ac:dyDescent="0.25">
      <c r="G197" s="1"/>
      <c r="Q197" s="1"/>
    </row>
    <row r="198" spans="7:17" x14ac:dyDescent="0.25">
      <c r="G198" s="1"/>
      <c r="Q198" s="1"/>
    </row>
    <row r="199" spans="7:17" x14ac:dyDescent="0.25">
      <c r="G199" s="1"/>
      <c r="Q199" s="1"/>
    </row>
    <row r="200" spans="7:17" x14ac:dyDescent="0.25">
      <c r="G200" s="1"/>
      <c r="Q200" s="1"/>
    </row>
    <row r="201" spans="7:17" x14ac:dyDescent="0.25">
      <c r="G201" s="1"/>
      <c r="Q201" s="1"/>
    </row>
    <row r="202" spans="7:17" x14ac:dyDescent="0.25">
      <c r="G202" s="1"/>
      <c r="Q202" s="1"/>
    </row>
    <row r="203" spans="7:17" x14ac:dyDescent="0.25">
      <c r="G203" s="1"/>
      <c r="Q203" s="1"/>
    </row>
    <row r="204" spans="7:17" x14ac:dyDescent="0.25">
      <c r="G204" s="1"/>
      <c r="Q204" s="1"/>
    </row>
    <row r="205" spans="7:17" x14ac:dyDescent="0.25">
      <c r="G205" s="1"/>
      <c r="Q205" s="1"/>
    </row>
    <row r="206" spans="7:17" x14ac:dyDescent="0.25">
      <c r="G206" s="1"/>
      <c r="Q206" s="1"/>
    </row>
    <row r="207" spans="7:17" x14ac:dyDescent="0.25">
      <c r="G207" s="1"/>
      <c r="Q207" s="1"/>
    </row>
    <row r="208" spans="7:17" x14ac:dyDescent="0.25">
      <c r="G208" s="1"/>
      <c r="Q208" s="1"/>
    </row>
    <row r="209" spans="7:17" x14ac:dyDescent="0.25">
      <c r="G209" s="1"/>
      <c r="Q209" s="1"/>
    </row>
    <row r="210" spans="7:17" x14ac:dyDescent="0.25">
      <c r="G210" s="1"/>
      <c r="Q210" s="1"/>
    </row>
    <row r="211" spans="7:17" x14ac:dyDescent="0.25">
      <c r="G211" s="1"/>
      <c r="Q211" s="1"/>
    </row>
    <row r="212" spans="7:17" x14ac:dyDescent="0.25">
      <c r="G212" s="1"/>
      <c r="Q212" s="1"/>
    </row>
    <row r="213" spans="7:17" x14ac:dyDescent="0.25">
      <c r="G213" s="1"/>
      <c r="Q213" s="1"/>
    </row>
    <row r="214" spans="7:17" x14ac:dyDescent="0.25">
      <c r="G214" s="1"/>
      <c r="Q214" s="1"/>
    </row>
    <row r="215" spans="7:17" x14ac:dyDescent="0.25">
      <c r="G215" s="1"/>
      <c r="Q215" s="1"/>
    </row>
    <row r="216" spans="7:17" x14ac:dyDescent="0.25">
      <c r="G216" s="1"/>
      <c r="Q216" s="1"/>
    </row>
    <row r="217" spans="7:17" x14ac:dyDescent="0.25">
      <c r="G217" s="1"/>
      <c r="Q217" s="1"/>
    </row>
    <row r="218" spans="7:17" x14ac:dyDescent="0.25">
      <c r="G218" s="1"/>
      <c r="Q218" s="1"/>
    </row>
    <row r="219" spans="7:17" x14ac:dyDescent="0.25">
      <c r="G219" s="1"/>
      <c r="Q219" s="1"/>
    </row>
    <row r="220" spans="7:17" x14ac:dyDescent="0.25">
      <c r="G220" s="1"/>
      <c r="Q220" s="1"/>
    </row>
    <row r="221" spans="7:17" x14ac:dyDescent="0.25">
      <c r="G221" s="1"/>
      <c r="Q221" s="1"/>
    </row>
    <row r="222" spans="7:17" x14ac:dyDescent="0.25">
      <c r="G222" s="1"/>
      <c r="Q222" s="1"/>
    </row>
    <row r="223" spans="7:17" x14ac:dyDescent="0.25">
      <c r="G223" s="1"/>
      <c r="Q223" s="1"/>
    </row>
    <row r="224" spans="7:17" x14ac:dyDescent="0.25">
      <c r="G224" s="1"/>
      <c r="Q224" s="1"/>
    </row>
    <row r="225" spans="7:17" x14ac:dyDescent="0.25">
      <c r="G225" s="1"/>
      <c r="Q225" s="1"/>
    </row>
    <row r="226" spans="7:17" x14ac:dyDescent="0.25">
      <c r="G226" s="1"/>
      <c r="Q226" s="1"/>
    </row>
    <row r="227" spans="7:17" x14ac:dyDescent="0.25">
      <c r="G227" s="1"/>
      <c r="Q227" s="1"/>
    </row>
    <row r="228" spans="7:17" x14ac:dyDescent="0.25">
      <c r="G228" s="1"/>
      <c r="Q228" s="1"/>
    </row>
    <row r="229" spans="7:17" x14ac:dyDescent="0.25">
      <c r="G229" s="1"/>
      <c r="Q229" s="1"/>
    </row>
    <row r="230" spans="7:17" x14ac:dyDescent="0.25">
      <c r="G230" s="1"/>
      <c r="Q230" s="1"/>
    </row>
    <row r="231" spans="7:17" x14ac:dyDescent="0.25">
      <c r="G231" s="1"/>
      <c r="Q231" s="1"/>
    </row>
    <row r="232" spans="7:17" x14ac:dyDescent="0.25">
      <c r="G232" s="1"/>
      <c r="Q232" s="1"/>
    </row>
    <row r="233" spans="7:17" x14ac:dyDescent="0.25">
      <c r="G233" s="1"/>
      <c r="Q233" s="1"/>
    </row>
    <row r="234" spans="7:17" x14ac:dyDescent="0.25">
      <c r="G234" s="1"/>
      <c r="Q234" s="1"/>
    </row>
    <row r="235" spans="7:17" x14ac:dyDescent="0.25">
      <c r="G235" s="1"/>
      <c r="Q235" s="1"/>
    </row>
    <row r="236" spans="7:17" x14ac:dyDescent="0.25">
      <c r="G236" s="1"/>
      <c r="Q236" s="1"/>
    </row>
    <row r="237" spans="7:17" x14ac:dyDescent="0.25">
      <c r="G237" s="1"/>
      <c r="Q237" s="1"/>
    </row>
    <row r="238" spans="7:17" x14ac:dyDescent="0.25">
      <c r="G238" s="1"/>
      <c r="Q238" s="1"/>
    </row>
    <row r="239" spans="7:17" x14ac:dyDescent="0.25">
      <c r="G239" s="1"/>
      <c r="Q239" s="1"/>
    </row>
    <row r="240" spans="7:17" x14ac:dyDescent="0.25">
      <c r="G240" s="1"/>
      <c r="Q240" s="1"/>
    </row>
    <row r="241" spans="7:17" x14ac:dyDescent="0.25">
      <c r="G241" s="1"/>
      <c r="Q241" s="1"/>
    </row>
    <row r="242" spans="7:17" x14ac:dyDescent="0.25">
      <c r="G242" s="1"/>
      <c r="Q242" s="1"/>
    </row>
    <row r="243" spans="7:17" x14ac:dyDescent="0.25">
      <c r="G243" s="1"/>
      <c r="Q243" s="1"/>
    </row>
    <row r="244" spans="7:17" x14ac:dyDescent="0.25">
      <c r="G244" s="1"/>
      <c r="Q244" s="1"/>
    </row>
    <row r="245" spans="7:17" x14ac:dyDescent="0.25">
      <c r="G245" s="1"/>
      <c r="Q245" s="1"/>
    </row>
    <row r="246" spans="7:17" x14ac:dyDescent="0.25">
      <c r="G246" s="1"/>
      <c r="Q246" s="1"/>
    </row>
    <row r="247" spans="7:17" x14ac:dyDescent="0.25">
      <c r="G247" s="1"/>
      <c r="Q247" s="1"/>
    </row>
    <row r="248" spans="7:17" x14ac:dyDescent="0.25">
      <c r="G248" s="1"/>
      <c r="Q248" s="1"/>
    </row>
    <row r="249" spans="7:17" x14ac:dyDescent="0.25">
      <c r="G249" s="1"/>
      <c r="Q249" s="1"/>
    </row>
    <row r="250" spans="7:17" x14ac:dyDescent="0.25">
      <c r="G250" s="1"/>
      <c r="Q250" s="1"/>
    </row>
    <row r="251" spans="7:17" x14ac:dyDescent="0.25">
      <c r="G251" s="1"/>
      <c r="Q251" s="1"/>
    </row>
    <row r="252" spans="7:17" x14ac:dyDescent="0.25">
      <c r="G252" s="1"/>
      <c r="Q252" s="1"/>
    </row>
    <row r="253" spans="7:17" x14ac:dyDescent="0.25">
      <c r="G253" s="1"/>
      <c r="Q253" s="1"/>
    </row>
    <row r="254" spans="7:17" x14ac:dyDescent="0.25">
      <c r="G254" s="1"/>
      <c r="Q254" s="1"/>
    </row>
    <row r="255" spans="7:17" x14ac:dyDescent="0.25">
      <c r="G255" s="1"/>
      <c r="Q255" s="1"/>
    </row>
    <row r="256" spans="7:17" x14ac:dyDescent="0.25">
      <c r="G256" s="1"/>
      <c r="Q256" s="1"/>
    </row>
    <row r="257" spans="7:17" x14ac:dyDescent="0.25">
      <c r="G257" s="1"/>
      <c r="Q257" s="1"/>
    </row>
    <row r="258" spans="7:17" x14ac:dyDescent="0.25">
      <c r="G258" s="1"/>
      <c r="Q258" s="1"/>
    </row>
    <row r="259" spans="7:17" x14ac:dyDescent="0.25">
      <c r="G259" s="1"/>
      <c r="Q259" s="1"/>
    </row>
    <row r="260" spans="7:17" x14ac:dyDescent="0.25">
      <c r="G260" s="1"/>
      <c r="Q260" s="1"/>
    </row>
    <row r="261" spans="7:17" x14ac:dyDescent="0.25">
      <c r="G261" s="1"/>
      <c r="Q261" s="1"/>
    </row>
    <row r="262" spans="7:17" x14ac:dyDescent="0.25">
      <c r="G262" s="1"/>
      <c r="Q262" s="1"/>
    </row>
    <row r="263" spans="7:17" x14ac:dyDescent="0.25">
      <c r="G263" s="1"/>
      <c r="Q263" s="1"/>
    </row>
    <row r="264" spans="7:17" x14ac:dyDescent="0.25">
      <c r="G264" s="1"/>
      <c r="Q264" s="1"/>
    </row>
    <row r="265" spans="7:17" x14ac:dyDescent="0.25">
      <c r="G265" s="1"/>
      <c r="Q265" s="1"/>
    </row>
    <row r="266" spans="7:17" x14ac:dyDescent="0.25">
      <c r="G266" s="1"/>
      <c r="Q266" s="1"/>
    </row>
    <row r="267" spans="7:17" x14ac:dyDescent="0.25">
      <c r="G267" s="1"/>
      <c r="Q267" s="1"/>
    </row>
    <row r="268" spans="7:17" x14ac:dyDescent="0.25">
      <c r="G268" s="1"/>
      <c r="Q268" s="1"/>
    </row>
    <row r="269" spans="7:17" x14ac:dyDescent="0.25">
      <c r="G269" s="1"/>
      <c r="Q269" s="1"/>
    </row>
    <row r="270" spans="7:17" x14ac:dyDescent="0.25">
      <c r="G270" s="1"/>
      <c r="Q270" s="1"/>
    </row>
    <row r="271" spans="7:17" x14ac:dyDescent="0.25">
      <c r="G271" s="1"/>
      <c r="Q271" s="1"/>
    </row>
    <row r="272" spans="7:17" x14ac:dyDescent="0.25">
      <c r="G272" s="1"/>
      <c r="Q272" s="1"/>
    </row>
    <row r="273" spans="7:17" x14ac:dyDescent="0.25">
      <c r="G273" s="1"/>
      <c r="Q273" s="1"/>
    </row>
    <row r="274" spans="7:17" x14ac:dyDescent="0.25">
      <c r="G274" s="1"/>
      <c r="Q274" s="1"/>
    </row>
    <row r="275" spans="7:17" x14ac:dyDescent="0.25">
      <c r="G275" s="1"/>
      <c r="Q275" s="1"/>
    </row>
    <row r="276" spans="7:17" x14ac:dyDescent="0.25">
      <c r="G276" s="1"/>
      <c r="Q276" s="1"/>
    </row>
    <row r="277" spans="7:17" x14ac:dyDescent="0.25">
      <c r="G277" s="1"/>
      <c r="Q277" s="1"/>
    </row>
    <row r="278" spans="7:17" x14ac:dyDescent="0.25">
      <c r="G278" s="1"/>
      <c r="Q278" s="1"/>
    </row>
    <row r="279" spans="7:17" x14ac:dyDescent="0.25">
      <c r="G279" s="1"/>
      <c r="Q279" s="1"/>
    </row>
    <row r="280" spans="7:17" x14ac:dyDescent="0.25">
      <c r="G280" s="1"/>
      <c r="Q280" s="1"/>
    </row>
    <row r="281" spans="7:17" x14ac:dyDescent="0.25">
      <c r="G281" s="1"/>
      <c r="Q281" s="1"/>
    </row>
    <row r="282" spans="7:17" x14ac:dyDescent="0.25">
      <c r="G282" s="1"/>
      <c r="Q282" s="1"/>
    </row>
    <row r="283" spans="7:17" x14ac:dyDescent="0.25">
      <c r="G283" s="1"/>
      <c r="Q283" s="1"/>
    </row>
    <row r="284" spans="7:17" x14ac:dyDescent="0.25">
      <c r="G284" s="1"/>
      <c r="Q284" s="1"/>
    </row>
    <row r="285" spans="7:17" x14ac:dyDescent="0.25">
      <c r="G285" s="1"/>
      <c r="Q285" s="1"/>
    </row>
    <row r="286" spans="7:17" x14ac:dyDescent="0.25">
      <c r="G286" s="1"/>
      <c r="Q286" s="1"/>
    </row>
    <row r="287" spans="7:17" x14ac:dyDescent="0.25">
      <c r="G287" s="1"/>
      <c r="Q287" s="1"/>
    </row>
    <row r="288" spans="7:17" x14ac:dyDescent="0.25">
      <c r="G288" s="1"/>
      <c r="Q288" s="1"/>
    </row>
    <row r="289" spans="7:17" x14ac:dyDescent="0.25">
      <c r="G289" s="1"/>
      <c r="Q289" s="1"/>
    </row>
    <row r="290" spans="7:17" x14ac:dyDescent="0.25">
      <c r="G290" s="1"/>
      <c r="Q290" s="1"/>
    </row>
    <row r="291" spans="7:17" x14ac:dyDescent="0.25">
      <c r="G291" s="1"/>
      <c r="Q291" s="1"/>
    </row>
    <row r="292" spans="7:17" x14ac:dyDescent="0.25">
      <c r="G292" s="1"/>
      <c r="Q292" s="1"/>
    </row>
    <row r="293" spans="7:17" x14ac:dyDescent="0.25">
      <c r="G293" s="1"/>
      <c r="Q293" s="1"/>
    </row>
    <row r="294" spans="7:17" x14ac:dyDescent="0.25">
      <c r="G294" s="1"/>
      <c r="Q294" s="1"/>
    </row>
    <row r="295" spans="7:17" x14ac:dyDescent="0.25">
      <c r="G295" s="1"/>
      <c r="Q295" s="1"/>
    </row>
    <row r="296" spans="7:17" x14ac:dyDescent="0.25">
      <c r="G296" s="1"/>
      <c r="Q296" s="1"/>
    </row>
    <row r="297" spans="7:17" x14ac:dyDescent="0.25">
      <c r="G297" s="1"/>
      <c r="Q297" s="1"/>
    </row>
    <row r="298" spans="7:17" x14ac:dyDescent="0.25">
      <c r="G298" s="1"/>
      <c r="Q298" s="1"/>
    </row>
    <row r="299" spans="7:17" x14ac:dyDescent="0.25">
      <c r="G299" s="1"/>
      <c r="Q299" s="1"/>
    </row>
    <row r="300" spans="7:17" x14ac:dyDescent="0.25">
      <c r="G300" s="1"/>
      <c r="Q300" s="1"/>
    </row>
    <row r="301" spans="7:17" x14ac:dyDescent="0.25">
      <c r="G301" s="1"/>
      <c r="Q301" s="1"/>
    </row>
    <row r="302" spans="7:17" x14ac:dyDescent="0.25">
      <c r="G302" s="1"/>
      <c r="Q302" s="1"/>
    </row>
    <row r="303" spans="7:17" x14ac:dyDescent="0.25">
      <c r="G303" s="1"/>
      <c r="Q303" s="1"/>
    </row>
    <row r="304" spans="7:17" x14ac:dyDescent="0.25">
      <c r="G304" s="1"/>
      <c r="Q304" s="1"/>
    </row>
    <row r="305" spans="7:17" x14ac:dyDescent="0.25">
      <c r="G305" s="1"/>
      <c r="Q305" s="1"/>
    </row>
    <row r="306" spans="7:17" x14ac:dyDescent="0.25">
      <c r="G306" s="1"/>
      <c r="Q306" s="1"/>
    </row>
    <row r="307" spans="7:17" x14ac:dyDescent="0.25">
      <c r="G307" s="1"/>
      <c r="Q307" s="1"/>
    </row>
    <row r="308" spans="7:17" x14ac:dyDescent="0.25">
      <c r="G308" s="1"/>
      <c r="Q308" s="1"/>
    </row>
    <row r="309" spans="7:17" x14ac:dyDescent="0.25">
      <c r="G309" s="1"/>
      <c r="Q309" s="1"/>
    </row>
    <row r="310" spans="7:17" x14ac:dyDescent="0.25">
      <c r="G310" s="1"/>
      <c r="Q310" s="1"/>
    </row>
    <row r="311" spans="7:17" x14ac:dyDescent="0.25">
      <c r="G311" s="1"/>
      <c r="Q311" s="1"/>
    </row>
    <row r="312" spans="7:17" x14ac:dyDescent="0.25">
      <c r="G312" s="1"/>
      <c r="Q312" s="1"/>
    </row>
    <row r="313" spans="7:17" x14ac:dyDescent="0.25">
      <c r="G313" s="1"/>
      <c r="Q313" s="1"/>
    </row>
    <row r="314" spans="7:17" x14ac:dyDescent="0.25">
      <c r="G314" s="1"/>
      <c r="Q314" s="1"/>
    </row>
    <row r="315" spans="7:17" x14ac:dyDescent="0.25">
      <c r="G315" s="1"/>
      <c r="Q315" s="1"/>
    </row>
    <row r="316" spans="7:17" x14ac:dyDescent="0.25">
      <c r="G316" s="1"/>
      <c r="Q316" s="1"/>
    </row>
    <row r="317" spans="7:17" x14ac:dyDescent="0.25">
      <c r="G317" s="1"/>
      <c r="Q317" s="1"/>
    </row>
    <row r="318" spans="7:17" x14ac:dyDescent="0.25">
      <c r="G318" s="1"/>
      <c r="Q318" s="1"/>
    </row>
    <row r="319" spans="7:17" x14ac:dyDescent="0.25">
      <c r="G319" s="1"/>
      <c r="Q319" s="1"/>
    </row>
    <row r="320" spans="7:17" x14ac:dyDescent="0.25">
      <c r="G320" s="1"/>
      <c r="Q320" s="1"/>
    </row>
    <row r="321" spans="7:17" x14ac:dyDescent="0.25">
      <c r="G321" s="1"/>
      <c r="Q321" s="1"/>
    </row>
    <row r="322" spans="7:17" x14ac:dyDescent="0.25">
      <c r="G322" s="1"/>
      <c r="Q322" s="1"/>
    </row>
    <row r="323" spans="7:17" x14ac:dyDescent="0.25">
      <c r="G323" s="1"/>
      <c r="Q323" s="1"/>
    </row>
    <row r="324" spans="7:17" x14ac:dyDescent="0.25">
      <c r="G324" s="1"/>
      <c r="Q324" s="1"/>
    </row>
    <row r="325" spans="7:17" x14ac:dyDescent="0.25">
      <c r="G325" s="1"/>
      <c r="Q325" s="1"/>
    </row>
    <row r="326" spans="7:17" x14ac:dyDescent="0.25">
      <c r="G326" s="1"/>
      <c r="Q326" s="1"/>
    </row>
    <row r="327" spans="7:17" x14ac:dyDescent="0.25">
      <c r="G327" s="1"/>
      <c r="Q327" s="1"/>
    </row>
    <row r="328" spans="7:17" x14ac:dyDescent="0.25">
      <c r="G328" s="1"/>
      <c r="Q328" s="1"/>
    </row>
    <row r="329" spans="7:17" x14ac:dyDescent="0.25">
      <c r="G329" s="1"/>
      <c r="Q329" s="1"/>
    </row>
    <row r="330" spans="7:17" x14ac:dyDescent="0.25">
      <c r="G330" s="1"/>
      <c r="Q330" s="1"/>
    </row>
    <row r="331" spans="7:17" x14ac:dyDescent="0.25">
      <c r="G331" s="1"/>
      <c r="Q331" s="1"/>
    </row>
    <row r="332" spans="7:17" x14ac:dyDescent="0.25">
      <c r="G332" s="1"/>
      <c r="Q332" s="1"/>
    </row>
    <row r="333" spans="7:17" x14ac:dyDescent="0.25">
      <c r="G333" s="1"/>
      <c r="Q333" s="1"/>
    </row>
    <row r="334" spans="7:17" x14ac:dyDescent="0.25">
      <c r="G334" s="1"/>
      <c r="Q334" s="1"/>
    </row>
    <row r="335" spans="7:17" x14ac:dyDescent="0.25">
      <c r="G335" s="1"/>
      <c r="Q335" s="1"/>
    </row>
    <row r="336" spans="7:17" x14ac:dyDescent="0.25">
      <c r="G336" s="1"/>
      <c r="Q336" s="1"/>
    </row>
    <row r="337" spans="7:17" x14ac:dyDescent="0.25">
      <c r="G337" s="1"/>
      <c r="Q337" s="1"/>
    </row>
    <row r="338" spans="7:17" x14ac:dyDescent="0.25">
      <c r="G338" s="1"/>
      <c r="Q338" s="1"/>
    </row>
    <row r="339" spans="7:17" x14ac:dyDescent="0.25">
      <c r="G339" s="1"/>
      <c r="Q339" s="1"/>
    </row>
    <row r="340" spans="7:17" x14ac:dyDescent="0.25">
      <c r="G340" s="1"/>
      <c r="Q340" s="1"/>
    </row>
    <row r="341" spans="7:17" x14ac:dyDescent="0.25">
      <c r="G341" s="1"/>
      <c r="Q341" s="1"/>
    </row>
    <row r="342" spans="7:17" x14ac:dyDescent="0.25">
      <c r="G342" s="1"/>
      <c r="Q342" s="1"/>
    </row>
    <row r="343" spans="7:17" x14ac:dyDescent="0.25">
      <c r="G343" s="1"/>
      <c r="Q343" s="1"/>
    </row>
    <row r="344" spans="7:17" x14ac:dyDescent="0.25">
      <c r="G344" s="1"/>
      <c r="Q344" s="1"/>
    </row>
    <row r="345" spans="7:17" x14ac:dyDescent="0.25">
      <c r="G345" s="1"/>
      <c r="Q345" s="1"/>
    </row>
    <row r="346" spans="7:17" x14ac:dyDescent="0.25">
      <c r="G346" s="1"/>
      <c r="Q346" s="1"/>
    </row>
    <row r="347" spans="7:17" x14ac:dyDescent="0.25">
      <c r="G347" s="1"/>
      <c r="Q347" s="1"/>
    </row>
    <row r="348" spans="7:17" x14ac:dyDescent="0.25">
      <c r="G348" s="1"/>
      <c r="Q348" s="1"/>
    </row>
    <row r="349" spans="7:17" x14ac:dyDescent="0.25">
      <c r="G349" s="1"/>
      <c r="Q349" s="1"/>
    </row>
    <row r="350" spans="7:17" x14ac:dyDescent="0.25">
      <c r="G350" s="1"/>
      <c r="Q350" s="1"/>
    </row>
    <row r="351" spans="7:17" x14ac:dyDescent="0.25">
      <c r="G351" s="1"/>
      <c r="Q351" s="1"/>
    </row>
    <row r="352" spans="7:17" x14ac:dyDescent="0.25">
      <c r="G352" s="1"/>
      <c r="Q352" s="1"/>
    </row>
    <row r="353" spans="7:17" x14ac:dyDescent="0.25">
      <c r="G353" s="1"/>
      <c r="Q353" s="1"/>
    </row>
    <row r="354" spans="7:17" x14ac:dyDescent="0.25">
      <c r="G354" s="1"/>
      <c r="Q354" s="1"/>
    </row>
    <row r="355" spans="7:17" x14ac:dyDescent="0.25">
      <c r="G355" s="1"/>
      <c r="Q355" s="1"/>
    </row>
    <row r="356" spans="7:17" x14ac:dyDescent="0.25">
      <c r="G356" s="1"/>
      <c r="Q356" s="1"/>
    </row>
    <row r="357" spans="7:17" x14ac:dyDescent="0.25">
      <c r="G357" s="1"/>
      <c r="Q357" s="1"/>
    </row>
    <row r="358" spans="7:17" x14ac:dyDescent="0.25">
      <c r="G358" s="1"/>
      <c r="Q358" s="1"/>
    </row>
    <row r="359" spans="7:17" x14ac:dyDescent="0.25">
      <c r="G359" s="1"/>
      <c r="Q359" s="1"/>
    </row>
    <row r="360" spans="7:17" x14ac:dyDescent="0.25">
      <c r="G360" s="1"/>
      <c r="Q360" s="1"/>
    </row>
    <row r="361" spans="7:17" x14ac:dyDescent="0.25">
      <c r="G361" s="1"/>
      <c r="Q361" s="1"/>
    </row>
    <row r="362" spans="7:17" x14ac:dyDescent="0.25">
      <c r="G362" s="1"/>
      <c r="Q362" s="1"/>
    </row>
    <row r="363" spans="7:17" x14ac:dyDescent="0.25">
      <c r="G363" s="1"/>
      <c r="Q363" s="1"/>
    </row>
    <row r="364" spans="7:17" x14ac:dyDescent="0.25">
      <c r="G364" s="1"/>
      <c r="Q364" s="1"/>
    </row>
    <row r="365" spans="7:17" x14ac:dyDescent="0.25">
      <c r="G365" s="1"/>
      <c r="Q365" s="1"/>
    </row>
    <row r="366" spans="7:17" x14ac:dyDescent="0.25">
      <c r="G366" s="1"/>
      <c r="Q366" s="1"/>
    </row>
    <row r="367" spans="7:17" x14ac:dyDescent="0.25">
      <c r="G367" s="1"/>
      <c r="Q367" s="1"/>
    </row>
    <row r="368" spans="7:17" x14ac:dyDescent="0.25">
      <c r="G368" s="1"/>
      <c r="Q368" s="1"/>
    </row>
    <row r="369" spans="7:17" x14ac:dyDescent="0.25">
      <c r="G369" s="1"/>
      <c r="Q369" s="1"/>
    </row>
    <row r="370" spans="7:17" x14ac:dyDescent="0.25">
      <c r="G370" s="1"/>
      <c r="Q370" s="1"/>
    </row>
    <row r="371" spans="7:17" x14ac:dyDescent="0.25">
      <c r="G371" s="1"/>
      <c r="Q371" s="1"/>
    </row>
    <row r="372" spans="7:17" x14ac:dyDescent="0.25">
      <c r="G372" s="1"/>
      <c r="Q372" s="1"/>
    </row>
    <row r="373" spans="7:17" x14ac:dyDescent="0.25">
      <c r="G373" s="1"/>
      <c r="Q373" s="1"/>
    </row>
    <row r="374" spans="7:17" x14ac:dyDescent="0.25">
      <c r="G374" s="1"/>
      <c r="Q374" s="1"/>
    </row>
    <row r="375" spans="7:17" x14ac:dyDescent="0.25">
      <c r="G375" s="1"/>
      <c r="Q375" s="1"/>
    </row>
    <row r="376" spans="7:17" x14ac:dyDescent="0.25">
      <c r="G376" s="1"/>
      <c r="Q376" s="1"/>
    </row>
    <row r="377" spans="7:17" x14ac:dyDescent="0.25">
      <c r="G377" s="1"/>
      <c r="Q377" s="1"/>
    </row>
    <row r="378" spans="7:17" x14ac:dyDescent="0.25">
      <c r="G378" s="1"/>
      <c r="Q378" s="1"/>
    </row>
    <row r="379" spans="7:17" x14ac:dyDescent="0.25">
      <c r="G379" s="1"/>
      <c r="Q379" s="1"/>
    </row>
    <row r="380" spans="7:17" x14ac:dyDescent="0.25">
      <c r="G380" s="1"/>
      <c r="Q380" s="1"/>
    </row>
    <row r="381" spans="7:17" x14ac:dyDescent="0.25">
      <c r="G381" s="1"/>
      <c r="Q381" s="1"/>
    </row>
    <row r="382" spans="7:17" x14ac:dyDescent="0.25">
      <c r="G382" s="1"/>
      <c r="Q382" s="1"/>
    </row>
    <row r="383" spans="7:17" x14ac:dyDescent="0.25">
      <c r="G383" s="1"/>
      <c r="Q383" s="1"/>
    </row>
    <row r="384" spans="7:17" x14ac:dyDescent="0.25">
      <c r="G384" s="1"/>
      <c r="Q384" s="1"/>
    </row>
    <row r="385" spans="7:17" x14ac:dyDescent="0.25">
      <c r="G385" s="1"/>
      <c r="Q385" s="1"/>
    </row>
    <row r="386" spans="7:17" x14ac:dyDescent="0.25">
      <c r="G386" s="1"/>
      <c r="Q386" s="1"/>
    </row>
    <row r="387" spans="7:17" x14ac:dyDescent="0.25">
      <c r="G387" s="1"/>
      <c r="Q387" s="1"/>
    </row>
    <row r="388" spans="7:17" x14ac:dyDescent="0.25">
      <c r="G388" s="1"/>
      <c r="Q388" s="1"/>
    </row>
    <row r="389" spans="7:17" x14ac:dyDescent="0.25">
      <c r="G389" s="1"/>
      <c r="Q389" s="1"/>
    </row>
    <row r="390" spans="7:17" x14ac:dyDescent="0.25">
      <c r="G390" s="1"/>
      <c r="Q390" s="1"/>
    </row>
    <row r="391" spans="7:17" x14ac:dyDescent="0.25">
      <c r="G391" s="1"/>
      <c r="Q391" s="1"/>
    </row>
    <row r="392" spans="7:17" x14ac:dyDescent="0.25">
      <c r="G392" s="1"/>
      <c r="Q392" s="1"/>
    </row>
    <row r="393" spans="7:17" x14ac:dyDescent="0.25">
      <c r="G393" s="1"/>
      <c r="Q393" s="1"/>
    </row>
    <row r="394" spans="7:17" x14ac:dyDescent="0.25">
      <c r="G394" s="1"/>
      <c r="Q394" s="1"/>
    </row>
    <row r="395" spans="7:17" x14ac:dyDescent="0.25">
      <c r="G395" s="1"/>
      <c r="Q395" s="1"/>
    </row>
    <row r="396" spans="7:17" x14ac:dyDescent="0.25">
      <c r="G396" s="1"/>
      <c r="Q396" s="1"/>
    </row>
    <row r="397" spans="7:17" x14ac:dyDescent="0.25">
      <c r="G397" s="1"/>
      <c r="Q397" s="1"/>
    </row>
    <row r="398" spans="7:17" x14ac:dyDescent="0.25">
      <c r="G398" s="1"/>
      <c r="Q398" s="1"/>
    </row>
    <row r="399" spans="7:17" x14ac:dyDescent="0.25">
      <c r="G399" s="1"/>
      <c r="Q399" s="1"/>
    </row>
    <row r="400" spans="7:17" x14ac:dyDescent="0.25">
      <c r="G400" s="1"/>
      <c r="Q400" s="1"/>
    </row>
    <row r="401" spans="7:17" x14ac:dyDescent="0.25">
      <c r="G401" s="1"/>
      <c r="Q401" s="1"/>
    </row>
    <row r="402" spans="7:17" x14ac:dyDescent="0.25">
      <c r="G402" s="1"/>
      <c r="Q402" s="1"/>
    </row>
    <row r="403" spans="7:17" x14ac:dyDescent="0.25">
      <c r="G403" s="1"/>
      <c r="Q403" s="1"/>
    </row>
    <row r="404" spans="7:17" x14ac:dyDescent="0.25">
      <c r="G404" s="1"/>
      <c r="Q404" s="1"/>
    </row>
    <row r="405" spans="7:17" x14ac:dyDescent="0.25">
      <c r="G405" s="1"/>
      <c r="Q405" s="1"/>
    </row>
    <row r="406" spans="7:17" x14ac:dyDescent="0.25">
      <c r="G406" s="1"/>
      <c r="Q406" s="1"/>
    </row>
    <row r="407" spans="7:17" x14ac:dyDescent="0.25">
      <c r="G407" s="1"/>
      <c r="Q407" s="1"/>
    </row>
    <row r="408" spans="7:17" x14ac:dyDescent="0.25">
      <c r="G408" s="1"/>
      <c r="Q408" s="1"/>
    </row>
    <row r="409" spans="7:17" x14ac:dyDescent="0.25">
      <c r="G409" s="1"/>
      <c r="Q409" s="1"/>
    </row>
    <row r="410" spans="7:17" x14ac:dyDescent="0.25">
      <c r="G410" s="1"/>
      <c r="Q410" s="1"/>
    </row>
    <row r="411" spans="7:17" x14ac:dyDescent="0.25">
      <c r="G411" s="1"/>
      <c r="Q411" s="1"/>
    </row>
    <row r="412" spans="7:17" x14ac:dyDescent="0.25">
      <c r="G412" s="1"/>
      <c r="Q412" s="1"/>
    </row>
    <row r="413" spans="7:17" x14ac:dyDescent="0.25">
      <c r="G413" s="1"/>
      <c r="Q413" s="1"/>
    </row>
    <row r="414" spans="7:17" x14ac:dyDescent="0.25">
      <c r="G414" s="1"/>
      <c r="Q414" s="1"/>
    </row>
    <row r="415" spans="7:17" x14ac:dyDescent="0.25">
      <c r="G415" s="1"/>
      <c r="Q415" s="1"/>
    </row>
    <row r="416" spans="7:17" x14ac:dyDescent="0.25">
      <c r="G416" s="1"/>
      <c r="Q416" s="1"/>
    </row>
    <row r="417" spans="7:17" x14ac:dyDescent="0.25">
      <c r="G417" s="1"/>
      <c r="Q417" s="1"/>
    </row>
    <row r="418" spans="7:17" x14ac:dyDescent="0.25">
      <c r="G418" s="1"/>
      <c r="Q418" s="1"/>
    </row>
    <row r="419" spans="7:17" x14ac:dyDescent="0.25">
      <c r="G419" s="1"/>
      <c r="Q419" s="1"/>
    </row>
    <row r="420" spans="7:17" x14ac:dyDescent="0.25">
      <c r="G420" s="1"/>
      <c r="Q420" s="1"/>
    </row>
    <row r="421" spans="7:17" x14ac:dyDescent="0.25">
      <c r="G421" s="1"/>
      <c r="Q421" s="1"/>
    </row>
    <row r="422" spans="7:17" x14ac:dyDescent="0.25">
      <c r="G422" s="1"/>
      <c r="Q422" s="1"/>
    </row>
    <row r="423" spans="7:17" x14ac:dyDescent="0.25">
      <c r="G423" s="1"/>
      <c r="Q423" s="1"/>
    </row>
    <row r="424" spans="7:17" x14ac:dyDescent="0.25">
      <c r="G424" s="1"/>
      <c r="Q424" s="1"/>
    </row>
    <row r="425" spans="7:17" x14ac:dyDescent="0.25">
      <c r="G425" s="1"/>
      <c r="Q425" s="1"/>
    </row>
    <row r="426" spans="7:17" x14ac:dyDescent="0.25">
      <c r="G426" s="1"/>
      <c r="Q426" s="1"/>
    </row>
    <row r="427" spans="7:17" x14ac:dyDescent="0.25">
      <c r="G427" s="1"/>
      <c r="Q427" s="1"/>
    </row>
    <row r="428" spans="7:17" x14ac:dyDescent="0.25">
      <c r="G428" s="1"/>
      <c r="Q428" s="1"/>
    </row>
    <row r="429" spans="7:17" x14ac:dyDescent="0.25">
      <c r="G429" s="1"/>
      <c r="Q429" s="1"/>
    </row>
    <row r="430" spans="7:17" x14ac:dyDescent="0.25">
      <c r="G430" s="1"/>
      <c r="Q430" s="1"/>
    </row>
    <row r="431" spans="7:17" x14ac:dyDescent="0.25">
      <c r="G431" s="1"/>
      <c r="Q431" s="1"/>
    </row>
    <row r="432" spans="7:17" x14ac:dyDescent="0.25">
      <c r="G432" s="1"/>
      <c r="Q432" s="1"/>
    </row>
    <row r="433" spans="7:17" x14ac:dyDescent="0.25">
      <c r="G433" s="1"/>
      <c r="Q433" s="1"/>
    </row>
    <row r="434" spans="7:17" x14ac:dyDescent="0.25">
      <c r="G434" s="1"/>
      <c r="Q434" s="1"/>
    </row>
    <row r="435" spans="7:17" x14ac:dyDescent="0.25">
      <c r="G435" s="1"/>
      <c r="Q435" s="1"/>
    </row>
    <row r="436" spans="7:17" x14ac:dyDescent="0.25">
      <c r="G436" s="1"/>
      <c r="Q436" s="1"/>
    </row>
    <row r="437" spans="7:17" x14ac:dyDescent="0.25">
      <c r="G437" s="1"/>
      <c r="Q437" s="1"/>
    </row>
    <row r="438" spans="7:17" x14ac:dyDescent="0.25">
      <c r="G438" s="1"/>
      <c r="Q438" s="1"/>
    </row>
    <row r="439" spans="7:17" x14ac:dyDescent="0.25">
      <c r="G439" s="1"/>
      <c r="Q439" s="1"/>
    </row>
    <row r="440" spans="7:17" x14ac:dyDescent="0.25">
      <c r="G440" s="1"/>
      <c r="Q440" s="1"/>
    </row>
    <row r="441" spans="7:17" x14ac:dyDescent="0.25">
      <c r="G441" s="1"/>
      <c r="Q441" s="1"/>
    </row>
    <row r="442" spans="7:17" x14ac:dyDescent="0.25">
      <c r="G442" s="1"/>
      <c r="Q442" s="1"/>
    </row>
    <row r="443" spans="7:17" x14ac:dyDescent="0.25">
      <c r="G443" s="1"/>
      <c r="Q443" s="1"/>
    </row>
    <row r="444" spans="7:17" x14ac:dyDescent="0.25">
      <c r="G444" s="1"/>
      <c r="Q444" s="1"/>
    </row>
    <row r="445" spans="7:17" x14ac:dyDescent="0.25">
      <c r="G445" s="1"/>
      <c r="Q445" s="1"/>
    </row>
    <row r="446" spans="7:17" x14ac:dyDescent="0.25">
      <c r="G446" s="1"/>
      <c r="Q446" s="1"/>
    </row>
    <row r="447" spans="7:17" x14ac:dyDescent="0.25">
      <c r="G447" s="1"/>
      <c r="Q447" s="1"/>
    </row>
    <row r="448" spans="7:17" x14ac:dyDescent="0.25">
      <c r="G448" s="1"/>
      <c r="Q448" s="1"/>
    </row>
    <row r="449" spans="7:17" x14ac:dyDescent="0.25">
      <c r="G449" s="1"/>
      <c r="Q449" s="1"/>
    </row>
    <row r="450" spans="7:17" x14ac:dyDescent="0.25">
      <c r="G450" s="1"/>
      <c r="Q450" s="1"/>
    </row>
    <row r="451" spans="7:17" x14ac:dyDescent="0.25">
      <c r="G451" s="1"/>
      <c r="Q451" s="1"/>
    </row>
    <row r="452" spans="7:17" x14ac:dyDescent="0.25">
      <c r="G452" s="1"/>
      <c r="Q452" s="1"/>
    </row>
    <row r="453" spans="7:17" x14ac:dyDescent="0.25">
      <c r="G453" s="1"/>
      <c r="Q453" s="1"/>
    </row>
    <row r="454" spans="7:17" x14ac:dyDescent="0.25">
      <c r="G454" s="1"/>
      <c r="Q454" s="1"/>
    </row>
    <row r="455" spans="7:17" x14ac:dyDescent="0.25">
      <c r="G455" s="1"/>
      <c r="Q455" s="1"/>
    </row>
    <row r="456" spans="7:17" x14ac:dyDescent="0.25">
      <c r="G456" s="1"/>
      <c r="Q456" s="1"/>
    </row>
    <row r="457" spans="7:17" x14ac:dyDescent="0.25">
      <c r="G457" s="1"/>
      <c r="Q457" s="1"/>
    </row>
    <row r="458" spans="7:17" x14ac:dyDescent="0.25">
      <c r="G458" s="1"/>
      <c r="Q458" s="1"/>
    </row>
    <row r="459" spans="7:17" x14ac:dyDescent="0.25">
      <c r="G459" s="1"/>
      <c r="Q459" s="1"/>
    </row>
    <row r="460" spans="7:17" x14ac:dyDescent="0.25">
      <c r="G460" s="1"/>
      <c r="Q460" s="1"/>
    </row>
    <row r="461" spans="7:17" x14ac:dyDescent="0.25">
      <c r="G461" s="1"/>
      <c r="Q461" s="1"/>
    </row>
    <row r="462" spans="7:17" x14ac:dyDescent="0.25">
      <c r="G462" s="1"/>
      <c r="Q462" s="1"/>
    </row>
    <row r="463" spans="7:17" x14ac:dyDescent="0.25">
      <c r="G463" s="1"/>
      <c r="Q463" s="1"/>
    </row>
    <row r="464" spans="7:17" x14ac:dyDescent="0.25">
      <c r="G464" s="1"/>
      <c r="Q464" s="1"/>
    </row>
    <row r="465" spans="7:17" x14ac:dyDescent="0.25">
      <c r="G465" s="1"/>
      <c r="Q465" s="1"/>
    </row>
    <row r="466" spans="7:17" x14ac:dyDescent="0.25">
      <c r="G466" s="1"/>
      <c r="Q466" s="1"/>
    </row>
    <row r="467" spans="7:17" x14ac:dyDescent="0.25">
      <c r="G467" s="1"/>
      <c r="Q467" s="1"/>
    </row>
    <row r="468" spans="7:17" x14ac:dyDescent="0.25">
      <c r="G468" s="1"/>
      <c r="Q468" s="1"/>
    </row>
    <row r="469" spans="7:17" x14ac:dyDescent="0.25">
      <c r="G469" s="1"/>
      <c r="Q469" s="1"/>
    </row>
    <row r="470" spans="7:17" x14ac:dyDescent="0.25">
      <c r="G470" s="1"/>
      <c r="Q470" s="1"/>
    </row>
    <row r="471" spans="7:17" x14ac:dyDescent="0.25">
      <c r="G471" s="1"/>
      <c r="Q471" s="1"/>
    </row>
    <row r="472" spans="7:17" x14ac:dyDescent="0.25">
      <c r="G472" s="1"/>
      <c r="Q472" s="1"/>
    </row>
    <row r="473" spans="7:17" x14ac:dyDescent="0.25">
      <c r="G473" s="1"/>
      <c r="Q473" s="1"/>
    </row>
    <row r="474" spans="7:17" x14ac:dyDescent="0.25">
      <c r="G474" s="1"/>
      <c r="Q474" s="1"/>
    </row>
    <row r="475" spans="7:17" x14ac:dyDescent="0.25">
      <c r="G475" s="1"/>
      <c r="Q475" s="1"/>
    </row>
    <row r="476" spans="7:17" x14ac:dyDescent="0.25">
      <c r="G476" s="1"/>
      <c r="Q476" s="1"/>
    </row>
    <row r="477" spans="7:17" x14ac:dyDescent="0.25">
      <c r="G477" s="1"/>
      <c r="Q477" s="1"/>
    </row>
    <row r="478" spans="7:17" x14ac:dyDescent="0.25">
      <c r="G478" s="1"/>
      <c r="Q478" s="1"/>
    </row>
    <row r="479" spans="7:17" x14ac:dyDescent="0.25">
      <c r="G479" s="1"/>
      <c r="Q479" s="1"/>
    </row>
    <row r="480" spans="7:17" x14ac:dyDescent="0.25">
      <c r="G480" s="1"/>
      <c r="Q480" s="1"/>
    </row>
    <row r="481" spans="7:17" x14ac:dyDescent="0.25">
      <c r="G481" s="1"/>
      <c r="Q481" s="1"/>
    </row>
    <row r="482" spans="7:17" x14ac:dyDescent="0.25">
      <c r="G482" s="1"/>
      <c r="Q482" s="1"/>
    </row>
    <row r="483" spans="7:17" x14ac:dyDescent="0.25">
      <c r="G483" s="1"/>
      <c r="Q483" s="1"/>
    </row>
    <row r="484" spans="7:17" x14ac:dyDescent="0.25">
      <c r="G484" s="1"/>
      <c r="Q484" s="1"/>
    </row>
    <row r="485" spans="7:17" x14ac:dyDescent="0.25">
      <c r="G485" s="1"/>
      <c r="Q485" s="1"/>
    </row>
    <row r="486" spans="7:17" x14ac:dyDescent="0.25">
      <c r="G486" s="1"/>
      <c r="Q486" s="1"/>
    </row>
    <row r="487" spans="7:17" x14ac:dyDescent="0.25">
      <c r="G487" s="1"/>
      <c r="Q487" s="1"/>
    </row>
    <row r="488" spans="7:17" x14ac:dyDescent="0.25">
      <c r="G488" s="1"/>
      <c r="Q488" s="1"/>
    </row>
    <row r="489" spans="7:17" x14ac:dyDescent="0.25">
      <c r="G489" s="1"/>
      <c r="Q489" s="1"/>
    </row>
    <row r="490" spans="7:17" x14ac:dyDescent="0.25">
      <c r="G490" s="1"/>
      <c r="Q490" s="1"/>
    </row>
    <row r="491" spans="7:17" x14ac:dyDescent="0.25">
      <c r="G491" s="1"/>
      <c r="Q491" s="1"/>
    </row>
    <row r="492" spans="7:17" x14ac:dyDescent="0.25">
      <c r="G492" s="1"/>
      <c r="Q492" s="1"/>
    </row>
    <row r="493" spans="7:17" x14ac:dyDescent="0.25">
      <c r="G493" s="1"/>
      <c r="Q493" s="1"/>
    </row>
    <row r="494" spans="7:17" x14ac:dyDescent="0.25">
      <c r="G494" s="1"/>
      <c r="Q494" s="1"/>
    </row>
    <row r="495" spans="7:17" x14ac:dyDescent="0.25">
      <c r="G495" s="1"/>
      <c r="Q495" s="1"/>
    </row>
    <row r="496" spans="7:17" x14ac:dyDescent="0.25">
      <c r="G496" s="1"/>
      <c r="Q496" s="1"/>
    </row>
    <row r="497" spans="7:17" x14ac:dyDescent="0.25">
      <c r="G497" s="1"/>
      <c r="Q497" s="1"/>
    </row>
    <row r="498" spans="7:17" x14ac:dyDescent="0.25">
      <c r="G498" s="1"/>
      <c r="Q498" s="1"/>
    </row>
    <row r="499" spans="7:17" x14ac:dyDescent="0.25">
      <c r="G499" s="1"/>
      <c r="Q499" s="1"/>
    </row>
    <row r="500" spans="7:17" x14ac:dyDescent="0.25">
      <c r="G500" s="1"/>
      <c r="Q500" s="1"/>
    </row>
    <row r="501" spans="7:17" x14ac:dyDescent="0.25">
      <c r="G501" s="1"/>
      <c r="Q501" s="1"/>
    </row>
    <row r="502" spans="7:17" x14ac:dyDescent="0.25">
      <c r="G502" s="1"/>
      <c r="Q502" s="1"/>
    </row>
    <row r="503" spans="7:17" x14ac:dyDescent="0.25">
      <c r="G503" s="1"/>
      <c r="Q503" s="1"/>
    </row>
    <row r="504" spans="7:17" x14ac:dyDescent="0.25">
      <c r="G504" s="1"/>
      <c r="Q504" s="1"/>
    </row>
    <row r="505" spans="7:17" x14ac:dyDescent="0.25">
      <c r="G505" s="1"/>
      <c r="Q505" s="1"/>
    </row>
    <row r="506" spans="7:17" x14ac:dyDescent="0.25">
      <c r="G506" s="1"/>
      <c r="Q506" s="1"/>
    </row>
    <row r="507" spans="7:17" x14ac:dyDescent="0.25">
      <c r="G507" s="1"/>
      <c r="Q507" s="1"/>
    </row>
    <row r="508" spans="7:17" x14ac:dyDescent="0.25">
      <c r="G508" s="1"/>
      <c r="Q508" s="1"/>
    </row>
    <row r="509" spans="7:17" x14ac:dyDescent="0.25">
      <c r="G509" s="1"/>
      <c r="Q509" s="1"/>
    </row>
    <row r="510" spans="7:17" x14ac:dyDescent="0.25">
      <c r="G510" s="1"/>
      <c r="Q510" s="1"/>
    </row>
    <row r="511" spans="7:17" x14ac:dyDescent="0.25">
      <c r="G511" s="1"/>
      <c r="Q511" s="1"/>
    </row>
    <row r="512" spans="7:17" x14ac:dyDescent="0.25">
      <c r="G512" s="1"/>
      <c r="Q512" s="1"/>
    </row>
    <row r="513" spans="7:17" x14ac:dyDescent="0.25">
      <c r="G513" s="1"/>
      <c r="Q513" s="1"/>
    </row>
    <row r="514" spans="7:17" x14ac:dyDescent="0.25">
      <c r="G514" s="1"/>
      <c r="Q514" s="1"/>
    </row>
    <row r="515" spans="7:17" x14ac:dyDescent="0.25">
      <c r="G515" s="1"/>
      <c r="Q515" s="1"/>
    </row>
    <row r="516" spans="7:17" x14ac:dyDescent="0.25">
      <c r="G516" s="1"/>
      <c r="Q516" s="1"/>
    </row>
    <row r="517" spans="7:17" x14ac:dyDescent="0.25">
      <c r="G517" s="1"/>
      <c r="Q517" s="1"/>
    </row>
    <row r="518" spans="7:17" x14ac:dyDescent="0.25">
      <c r="G518" s="1"/>
      <c r="Q518" s="1"/>
    </row>
    <row r="519" spans="7:17" x14ac:dyDescent="0.25">
      <c r="G519" s="1"/>
      <c r="Q519" s="1"/>
    </row>
    <row r="520" spans="7:17" x14ac:dyDescent="0.25">
      <c r="G520" s="1"/>
      <c r="Q520" s="1"/>
    </row>
    <row r="521" spans="7:17" x14ac:dyDescent="0.25">
      <c r="G521" s="1"/>
      <c r="Q521" s="1"/>
    </row>
    <row r="522" spans="7:17" x14ac:dyDescent="0.25">
      <c r="G522" s="1"/>
      <c r="Q522" s="1"/>
    </row>
    <row r="523" spans="7:17" x14ac:dyDescent="0.25">
      <c r="G523" s="1"/>
      <c r="Q523" s="1"/>
    </row>
    <row r="524" spans="7:17" x14ac:dyDescent="0.25">
      <c r="G524" s="1"/>
      <c r="Q524" s="1"/>
    </row>
    <row r="525" spans="7:17" x14ac:dyDescent="0.25">
      <c r="G525" s="1"/>
      <c r="Q525" s="1"/>
    </row>
    <row r="526" spans="7:17" x14ac:dyDescent="0.25">
      <c r="G526" s="1"/>
      <c r="Q526" s="1"/>
    </row>
    <row r="527" spans="7:17" x14ac:dyDescent="0.25">
      <c r="G527" s="1"/>
      <c r="Q527" s="1"/>
    </row>
    <row r="528" spans="7:17" x14ac:dyDescent="0.25">
      <c r="G528" s="1"/>
      <c r="Q528" s="1"/>
    </row>
    <row r="529" spans="7:17" x14ac:dyDescent="0.25">
      <c r="G529" s="1"/>
      <c r="Q529" s="1"/>
    </row>
    <row r="530" spans="7:17" x14ac:dyDescent="0.25">
      <c r="G530" s="1"/>
      <c r="Q530" s="1"/>
    </row>
    <row r="531" spans="7:17" x14ac:dyDescent="0.25">
      <c r="G531" s="1"/>
      <c r="Q531" s="1"/>
    </row>
    <row r="532" spans="7:17" x14ac:dyDescent="0.25">
      <c r="G532" s="1"/>
      <c r="Q532" s="1"/>
    </row>
    <row r="533" spans="7:17" x14ac:dyDescent="0.25">
      <c r="G533" s="1"/>
      <c r="Q533" s="1"/>
    </row>
    <row r="534" spans="7:17" x14ac:dyDescent="0.25">
      <c r="G534" s="1"/>
      <c r="Q534" s="1"/>
    </row>
    <row r="535" spans="7:17" x14ac:dyDescent="0.25">
      <c r="G535" s="1"/>
      <c r="Q535" s="1"/>
    </row>
    <row r="536" spans="7:17" x14ac:dyDescent="0.25">
      <c r="G536" s="1"/>
      <c r="Q536" s="1"/>
    </row>
    <row r="537" spans="7:17" x14ac:dyDescent="0.25">
      <c r="G537" s="1"/>
      <c r="Q537" s="1"/>
    </row>
    <row r="538" spans="7:17" x14ac:dyDescent="0.25">
      <c r="G538" s="1"/>
      <c r="Q538" s="1"/>
    </row>
    <row r="539" spans="7:17" x14ac:dyDescent="0.25">
      <c r="G539" s="1"/>
      <c r="Q539" s="1"/>
    </row>
    <row r="540" spans="7:17" x14ac:dyDescent="0.25">
      <c r="G540" s="1"/>
      <c r="Q540" s="1"/>
    </row>
    <row r="541" spans="7:17" x14ac:dyDescent="0.25">
      <c r="G541" s="1"/>
      <c r="Q541" s="1"/>
    </row>
    <row r="542" spans="7:17" x14ac:dyDescent="0.25">
      <c r="G542" s="1"/>
      <c r="Q542" s="1"/>
    </row>
    <row r="543" spans="7:17" x14ac:dyDescent="0.25">
      <c r="G543" s="1"/>
      <c r="Q543" s="1"/>
    </row>
    <row r="544" spans="7:17" x14ac:dyDescent="0.25">
      <c r="G544" s="1"/>
      <c r="Q544" s="1"/>
    </row>
    <row r="545" spans="7:17" x14ac:dyDescent="0.25">
      <c r="G545" s="1"/>
      <c r="Q545" s="1"/>
    </row>
    <row r="546" spans="7:17" x14ac:dyDescent="0.25">
      <c r="G546" s="1"/>
      <c r="Q546" s="1"/>
    </row>
    <row r="547" spans="7:17" x14ac:dyDescent="0.25">
      <c r="G547" s="1"/>
      <c r="Q547" s="1"/>
    </row>
    <row r="548" spans="7:17" x14ac:dyDescent="0.25">
      <c r="G548" s="1"/>
      <c r="Q548" s="1"/>
    </row>
    <row r="549" spans="7:17" x14ac:dyDescent="0.25">
      <c r="G549" s="1"/>
      <c r="Q549" s="1"/>
    </row>
    <row r="550" spans="7:17" x14ac:dyDescent="0.25">
      <c r="G550" s="1"/>
      <c r="Q550" s="1"/>
    </row>
    <row r="551" spans="7:17" x14ac:dyDescent="0.25">
      <c r="G551" s="1"/>
      <c r="Q551" s="1"/>
    </row>
    <row r="552" spans="7:17" x14ac:dyDescent="0.25">
      <c r="G552" s="1"/>
      <c r="Q552" s="1"/>
    </row>
    <row r="553" spans="7:17" x14ac:dyDescent="0.25">
      <c r="G553" s="1"/>
      <c r="Q553" s="1"/>
    </row>
    <row r="554" spans="7:17" x14ac:dyDescent="0.25">
      <c r="G554" s="1"/>
      <c r="Q554" s="1"/>
    </row>
    <row r="555" spans="7:17" x14ac:dyDescent="0.25">
      <c r="G555" s="1"/>
      <c r="Q555" s="1"/>
    </row>
    <row r="556" spans="7:17" x14ac:dyDescent="0.25">
      <c r="G556" s="1"/>
      <c r="Q556" s="1"/>
    </row>
    <row r="557" spans="7:17" x14ac:dyDescent="0.25">
      <c r="G557" s="1"/>
      <c r="Q557" s="1"/>
    </row>
    <row r="558" spans="7:17" x14ac:dyDescent="0.25">
      <c r="G558" s="1"/>
      <c r="Q558" s="1"/>
    </row>
    <row r="559" spans="7:17" x14ac:dyDescent="0.25">
      <c r="G559" s="1"/>
      <c r="Q559" s="1"/>
    </row>
    <row r="560" spans="7:17" x14ac:dyDescent="0.25">
      <c r="G560" s="1"/>
      <c r="Q560" s="1"/>
    </row>
    <row r="561" spans="7:17" x14ac:dyDescent="0.25">
      <c r="G561" s="1"/>
      <c r="Q561" s="1"/>
    </row>
    <row r="562" spans="7:17" x14ac:dyDescent="0.25">
      <c r="G562" s="1"/>
      <c r="Q562" s="1"/>
    </row>
    <row r="563" spans="7:17" x14ac:dyDescent="0.25">
      <c r="G563" s="1"/>
      <c r="Q563" s="1"/>
    </row>
    <row r="564" spans="7:17" x14ac:dyDescent="0.25">
      <c r="G564" s="1"/>
      <c r="Q564" s="1"/>
    </row>
    <row r="565" spans="7:17" x14ac:dyDescent="0.25">
      <c r="G565" s="1"/>
      <c r="Q565" s="1"/>
    </row>
    <row r="566" spans="7:17" x14ac:dyDescent="0.25">
      <c r="G566" s="1"/>
      <c r="Q566" s="1"/>
    </row>
    <row r="567" spans="7:17" x14ac:dyDescent="0.25">
      <c r="G567" s="1"/>
      <c r="Q567" s="1"/>
    </row>
    <row r="568" spans="7:17" x14ac:dyDescent="0.25">
      <c r="G568" s="1"/>
      <c r="Q568" s="1"/>
    </row>
    <row r="569" spans="7:17" x14ac:dyDescent="0.25">
      <c r="G569" s="1"/>
      <c r="Q569" s="1"/>
    </row>
    <row r="570" spans="7:17" x14ac:dyDescent="0.25">
      <c r="G570" s="1"/>
      <c r="Q570" s="1"/>
    </row>
    <row r="571" spans="7:17" x14ac:dyDescent="0.25">
      <c r="G571" s="1"/>
      <c r="Q571" s="1"/>
    </row>
    <row r="572" spans="7:17" x14ac:dyDescent="0.25">
      <c r="G572" s="1"/>
      <c r="Q572" s="1"/>
    </row>
    <row r="573" spans="7:17" x14ac:dyDescent="0.25">
      <c r="G573" s="1"/>
      <c r="Q573" s="1"/>
    </row>
    <row r="574" spans="7:17" x14ac:dyDescent="0.25">
      <c r="G574" s="1"/>
      <c r="Q574" s="1"/>
    </row>
    <row r="575" spans="7:17" x14ac:dyDescent="0.25">
      <c r="G575" s="1"/>
      <c r="Q575" s="1"/>
    </row>
    <row r="576" spans="7:17" x14ac:dyDescent="0.25">
      <c r="G576" s="1"/>
      <c r="Q576" s="1"/>
    </row>
    <row r="577" spans="7:17" x14ac:dyDescent="0.25">
      <c r="G577" s="1"/>
      <c r="Q577" s="1"/>
    </row>
    <row r="578" spans="7:17" x14ac:dyDescent="0.25">
      <c r="G578" s="1"/>
      <c r="Q578" s="1"/>
    </row>
    <row r="579" spans="7:17" x14ac:dyDescent="0.25">
      <c r="G579" s="1"/>
      <c r="Q579" s="1"/>
    </row>
    <row r="580" spans="7:17" x14ac:dyDescent="0.25">
      <c r="G580" s="1"/>
      <c r="Q580" s="1"/>
    </row>
    <row r="581" spans="7:17" x14ac:dyDescent="0.25">
      <c r="G581" s="1"/>
      <c r="Q581" s="1"/>
    </row>
    <row r="582" spans="7:17" x14ac:dyDescent="0.25">
      <c r="G582" s="1"/>
      <c r="Q582" s="1"/>
    </row>
    <row r="583" spans="7:17" x14ac:dyDescent="0.25">
      <c r="G583" s="1"/>
      <c r="Q583" s="1"/>
    </row>
    <row r="584" spans="7:17" x14ac:dyDescent="0.25">
      <c r="G584" s="1"/>
      <c r="Q584" s="1"/>
    </row>
    <row r="585" spans="7:17" x14ac:dyDescent="0.25">
      <c r="G585" s="1"/>
      <c r="Q585" s="1"/>
    </row>
    <row r="586" spans="7:17" x14ac:dyDescent="0.25">
      <c r="G586" s="1"/>
      <c r="Q586" s="1"/>
    </row>
    <row r="587" spans="7:17" x14ac:dyDescent="0.25">
      <c r="G587" s="1"/>
      <c r="Q587" s="1"/>
    </row>
    <row r="588" spans="7:17" x14ac:dyDescent="0.25">
      <c r="G588" s="1"/>
      <c r="Q588" s="1"/>
    </row>
    <row r="589" spans="7:17" x14ac:dyDescent="0.25">
      <c r="G589" s="1"/>
      <c r="Q589" s="1"/>
    </row>
    <row r="590" spans="7:17" x14ac:dyDescent="0.25">
      <c r="G590" s="1"/>
      <c r="Q590" s="1"/>
    </row>
    <row r="591" spans="7:17" x14ac:dyDescent="0.25">
      <c r="G591" s="1"/>
      <c r="Q591" s="1"/>
    </row>
    <row r="592" spans="7:17" x14ac:dyDescent="0.25">
      <c r="G592" s="1"/>
      <c r="Q592" s="1"/>
    </row>
    <row r="593" spans="7:17" x14ac:dyDescent="0.25">
      <c r="G593" s="1"/>
      <c r="Q593" s="1"/>
    </row>
    <row r="594" spans="7:17" x14ac:dyDescent="0.25">
      <c r="G594" s="1"/>
      <c r="Q594" s="1"/>
    </row>
    <row r="595" spans="7:17" x14ac:dyDescent="0.25">
      <c r="G595" s="1"/>
      <c r="Q595" s="1"/>
    </row>
    <row r="596" spans="7:17" x14ac:dyDescent="0.25">
      <c r="G596" s="1"/>
      <c r="Q596" s="1"/>
    </row>
    <row r="597" spans="7:17" x14ac:dyDescent="0.25">
      <c r="G597" s="1"/>
    </row>
    <row r="598" spans="7:17" x14ac:dyDescent="0.25">
      <c r="G598" s="1"/>
    </row>
    <row r="599" spans="7:17" x14ac:dyDescent="0.25">
      <c r="G599" s="1"/>
    </row>
    <row r="600" spans="7:17" x14ac:dyDescent="0.25">
      <c r="G600" s="1"/>
    </row>
    <row r="601" spans="7:17" x14ac:dyDescent="0.25">
      <c r="G601" s="1"/>
    </row>
    <row r="602" spans="7:17" x14ac:dyDescent="0.25">
      <c r="G602" s="1"/>
    </row>
    <row r="603" spans="7:17" x14ac:dyDescent="0.25">
      <c r="G603" s="1"/>
    </row>
    <row r="604" spans="7:17" x14ac:dyDescent="0.25">
      <c r="G604" s="1"/>
    </row>
    <row r="605" spans="7:17" x14ac:dyDescent="0.25">
      <c r="G605" s="1"/>
    </row>
    <row r="606" spans="7:17" x14ac:dyDescent="0.25">
      <c r="G606" s="1"/>
    </row>
    <row r="607" spans="7:17" x14ac:dyDescent="0.25">
      <c r="G607" s="1"/>
    </row>
    <row r="608" spans="7:1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</sheetData>
  <sortState ref="J2:Q594">
    <sortCondition ref="L2:L59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sqref="A1:O1"/>
    </sheetView>
  </sheetViews>
  <sheetFormatPr defaultRowHeight="15" x14ac:dyDescent="0.25"/>
  <cols>
    <col min="11" max="11" width="10.7109375" bestFit="1" customWidth="1"/>
  </cols>
  <sheetData>
    <row r="1" spans="1:16" ht="15.75" x14ac:dyDescent="0.25">
      <c r="A1" s="14" t="s">
        <v>13</v>
      </c>
      <c r="B1" s="14" t="s">
        <v>14</v>
      </c>
      <c r="C1" s="14" t="s">
        <v>15</v>
      </c>
      <c r="D1" s="14" t="s">
        <v>12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8</v>
      </c>
      <c r="J1" s="14" t="s">
        <v>5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5"/>
    </row>
    <row r="2" spans="1:16" ht="15.75" x14ac:dyDescent="0.25">
      <c r="A2" s="14" t="s">
        <v>25</v>
      </c>
      <c r="B2" s="14" t="s">
        <v>26</v>
      </c>
      <c r="C2" s="14" t="s">
        <v>26</v>
      </c>
      <c r="D2" s="14" t="s">
        <v>25</v>
      </c>
      <c r="E2" s="14" t="s">
        <v>27</v>
      </c>
      <c r="F2" s="14" t="s">
        <v>28</v>
      </c>
      <c r="G2" s="14" t="s">
        <v>29</v>
      </c>
      <c r="H2" s="14" t="s">
        <v>30</v>
      </c>
      <c r="I2" s="14" t="s">
        <v>31</v>
      </c>
      <c r="J2" s="16">
        <v>57</v>
      </c>
      <c r="K2" s="17">
        <v>23388</v>
      </c>
      <c r="L2" s="16">
        <v>20000</v>
      </c>
      <c r="M2" s="15"/>
      <c r="N2" s="15"/>
      <c r="O2" s="18" t="s">
        <v>32</v>
      </c>
      <c r="P2" s="15"/>
    </row>
    <row r="3" spans="1:16" ht="30" x14ac:dyDescent="0.25">
      <c r="A3" s="18" t="s">
        <v>25</v>
      </c>
      <c r="B3" s="18" t="s">
        <v>26</v>
      </c>
      <c r="C3" s="18" t="s">
        <v>26</v>
      </c>
      <c r="D3" s="18" t="s">
        <v>25</v>
      </c>
      <c r="E3" s="18" t="s">
        <v>33</v>
      </c>
      <c r="F3" s="18" t="s">
        <v>34</v>
      </c>
      <c r="G3" s="18" t="s">
        <v>35</v>
      </c>
      <c r="H3" s="18" t="s">
        <v>30</v>
      </c>
      <c r="I3" s="18" t="s">
        <v>31</v>
      </c>
      <c r="J3" s="19">
        <v>69</v>
      </c>
      <c r="K3" s="20">
        <v>18964</v>
      </c>
      <c r="L3" s="19">
        <v>5000</v>
      </c>
      <c r="M3" s="15"/>
      <c r="N3" s="15"/>
      <c r="O3" s="39" t="s">
        <v>36</v>
      </c>
      <c r="P3" s="39"/>
    </row>
    <row r="4" spans="1:16" ht="45" x14ac:dyDescent="0.25">
      <c r="A4" s="18" t="s">
        <v>25</v>
      </c>
      <c r="B4" s="18" t="s">
        <v>26</v>
      </c>
      <c r="C4" s="18" t="s">
        <v>0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42</v>
      </c>
      <c r="J4" s="19">
        <v>70</v>
      </c>
      <c r="K4" s="20">
        <v>18389</v>
      </c>
      <c r="L4" s="19">
        <v>34180</v>
      </c>
      <c r="M4" s="15"/>
      <c r="N4" s="15"/>
      <c r="O4" s="39" t="s">
        <v>43</v>
      </c>
      <c r="P4" s="39"/>
    </row>
    <row r="5" spans="1:16" ht="30" x14ac:dyDescent="0.25">
      <c r="A5" s="18" t="s">
        <v>25</v>
      </c>
      <c r="B5" s="18" t="s">
        <v>26</v>
      </c>
      <c r="C5" s="18" t="s">
        <v>0</v>
      </c>
      <c r="D5" s="18" t="s">
        <v>44</v>
      </c>
      <c r="E5" s="18" t="s">
        <v>45</v>
      </c>
      <c r="F5" s="18" t="s">
        <v>28</v>
      </c>
      <c r="G5" s="18" t="s">
        <v>46</v>
      </c>
      <c r="H5" s="18" t="s">
        <v>30</v>
      </c>
      <c r="I5" s="18" t="s">
        <v>47</v>
      </c>
      <c r="J5" s="19">
        <v>62</v>
      </c>
      <c r="K5" s="20">
        <v>21731</v>
      </c>
      <c r="L5" s="19">
        <v>1800</v>
      </c>
      <c r="M5" s="15"/>
      <c r="N5" s="15"/>
      <c r="O5" s="15"/>
      <c r="P5" s="15"/>
    </row>
    <row r="6" spans="1:16" ht="15.75" x14ac:dyDescent="0.25">
      <c r="A6" s="18" t="s">
        <v>25</v>
      </c>
      <c r="B6" s="18" t="s">
        <v>26</v>
      </c>
      <c r="C6" s="18" t="s">
        <v>0</v>
      </c>
      <c r="D6" s="18" t="s">
        <v>48</v>
      </c>
      <c r="E6" s="18" t="s">
        <v>49</v>
      </c>
      <c r="F6" s="18" t="s">
        <v>50</v>
      </c>
      <c r="G6" s="18" t="s">
        <v>51</v>
      </c>
      <c r="H6" s="18" t="s">
        <v>41</v>
      </c>
      <c r="I6" s="18" t="s">
        <v>52</v>
      </c>
      <c r="J6" s="19">
        <v>68</v>
      </c>
      <c r="K6" s="20">
        <v>19177</v>
      </c>
      <c r="L6" s="19">
        <v>7509</v>
      </c>
      <c r="M6" s="15"/>
      <c r="N6" s="15"/>
      <c r="O6" s="19">
        <v>10024</v>
      </c>
      <c r="P6" s="15"/>
    </row>
    <row r="7" spans="1:16" ht="15.75" x14ac:dyDescent="0.25">
      <c r="A7" s="18" t="s">
        <v>25</v>
      </c>
      <c r="B7" s="18" t="s">
        <v>26</v>
      </c>
      <c r="C7" s="18" t="s">
        <v>0</v>
      </c>
      <c r="D7" s="18" t="s">
        <v>53</v>
      </c>
      <c r="E7" s="18" t="s">
        <v>54</v>
      </c>
      <c r="F7" s="18" t="s">
        <v>55</v>
      </c>
      <c r="G7" s="18" t="s">
        <v>56</v>
      </c>
      <c r="H7" s="18" t="s">
        <v>41</v>
      </c>
      <c r="I7" s="18" t="s">
        <v>57</v>
      </c>
      <c r="J7" s="19">
        <v>65</v>
      </c>
      <c r="K7" s="20">
        <v>20390</v>
      </c>
      <c r="L7" s="15"/>
      <c r="M7" s="15"/>
      <c r="N7" s="15"/>
      <c r="O7" s="15"/>
      <c r="P7" s="15"/>
    </row>
    <row r="8" spans="1:16" ht="30" x14ac:dyDescent="0.25">
      <c r="A8" s="18" t="s">
        <v>25</v>
      </c>
      <c r="B8" s="18" t="s">
        <v>26</v>
      </c>
      <c r="C8" s="18" t="s">
        <v>0</v>
      </c>
      <c r="D8" s="18" t="s">
        <v>58</v>
      </c>
      <c r="E8" s="18" t="s">
        <v>59</v>
      </c>
      <c r="F8" s="18" t="s">
        <v>60</v>
      </c>
      <c r="G8" s="18" t="s">
        <v>61</v>
      </c>
      <c r="H8" s="18" t="s">
        <v>30</v>
      </c>
      <c r="I8" s="18"/>
      <c r="J8" s="19">
        <v>64</v>
      </c>
      <c r="K8" s="20">
        <v>20743</v>
      </c>
      <c r="L8" s="15"/>
      <c r="M8" s="15"/>
      <c r="N8" s="15"/>
      <c r="O8" s="15"/>
      <c r="P8" s="15"/>
    </row>
    <row r="9" spans="1:16" ht="15.75" x14ac:dyDescent="0.25">
      <c r="A9" s="18" t="s">
        <v>25</v>
      </c>
      <c r="B9" s="18" t="s">
        <v>26</v>
      </c>
      <c r="C9" s="18" t="s">
        <v>0</v>
      </c>
      <c r="D9" s="18" t="s">
        <v>58</v>
      </c>
      <c r="E9" s="18" t="s">
        <v>62</v>
      </c>
      <c r="F9" s="18" t="s">
        <v>63</v>
      </c>
      <c r="G9" s="18" t="s">
        <v>64</v>
      </c>
      <c r="H9" s="18" t="s">
        <v>30</v>
      </c>
      <c r="I9" s="15"/>
      <c r="J9" s="19">
        <v>76</v>
      </c>
      <c r="K9" s="20">
        <v>16253</v>
      </c>
      <c r="L9" s="15"/>
      <c r="M9" s="15"/>
      <c r="N9" s="15"/>
      <c r="O9" s="15"/>
      <c r="P9" s="15"/>
    </row>
    <row r="10" spans="1:16" ht="30" x14ac:dyDescent="0.25">
      <c r="A10" s="18" t="s">
        <v>25</v>
      </c>
      <c r="B10" s="18" t="s">
        <v>26</v>
      </c>
      <c r="C10" s="18" t="s">
        <v>0</v>
      </c>
      <c r="D10" s="18" t="s">
        <v>58</v>
      </c>
      <c r="E10" s="18" t="s">
        <v>65</v>
      </c>
      <c r="F10" s="18" t="s">
        <v>66</v>
      </c>
      <c r="G10" s="18" t="s">
        <v>67</v>
      </c>
      <c r="H10" s="18" t="s">
        <v>41</v>
      </c>
      <c r="I10" s="18" t="s">
        <v>31</v>
      </c>
      <c r="J10" s="19">
        <v>64</v>
      </c>
      <c r="K10" s="20">
        <v>19905</v>
      </c>
      <c r="L10" s="15"/>
      <c r="M10" s="15"/>
      <c r="N10" s="15"/>
      <c r="O10" s="15"/>
      <c r="P10" s="15"/>
    </row>
    <row r="11" spans="1:16" ht="15.75" x14ac:dyDescent="0.25">
      <c r="A11" s="18" t="s">
        <v>25</v>
      </c>
      <c r="B11" s="18" t="s">
        <v>26</v>
      </c>
      <c r="C11" s="18" t="s">
        <v>0</v>
      </c>
      <c r="D11" s="15"/>
      <c r="E11" s="18" t="s">
        <v>68</v>
      </c>
      <c r="F11" s="18" t="s">
        <v>28</v>
      </c>
      <c r="G11" s="18" t="s">
        <v>69</v>
      </c>
      <c r="H11" s="18" t="s">
        <v>30</v>
      </c>
      <c r="I11" s="18" t="s">
        <v>52</v>
      </c>
      <c r="J11" s="19">
        <v>61</v>
      </c>
      <c r="K11" s="20">
        <v>21731</v>
      </c>
      <c r="L11" s="15"/>
      <c r="M11" s="15"/>
      <c r="N11" s="15"/>
      <c r="O11" s="15"/>
      <c r="P11" s="15"/>
    </row>
    <row r="12" spans="1:16" ht="15.75" x14ac:dyDescent="0.25">
      <c r="A12" s="18" t="s">
        <v>25</v>
      </c>
      <c r="B12" s="18" t="s">
        <v>0</v>
      </c>
      <c r="C12" s="18" t="s">
        <v>26</v>
      </c>
      <c r="D12" s="18" t="s">
        <v>25</v>
      </c>
      <c r="E12" s="18" t="s">
        <v>70</v>
      </c>
      <c r="F12" s="18" t="s">
        <v>71</v>
      </c>
      <c r="G12" s="18" t="s">
        <v>72</v>
      </c>
      <c r="H12" s="18" t="s">
        <v>30</v>
      </c>
      <c r="I12" s="18" t="s">
        <v>31</v>
      </c>
      <c r="J12" s="18" t="s">
        <v>58</v>
      </c>
      <c r="K12" s="18" t="s">
        <v>58</v>
      </c>
      <c r="L12" s="15"/>
      <c r="M12" s="15"/>
      <c r="N12" s="15"/>
      <c r="O12" s="39" t="s">
        <v>73</v>
      </c>
      <c r="P12" s="39"/>
    </row>
    <row r="13" spans="1:16" ht="15.75" x14ac:dyDescent="0.25">
      <c r="A13" s="18" t="s">
        <v>25</v>
      </c>
      <c r="B13" s="18" t="s">
        <v>26</v>
      </c>
      <c r="C13" s="18" t="s">
        <v>26</v>
      </c>
      <c r="D13" s="18" t="s">
        <v>25</v>
      </c>
      <c r="E13" s="18" t="s">
        <v>74</v>
      </c>
      <c r="F13" s="18" t="s">
        <v>75</v>
      </c>
      <c r="G13" s="18" t="s">
        <v>76</v>
      </c>
      <c r="H13" s="18" t="s">
        <v>30</v>
      </c>
      <c r="I13" s="18" t="s">
        <v>31</v>
      </c>
      <c r="J13" s="19">
        <v>48</v>
      </c>
      <c r="K13" s="20">
        <v>26845</v>
      </c>
      <c r="L13" s="15"/>
      <c r="M13" s="15"/>
      <c r="N13" s="15"/>
      <c r="O13" s="15"/>
      <c r="P13" s="15"/>
    </row>
    <row r="14" spans="1:16" ht="15.75" x14ac:dyDescent="0.25">
      <c r="A14" s="18" t="s">
        <v>25</v>
      </c>
      <c r="B14" s="18" t="s">
        <v>26</v>
      </c>
      <c r="C14" s="18" t="s">
        <v>26</v>
      </c>
      <c r="D14" s="18" t="s">
        <v>25</v>
      </c>
      <c r="E14" s="18" t="s">
        <v>77</v>
      </c>
      <c r="F14" s="18" t="s">
        <v>1</v>
      </c>
      <c r="G14" s="18" t="s">
        <v>78</v>
      </c>
      <c r="H14" s="18" t="s">
        <v>30</v>
      </c>
      <c r="I14" s="18" t="s">
        <v>31</v>
      </c>
      <c r="J14" s="19">
        <v>53</v>
      </c>
      <c r="K14" s="20">
        <v>24850</v>
      </c>
      <c r="L14" s="15"/>
      <c r="M14" s="15"/>
      <c r="N14" s="15"/>
      <c r="O14" s="15"/>
      <c r="P14" s="15"/>
    </row>
    <row r="15" spans="1:16" x14ac:dyDescent="0.25">
      <c r="A15" s="18" t="s">
        <v>25</v>
      </c>
      <c r="B15" s="18" t="s">
        <v>26</v>
      </c>
      <c r="C15" s="18" t="s">
        <v>26</v>
      </c>
      <c r="D15" s="18" t="s">
        <v>25</v>
      </c>
      <c r="E15" s="18" t="s">
        <v>74</v>
      </c>
      <c r="F15" s="18" t="s">
        <v>50</v>
      </c>
      <c r="G15" s="18" t="s">
        <v>79</v>
      </c>
      <c r="H15" s="18" t="s">
        <v>30</v>
      </c>
      <c r="I15" s="18" t="s">
        <v>31</v>
      </c>
      <c r="J15" s="18" t="s">
        <v>58</v>
      </c>
      <c r="K15" s="20">
        <v>23192</v>
      </c>
      <c r="L15" s="13"/>
      <c r="M15" s="13"/>
      <c r="N15" s="13"/>
      <c r="O15" s="13"/>
      <c r="P15" s="13"/>
    </row>
  </sheetData>
  <mergeCells count="3">
    <mergeCell ref="O3:P3"/>
    <mergeCell ref="O4:P4"/>
    <mergeCell ref="O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&amp; Executives</vt:lpstr>
      <vt:lpstr>Mark Mason</vt:lpstr>
      <vt:lpstr>Michael Corbat</vt:lpstr>
      <vt:lpstr>Deborah Wright</vt:lpstr>
      <vt:lpstr>Diana Taylor</vt:lpstr>
      <vt:lpstr>JANE FRASER</vt:lpstr>
      <vt:lpstr>Barbara Desoer</vt:lpstr>
      <vt:lpstr>Company PAC</vt:lpstr>
      <vt:lpstr>Amazon Example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Matt Marnell</cp:lastModifiedBy>
  <dcterms:created xsi:type="dcterms:W3CDTF">2021-06-27T17:25:36Z</dcterms:created>
  <dcterms:modified xsi:type="dcterms:W3CDTF">2021-08-05T19:12:40Z</dcterms:modified>
</cp:coreProperties>
</file>